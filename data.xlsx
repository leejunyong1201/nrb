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038C2874-713E-4051-B453-25168DFEE6D1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F52" i="9" l="1"/>
  <c r="AT62" i="9" l="1"/>
  <c r="BJ61" i="9"/>
  <c r="BM60" i="9"/>
  <c r="BJ62" i="9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<sst xmlns="http://schemas.openxmlformats.org/spreadsheetml/2006/main" count="821" uniqueCount="683">
  <si>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</si>
  <si>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</si>
  <si>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</si>
  <si>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</si>
  <si>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</si>
  <si>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</si>
  <si>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</si>
  <si>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</si>
  <si>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</si>
  <si>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</si>
  <si>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</si>
  <si>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</si>
  <si>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</si>
  <si>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</si>
  <si>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</si>
  <si>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</si>
  <si>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</si>
  <si>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</si>
  <si>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</si>
  <si>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</si>
  <si>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</si>
  <si>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</si>
  <si>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</si>
  <si>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</si>
  <si>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</si>
  <si>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</si>
  <si>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</si>
  <si>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</si>
  <si>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</si>
  <si>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</si>
  <si>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</si>
  <si>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</si>
  <si>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</si>
  <si>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</si>
  <si>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</si>
  <si>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</si>
  <si>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</si>
  <si>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</si>
  <si>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</si>
  <si>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</si>
  <si>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</si>
  <si>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</si>
  <si>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</si>
  <si>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</si>
  <si>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</si>
  <si>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</si>
  <si>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</si>
  <si>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</si>
  <si>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</si>
  <si>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</si>
  <si>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</si>
  <si>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</si>
  <si>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</si>
  <si>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</si>
  <si>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</si>
  <si>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</si>
  <si>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</si>
  <si>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</si>
  <si>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</si>
  <si>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</si>
  <si>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</si>
  <si>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</si>
  <si>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</si>
  <si>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</si>
  <si>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</si>
  <si>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</si>
  <si>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</si>
  <si>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</si>
  <si>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</si>
  <si>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</si>
  <si>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</si>
  <si>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</si>
  <si>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</si>
  <si>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</si>
  <si>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</si>
  <si>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</si>
  <si>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</si>
  <si>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</si>
  <si>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</si>
  <si>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</si>
  <si>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</si>
  <si>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</si>
  <si>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</si>
  <si>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</si>
  <si>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</si>
  <si>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</si>
  <si>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</si>
  <si>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</si>
  <si>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</si>
  <si>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</si>
  <si>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</si>
  <si>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</si>
  <si>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</si>
  <si>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</si>
  <si>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</si>
  <si>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</si>
  <si>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</si>
  <si>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</si>
  <si>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</si>
  <si>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</si>
  <si>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</si>
  <si>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</si>
  <si>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</si>
  <si>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</si>
  <si>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</si>
  <si>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</si>
  <si>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</si>
  <si>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</si>
  <si>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</si>
  <si>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</si>
  <si>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</si>
  <si>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</si>
  <si>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</si>
  <si>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</si>
  <si>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</si>
  <si>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</si>
  <si>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</si>
  <si>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</si>
  <si>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</si>
  <si>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</si>
  <si>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</si>
  <si>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</si>
  <si>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</si>
  <si>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</si>
  <si>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</si>
  <si>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</si>
  <si>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</si>
  <si>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</si>
  <si>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</si>
  <si>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</si>
  <si>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</si>
  <si>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</si>
  <si>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</si>
  <si>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</si>
  <si>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</si>
  <si>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</si>
  <si>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</si>
  <si>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</si>
  <si>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</si>
  <si>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</si>
  <si>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</si>
  <si>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</si>
  <si>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</si>
  <si>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</si>
  <si>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</si>
  <si>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</si>
  <si>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</si>
  <si>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</si>
  <si>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</si>
  <si>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</si>
  <si>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</si>
  <si>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</si>
  <si>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</si>
  <si>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</si>
  <si>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</si>
  <si>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</si>
  <si>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</si>
  <si>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</si>
  <si>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</si>
  <si>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</si>
  <si>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</si>
  <si>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</si>
  <si>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</si>
  <si>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</si>
  <si>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</si>
  <si>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</si>
  <si>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</si>
  <si>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</si>
  <si>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</si>
  <si>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</si>
  <si>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</si>
  <si>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</si>
  <si>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</si>
  <si>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</si>
  <si>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</si>
  <si>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</si>
  <si>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</si>
  <si>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</si>
  <si>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</si>
  <si>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</si>
  <si>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</si>
  <si>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</si>
  <si>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</si>
  <si>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</si>
  <si>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</si>
  <si>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</si>
  <si>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</si>
  <si>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</si>
  <si>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</si>
  <si>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</si>
  <si>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</si>
  <si>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</si>
  <si>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</si>
  <si>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</si>
  <si>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</si>
  <si>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</si>
  <si>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</si>
  <si>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</si>
  <si>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</si>
  <si>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</si>
  <si>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</si>
  <si>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</si>
  <si>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</si>
  <si>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</si>
  <si>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</si>
  <si>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</si>
  <si>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</si>
  <si>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</si>
  <si>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</si>
  <si>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</si>
  <si>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</si>
  <si>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</si>
  <si>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</si>
  <si>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</si>
  <si>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</si>
  <si>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</si>
  <si>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</si>
  <si>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</si>
  <si>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</si>
  <si>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</si>
  <si>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</si>
  <si>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</si>
  <si>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</si>
  <si>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</si>
  <si>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</si>
  <si>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</si>
  <si>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</si>
  <si>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</si>
  <si>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</si>
  <si>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</si>
  <si>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</si>
  <si>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</si>
  <si>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</si>
  <si>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</si>
  <si>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</si>
  <si>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</si>
  <si>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</si>
  <si>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</si>
  <si>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</si>
  <si>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</si>
  <si>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</si>
  <si>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</si>
  <si>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</si>
  <si>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</si>
  <si>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</si>
  <si>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</si>
  <si>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</si>
  <si>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</si>
  <si>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</si>
  <si>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</si>
  <si>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</si>
  <si>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</si>
  <si>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</si>
  <si>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</si>
  <si>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</si>
  <si>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</si>
  <si>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</si>
  <si>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</si>
  <si>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</si>
  <si>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</si>
  <si>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</si>
  <si>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</si>
  <si>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</si>
  <si>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</si>
  <si>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</si>
  <si>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</si>
  <si>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</si>
  <si>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</si>
  <si>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</si>
  <si>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</si>
  <si>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</si>
  <si>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</si>
  <si>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</si>
  <si>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</si>
  <si>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</si>
  <si>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</si>
  <si>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</si>
  <si>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</si>
  <si>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</si>
  <si>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</si>
  <si>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</si>
  <si>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</si>
  <si>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</si>
  <si>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</si>
  <si>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</si>
  <si>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</si>
  <si>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</si>
  <si>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</si>
  <si>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</si>
  <si>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</si>
  <si>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</si>
  <si>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</si>
  <si>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</si>
  <si>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</si>
  <si>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</si>
  <si>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</si>
  <si>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</si>
  <si>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</si>
  <si>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</si>
  <si>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</si>
  <si>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</si>
  <si>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</si>
  <si>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</si>
  <si>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</si>
  <si>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</si>
  <si>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</si>
  <si>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</si>
  <si>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</si>
  <si>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</si>
  <si>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</si>
  <si>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</si>
  <si>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</si>
  <si>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</si>
  <si>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</si>
  <si>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</si>
  <si>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</si>
  <si>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</si>
  <si>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</si>
  <si>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</si>
  <si>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</si>
  <si>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</si>
  <si>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</si>
  <si>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</si>
  <si>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</si>
  <si>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</si>
  <si>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</si>
  <si>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</si>
  <si>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</si>
  <si>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</si>
  <si>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</si>
  <si>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</si>
  <si>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</si>
  <si>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</si>
  <si>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</si>
  <si>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</si>
  <si>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</si>
  <si>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</si>
  <si>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</si>
  <si>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</si>
  <si>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</si>
  <si>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</si>
  <si>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</si>
  <si>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</si>
  <si>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</si>
  <si>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</si>
  <si>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</si>
  <si>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</si>
  <si>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</si>
  <si>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</si>
  <si>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</si>
  <si>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</si>
  <si>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</si>
  <si>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</si>
  <si>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</si>
  <si>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</si>
  <si>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</si>
  <si>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</si>
  <si>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</si>
  <si>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</si>
  <si>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</si>
  <si>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</si>
  <si>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</si>
  <si>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</si>
  <si>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</si>
  <si>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</si>
  <si>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</si>
  <si>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</si>
  <si>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</si>
  <si>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</si>
  <si>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</si>
  <si>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</si>
  <si>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</si>
  <si>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</si>
  <si>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</si>
  <si>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</si>
  <si>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</si>
  <si>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</si>
  <si>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</si>
  <si>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</si>
  <si>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</si>
  <si>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</si>
  <si>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</si>
  <si>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</si>
  <si>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</si>
  <si>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</si>
  <si>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</si>
  <si>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</si>
  <si>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</si>
  <si>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</si>
  <si>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</si>
  <si>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</si>
  <si>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</si>
  <si>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</si>
  <si>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</si>
  <si>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</si>
  <si>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</si>
  <si>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</si>
  <si>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</si>
  <si>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</si>
  <si>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</si>
  <si>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</si>
  <si>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</si>
  <si>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</si>
  <si>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</si>
  <si>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</si>
  <si>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</si>
  <si>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</si>
  <si>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</si>
  <si>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</si>
  <si>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</si>
  <si>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</si>
  <si>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</si>
  <si>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</si>
  <si>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</si>
  <si>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</si>
  <si>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</si>
  <si>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</si>
  <si>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</si>
  <si>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</si>
  <si>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</si>
  <si>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</si>
  <si>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</si>
  <si>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</si>
  <si>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</si>
  <si>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</si>
  <si>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</si>
  <si>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</si>
  <si>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</si>
  <si>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</si>
  <si>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</si>
  <si>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</si>
  <si>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</si>
  <si>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</si>
  <si>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</si>
  <si>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</si>
  <si>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</si>
  <si>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</si>
  <si>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</si>
  <si>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</si>
  <si>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</si>
  <si>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</si>
  <si>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</si>
  <si>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</si>
  <si>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</si>
  <si>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</si>
  <si>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</si>
  <si>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</si>
  <si>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</si>
  <si>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</si>
  <si>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</si>
  <si>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</si>
  <si>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</si>
  <si>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</si>
  <si>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</si>
  <si>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</si>
  <si>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</si>
  <si>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</si>
  <si>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</si>
  <si>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</si>
  <si>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</si>
  <si>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</si>
  <si>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</si>
  <si>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</si>
  <si>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</si>
  <si>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</si>
  <si>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</si>
  <si>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</si>
  <si>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</si>
  <si>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</si>
  <si>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</si>
  <si>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</si>
  <si>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</si>
  <si>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</si>
  <si>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</si>
  <si>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</si>
  <si>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</si>
  <si>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</si>
  <si>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</si>
  <si>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</si>
  <si>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</si>
  <si>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</si>
  <si>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</si>
  <si>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</si>
  <si>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</si>
  <si>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</si>
  <si>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</si>
  <si>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</si>
  <si>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</si>
  <si>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</si>
  <si>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</si>
  <si>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</si>
  <si>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</si>
  <si>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</si>
  <si>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</si>
  <si>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</si>
  <si>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</si>
  <si>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</si>
  <si>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</si>
  <si>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</si>
  <si>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</si>
  <si>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</si>
  <si>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</si>
  <si>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</si>
  <si>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</si>
  <si>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</si>
  <si>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</si>
  <si>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</si>
  <si>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</si>
  <si>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</si>
  <si>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</si>
  <si>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</si>
  <si>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</si>
  <si>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</si>
  <si>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</si>
  <si>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</si>
  <si>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</si>
  <si>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</si>
  <si>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</si>
  <si>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</si>
  <si>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</si>
  <si>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</si>
  <si>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</si>
  <si>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</si>
  <si>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</si>
  <si>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</si>
  <si>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</si>
  <si>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</si>
  <si>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</si>
  <si>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</si>
  <si>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</si>
  <si>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</si>
  <si>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</si>
  <si>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</si>
  <si>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</si>
  <si>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</si>
  <si>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</si>
  <si>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</si>
  <si>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</si>
  <si>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</si>
  <si>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</si>
  <si>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</si>
  <si>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</si>
  <si>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</si>
  <si>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</si>
  <si>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</si>
  <si>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</si>
  <si>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</si>
  <si>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</si>
  <si>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</si>
  <si>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</si>
  <si>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</si>
  <si>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</si>
  <si>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</si>
  <si>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</si>
  <si>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</si>
  <si>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</si>
  <si>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</si>
  <si>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</si>
  <si>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</si>
  <si>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</si>
  <si>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</si>
  <si>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</si>
  <si>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</si>
  <si>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</si>
  <si>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</si>
  <si>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</si>
  <si>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</si>
  <si>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</si>
  <si>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</si>
  <si>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</si>
  <si>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</si>
  <si>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</si>
  <si>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</si>
  <si>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</si>
  <si>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</si>
  <si>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</si>
  <si>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</si>
  <si>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</si>
  <si>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</si>
  <si>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</si>
  <si>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</si>
  <si>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</si>
  <si>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</si>
  <si>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</si>
  <si>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</si>
  <si>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</si>
  <si>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</si>
  <si>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</si>
  <si>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</si>
  <si>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</si>
  <si>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</si>
  <si>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</si>
  <si>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</si>
  <si>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</si>
  <si>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</si>
  <si>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</si>
  <si>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</si>
  <si>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</si>
  <si>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</si>
  <si>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</si>
  <si>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</si>
  <si>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</si>
  <si>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</si>
  <si>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</si>
  <si>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</si>
  <si>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</si>
  <si>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</si>
  <si>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</si>
  <si>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</si>
  <si>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</si>
  <si>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</si>
  <si>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</si>
  <si>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</si>
  <si>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</si>
  <si>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</si>
  <si>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</si>
  <si>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</si>
  <si>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</si>
  <si>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</si>
  <si>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</si>
  <si>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</si>
  <si>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</si>
  <si>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</si>
  <si>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</si>
  <si>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</si>
  <si>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</si>
  <si>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</si>
  <si>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</si>
  <si>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</si>
  <si>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</si>
  <si>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</si>
  <si>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</si>
  <si>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</si>
  <si>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</si>
  <si>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</si>
  <si>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</si>
  <si>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</si>
  <si>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</si>
  <si>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</si>
  <si>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</si>
  <si>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</si>
  <si>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</si>
  <si>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</si>
  <si>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</si>
  <si>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</si>
  <si>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</si>
  <si>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</si>
  <si>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</si>
  <si>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</si>
  <si>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</si>
  <si>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</si>
  <si>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</si>
  <si>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</si>
  <si>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</si>
  <si>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</si>
  <si>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</si>
  <si>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</si>
  <si>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</si>
  <si>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</si>
  <si>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</si>
  <si>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</si>
  <si>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</si>
  <si>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</si>
  <si>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</si>
  <si>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</si>
  <si>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</si>
  <si>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</si>
  <si>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</si>
  <si>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</si>
  <si>
    <t>403-12-5/
26HB01
2026-10-13</t>
    <phoneticPr fontId="21" type="noConversion"/>
  </si>
  <si>
    <t>402-12-12/
26SA02
2026-10-20</t>
    <phoneticPr fontId="21" type="noConversion"/>
  </si>
  <si>
    <t>402-6-8/
36SB02
2026-10-20</t>
    <phoneticPr fontId="21" type="noConversion"/>
  </si>
  <si>
    <t>402-6-7/
36SB01
2026-10-19</t>
    <phoneticPr fontId="21" type="noConversion"/>
  </si>
  <si>
    <t>402-8-13/
26SA43
2026-10-20</t>
    <phoneticPr fontId="21" type="noConversion"/>
  </si>
  <si>
    <t>402-6-5/
36SB01
2026-10-20</t>
    <phoneticPr fontId="21" type="noConversion"/>
  </si>
  <si>
    <t>402-17-3/
36SB43
2026-10-20</t>
    <phoneticPr fontId="21" type="noConversion"/>
  </si>
  <si>
    <t>402-12-13/
36SA43
2026-10-20</t>
    <phoneticPr fontId="21" type="noConversion"/>
  </si>
  <si>
    <t>402-12-10/
36SB76
2026-10-20</t>
    <phoneticPr fontId="21" type="noConversion"/>
  </si>
  <si>
    <t>402-7-5/
36SB01
2026-10-20</t>
    <phoneticPr fontId="21" type="noConversion"/>
  </si>
  <si>
    <t>402-10-12/
26SA02
2026-10-21</t>
    <phoneticPr fontId="21" type="noConversion"/>
  </si>
  <si>
    <t>402-9-6/
36SB02
2026-10-21</t>
    <phoneticPr fontId="21" type="noConversion"/>
  </si>
  <si>
    <t>402-9-4/
36SB42
2026-10-21</t>
    <phoneticPr fontId="21" type="noConversion"/>
  </si>
  <si>
    <t>402-7-1/
36SB73
2026-10-21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</si>
</sst>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29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8" fillId="16" borderId="0" xfId="15" applyFont="1" applyFill="1" applyAlignment="1">
      <alignment vertical="top" wrapText="1"/>
    </xf>
    <xf numFmtId="0" fontId="4" fillId="14" borderId="13" xfId="15" applyFont="1" applyFill="1" applyBorder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41" fillId="16" borderId="0" xfId="15" applyFont="1" applyFill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  <xf numFmtId="0" fontId="4" fillId="16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9" borderId="8" xfId="15" applyFont="1" applyFill="1" applyBorder="1" applyAlignment="1">
      <alignment horizontal="center" vertical="center" wrapText="1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13" fillId="0" borderId="0" xfId="15" applyFont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4" fillId="16" borderId="49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32" fillId="0" borderId="10" xfId="15" applyFont="1" applyBorder="1" applyAlignment="1">
      <alignment horizontal="center" vertical="center" wrapText="1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29" fillId="8" borderId="6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1" zoomScale="10" zoomScaleNormal="10" zoomScaleSheetLayoutView="10" zoomScalePageLayoutView="10" workbookViewId="0">
      <selection activeCell="BU12" sqref="BU12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278" t="s">
        <v>4</v>
      </c>
      <c r="AC2" s="269"/>
      <c r="AD2" s="269"/>
      <c r="AE2" s="269"/>
      <c r="AF2" s="269"/>
      <c r="AG2" s="269"/>
      <c r="AH2" s="269"/>
      <c r="AI2" s="279"/>
      <c r="AJ2" s="2"/>
      <c r="AK2" s="230"/>
      <c r="AL2" s="200"/>
      <c r="AM2" s="201"/>
      <c r="AN2" s="201"/>
      <c r="AO2" s="269" t="s">
        <v>5</v>
      </c>
      <c r="AP2" s="269"/>
      <c r="AQ2" s="201"/>
      <c r="AR2" s="201"/>
      <c r="AS2" s="202"/>
      <c r="AT2" s="2"/>
      <c r="AU2" s="226"/>
      <c r="AV2" s="280" t="s">
        <v>6</v>
      </c>
      <c r="AW2" s="281"/>
      <c r="AX2" s="281"/>
      <c r="AY2" s="281"/>
      <c r="AZ2" s="281"/>
      <c r="BA2" s="281"/>
      <c r="BB2" s="281"/>
      <c r="BC2" s="282"/>
      <c r="BD2" s="190"/>
      <c r="BE2" s="220"/>
      <c r="BF2" s="280" t="s">
        <v>7</v>
      </c>
      <c r="BG2" s="281"/>
      <c r="BH2" s="281"/>
      <c r="BI2" s="281"/>
      <c r="BJ2" s="281"/>
      <c r="BK2" s="281"/>
      <c r="BL2" s="281"/>
      <c r="BM2" s="282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283" t="s">
        <v>14</v>
      </c>
      <c r="I3" s="284"/>
      <c r="J3" s="283" t="s">
        <v>15</v>
      </c>
      <c r="K3" s="284"/>
      <c r="L3" s="290" t="s">
        <v>16</v>
      </c>
      <c r="M3" s="290"/>
      <c r="N3" s="26"/>
      <c r="O3" s="292" t="s">
        <v>17</v>
      </c>
      <c r="P3" s="293"/>
      <c r="Q3" s="293"/>
      <c r="R3" s="293"/>
      <c r="S3" s="293"/>
      <c r="T3" s="293"/>
      <c r="U3" s="293"/>
      <c r="V3" s="27"/>
      <c r="W3" s="28"/>
      <c r="X3" s="28"/>
      <c r="Y3" s="28"/>
      <c r="Z3" s="29"/>
      <c r="AA3" s="227" t="s">
        <v>275</v>
      </c>
      <c r="AB3" s="264" t="s">
        <v>585</v>
      </c>
      <c r="AC3" s="264" t="s">
        <v>605</v>
      </c>
      <c r="AD3" s="188"/>
      <c r="AE3" s="188"/>
      <c r="AF3" s="188"/>
      <c r="AG3" s="246" t="s">
        <v>609</v>
      </c>
      <c r="AH3" s="188"/>
      <c r="AI3" s="188"/>
      <c r="AJ3" s="270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0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0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0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285"/>
      <c r="I4" s="286"/>
      <c r="J4" s="285"/>
      <c r="K4" s="286"/>
      <c r="L4" s="287"/>
      <c r="M4" s="287"/>
      <c r="N4" s="33"/>
      <c r="O4" s="294"/>
      <c r="P4" s="295"/>
      <c r="Q4" s="295"/>
      <c r="R4" s="295"/>
      <c r="S4" s="295"/>
      <c r="T4" s="295"/>
      <c r="U4" s="295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189"/>
      <c r="AE4" s="189"/>
      <c r="AF4" s="189"/>
      <c r="AG4" s="235" t="s">
        <v>588</v>
      </c>
      <c r="AH4" s="235" t="s">
        <v>548</v>
      </c>
      <c r="AI4" s="235" t="s">
        <v>539</v>
      </c>
      <c r="AJ4" s="270"/>
      <c r="AK4" s="227"/>
      <c r="AL4" s="189"/>
      <c r="AM4" s="189"/>
      <c r="AN4" s="189"/>
      <c r="AO4" s="189"/>
      <c r="AP4" s="189"/>
      <c r="AQ4" s="189"/>
      <c r="AR4" s="189"/>
      <c r="AS4" s="189"/>
      <c r="AT4" s="270"/>
      <c r="AU4" s="227"/>
      <c r="AV4" s="189"/>
      <c r="AW4" s="189"/>
      <c r="AX4" s="189"/>
      <c r="AY4" s="189"/>
      <c r="AZ4" s="189"/>
      <c r="BA4" s="189"/>
      <c r="BB4" s="189"/>
      <c r="BC4" s="189"/>
      <c r="BD4" s="270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0"/>
      <c r="BO4" s="224"/>
    </row>
    <row r="5" spans="1:67" ht="279.95" customHeight="1" x14ac:dyDescent="0.3">
      <c r="A5" s="1"/>
      <c r="B5" s="15"/>
      <c r="E5" s="30"/>
      <c r="F5" s="31"/>
      <c r="G5" s="31"/>
      <c r="H5" s="285"/>
      <c r="I5" s="286"/>
      <c r="J5" s="285"/>
      <c r="K5" s="286"/>
      <c r="L5" s="287"/>
      <c r="M5" s="287"/>
      <c r="N5" s="33"/>
      <c r="O5" s="294"/>
      <c r="P5" s="295"/>
      <c r="Q5" s="295"/>
      <c r="R5" s="295"/>
      <c r="S5" s="295"/>
      <c r="T5" s="295"/>
      <c r="U5" s="295"/>
      <c r="V5" s="34"/>
      <c r="W5" s="14"/>
      <c r="X5" s="14"/>
      <c r="Y5" s="14"/>
      <c r="Z5" s="35"/>
      <c r="AA5" s="228" t="s">
        <v>275</v>
      </c>
      <c r="AB5" s="264" t="s">
        <v>606</v>
      </c>
      <c r="AC5" s="264" t="s">
        <v>612</v>
      </c>
      <c r="AD5" s="204"/>
      <c r="AE5" s="204"/>
      <c r="AF5" s="204"/>
      <c r="AG5" s="246" t="s">
        <v>610</v>
      </c>
      <c r="AH5" s="204"/>
      <c r="AI5" s="204"/>
      <c r="AJ5" s="271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71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71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71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285"/>
      <c r="I6" s="286"/>
      <c r="J6" s="285"/>
      <c r="K6" s="286"/>
      <c r="L6" s="287"/>
      <c r="M6" s="287"/>
      <c r="N6" s="33"/>
      <c r="O6" s="294"/>
      <c r="P6" s="295"/>
      <c r="Q6" s="295"/>
      <c r="R6" s="295"/>
      <c r="S6" s="295"/>
      <c r="T6" s="295"/>
      <c r="U6" s="295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644</v>
      </c>
      <c r="AH6" s="235" t="s">
        <v>581</v>
      </c>
      <c r="AI6" s="235" t="s">
        <v>582</v>
      </c>
      <c r="AJ6" s="271"/>
      <c r="AK6" s="228"/>
      <c r="AL6" s="203"/>
      <c r="AM6" s="203"/>
      <c r="AN6" s="203"/>
      <c r="AO6" s="203"/>
      <c r="AP6" s="203"/>
      <c r="AQ6" s="203"/>
      <c r="AR6" s="203"/>
      <c r="AS6" s="203"/>
      <c r="AT6" s="271"/>
      <c r="AU6" s="228"/>
      <c r="AV6" s="203"/>
      <c r="AW6" s="203"/>
      <c r="AX6" s="203"/>
      <c r="AY6" s="203"/>
      <c r="AZ6" s="203"/>
      <c r="BA6" s="203"/>
      <c r="BB6" s="203"/>
      <c r="BC6" s="203"/>
      <c r="BD6" s="271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71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285"/>
      <c r="I7" s="286"/>
      <c r="J7" s="285"/>
      <c r="K7" s="286"/>
      <c r="L7" s="287"/>
      <c r="M7" s="287"/>
      <c r="N7" s="33"/>
      <c r="O7" s="296"/>
      <c r="P7" s="297"/>
      <c r="Q7" s="297"/>
      <c r="R7" s="297"/>
      <c r="S7" s="297"/>
      <c r="T7" s="297"/>
      <c r="U7" s="297"/>
      <c r="V7" s="34"/>
      <c r="W7" s="14"/>
      <c r="X7" s="14"/>
      <c r="Y7" s="14"/>
      <c r="Z7" s="35"/>
      <c r="AA7" s="227" t="s">
        <v>275</v>
      </c>
      <c r="AB7" s="264" t="s">
        <v>613</v>
      </c>
      <c r="AC7" s="264" t="s">
        <v>614</v>
      </c>
      <c r="AD7" s="188"/>
      <c r="AE7" s="188"/>
      <c r="AF7" s="188"/>
      <c r="AG7" s="188"/>
      <c r="AH7" s="188"/>
      <c r="AI7" s="188"/>
      <c r="AJ7" s="270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0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0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0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285"/>
      <c r="I8" s="286"/>
      <c r="J8" s="285"/>
      <c r="K8" s="286"/>
      <c r="L8" s="287"/>
      <c r="M8" s="287"/>
      <c r="N8" s="33"/>
      <c r="O8" s="292" t="s">
        <v>18</v>
      </c>
      <c r="P8" s="293"/>
      <c r="Q8" s="293"/>
      <c r="R8" s="293"/>
      <c r="S8" s="293"/>
      <c r="T8" s="293"/>
      <c r="U8" s="293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0"/>
      <c r="AK8" s="227"/>
      <c r="AL8" s="189"/>
      <c r="AM8" s="189"/>
      <c r="AN8" s="189"/>
      <c r="AO8" s="189"/>
      <c r="AP8" s="189"/>
      <c r="AQ8" s="189"/>
      <c r="AR8" s="189"/>
      <c r="AS8" s="189"/>
      <c r="AT8" s="270"/>
      <c r="AU8" s="227"/>
      <c r="AV8" s="189"/>
      <c r="AW8" s="189"/>
      <c r="AX8" s="189"/>
      <c r="AY8" s="189"/>
      <c r="AZ8" s="189"/>
      <c r="BA8" s="189"/>
      <c r="BB8" s="189"/>
      <c r="BC8" s="189"/>
      <c r="BD8" s="270"/>
      <c r="BE8" s="221"/>
      <c r="BF8" s="238" t="s">
        <v>158</v>
      </c>
      <c r="BG8" s="244" t="s">
        <v>673</v>
      </c>
      <c r="BH8" s="189"/>
      <c r="BI8" s="189"/>
      <c r="BJ8" s="189"/>
      <c r="BK8" s="189"/>
      <c r="BL8" s="189"/>
      <c r="BM8" s="189"/>
      <c r="BN8" s="270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285"/>
      <c r="I9" s="286"/>
      <c r="J9" s="285"/>
      <c r="K9" s="286"/>
      <c r="L9" s="287"/>
      <c r="M9" s="287"/>
      <c r="N9" s="33"/>
      <c r="O9" s="294"/>
      <c r="P9" s="295"/>
      <c r="Q9" s="295"/>
      <c r="R9" s="295"/>
      <c r="S9" s="295"/>
      <c r="T9" s="295"/>
      <c r="U9" s="295"/>
      <c r="V9" s="34"/>
      <c r="W9" s="14"/>
      <c r="X9" s="14"/>
      <c r="Y9" s="14"/>
      <c r="Z9" s="35"/>
      <c r="AA9" s="228" t="s">
        <v>275</v>
      </c>
      <c r="AB9" s="245" t="s">
        <v>594</v>
      </c>
      <c r="AC9" s="264" t="s">
        <v>595</v>
      </c>
      <c r="AD9" s="204"/>
      <c r="AE9" s="204"/>
      <c r="AF9" s="204"/>
      <c r="AG9" s="204"/>
      <c r="AH9" s="204"/>
      <c r="AI9" s="204"/>
      <c r="AJ9" s="271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71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5" t="s">
        <v>96</v>
      </c>
      <c r="BD9" s="271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275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07" t="s">
        <v>19</v>
      </c>
      <c r="G10" s="308"/>
      <c r="H10" s="287"/>
      <c r="I10" s="286"/>
      <c r="J10" s="285"/>
      <c r="K10" s="286"/>
      <c r="L10" s="287"/>
      <c r="M10" s="287"/>
      <c r="N10" s="33"/>
      <c r="O10" s="294"/>
      <c r="P10" s="295"/>
      <c r="Q10" s="295"/>
      <c r="R10" s="295"/>
      <c r="S10" s="295"/>
      <c r="T10" s="295"/>
      <c r="U10" s="295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71"/>
      <c r="AK10" s="228"/>
      <c r="AL10" s="203"/>
      <c r="AM10" s="203"/>
      <c r="AN10" s="203"/>
      <c r="AO10" s="203"/>
      <c r="AP10" s="203"/>
      <c r="AQ10" s="203"/>
      <c r="AR10" s="203"/>
      <c r="AS10" s="203"/>
      <c r="AT10" s="271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6" t="s">
        <v>98</v>
      </c>
      <c r="BD10" s="271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275"/>
      <c r="BO10" s="224"/>
    </row>
    <row r="11" spans="1:67" ht="279.95" customHeight="1" thickBot="1" x14ac:dyDescent="0.35">
      <c r="A11" s="6"/>
      <c r="B11" s="18"/>
      <c r="E11" s="30"/>
      <c r="F11" s="309"/>
      <c r="G11" s="310"/>
      <c r="H11" s="287"/>
      <c r="I11" s="286"/>
      <c r="J11" s="285"/>
      <c r="K11" s="286"/>
      <c r="L11" s="287"/>
      <c r="M11" s="287"/>
      <c r="N11" s="33"/>
      <c r="O11" s="313" t="s">
        <v>20</v>
      </c>
      <c r="P11" s="314"/>
      <c r="Q11" s="314"/>
      <c r="R11" s="314"/>
      <c r="S11" s="314"/>
      <c r="T11" s="314"/>
      <c r="U11" s="315"/>
      <c r="V11" s="34"/>
      <c r="W11" s="14"/>
      <c r="X11" s="14"/>
      <c r="Y11" s="14"/>
      <c r="Z11" s="35"/>
      <c r="AA11" s="227" t="s">
        <v>275</v>
      </c>
      <c r="AB11" s="188"/>
      <c r="AC11" s="264" t="s">
        <v>626</v>
      </c>
      <c r="AD11" s="188"/>
      <c r="AE11" s="188"/>
      <c r="AF11" s="188"/>
      <c r="AG11" s="188"/>
      <c r="AH11" s="188"/>
      <c r="AI11" s="188"/>
      <c r="AJ11" s="270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0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0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276" t="s">
        <v>280</v>
      </c>
      <c r="BO11" s="224"/>
    </row>
    <row r="12" spans="1:67" ht="279.95" customHeight="1" thickBot="1" x14ac:dyDescent="0.35">
      <c r="A12" s="322" t="s">
        <v>21</v>
      </c>
      <c r="B12" s="323"/>
      <c r="E12" s="46"/>
      <c r="F12" s="311"/>
      <c r="G12" s="312"/>
      <c r="H12" s="287"/>
      <c r="I12" s="286"/>
      <c r="J12" s="285"/>
      <c r="K12" s="286"/>
      <c r="L12" s="287"/>
      <c r="M12" s="287"/>
      <c r="N12" s="33"/>
      <c r="O12" s="316"/>
      <c r="P12" s="317"/>
      <c r="Q12" s="317"/>
      <c r="R12" s="317"/>
      <c r="S12" s="317"/>
      <c r="T12" s="317"/>
      <c r="U12" s="318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0"/>
      <c r="AK12" s="227"/>
      <c r="AL12" s="189"/>
      <c r="AM12" s="189"/>
      <c r="AN12" s="189"/>
      <c r="AO12" s="189"/>
      <c r="AP12" s="189"/>
      <c r="AQ12" s="189"/>
      <c r="AR12" s="189"/>
      <c r="AS12" s="189"/>
      <c r="AT12" s="270"/>
      <c r="AU12" s="227"/>
      <c r="AV12" s="244" t="s">
        <v>646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0"/>
      <c r="BE12" s="221"/>
      <c r="BF12" s="238" t="s">
        <v>50</v>
      </c>
      <c r="BG12" s="211" t="s">
        <v>415</v>
      </c>
      <c r="BH12" s="189"/>
      <c r="BI12" s="244" t="s">
        <v>662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276"/>
      <c r="BO12" s="224"/>
    </row>
    <row r="13" spans="1:67" ht="279.95" customHeight="1" thickBot="1" x14ac:dyDescent="0.35">
      <c r="A13" s="324"/>
      <c r="B13" s="325"/>
      <c r="E13" s="48"/>
      <c r="F13" s="49"/>
      <c r="G13" s="49"/>
      <c r="H13" s="285"/>
      <c r="I13" s="286"/>
      <c r="J13" s="285"/>
      <c r="K13" s="286"/>
      <c r="L13" s="287"/>
      <c r="M13" s="287"/>
      <c r="N13" s="33"/>
      <c r="O13" s="316"/>
      <c r="P13" s="317"/>
      <c r="Q13" s="317"/>
      <c r="R13" s="317"/>
      <c r="S13" s="317"/>
      <c r="T13" s="317"/>
      <c r="U13" s="318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71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71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71" t="s">
        <v>309</v>
      </c>
      <c r="BE13" s="222" t="s">
        <v>275</v>
      </c>
      <c r="BF13" s="197" t="s">
        <v>62</v>
      </c>
      <c r="BG13" s="197" t="s">
        <v>59</v>
      </c>
      <c r="BH13" s="204"/>
      <c r="BI13" s="246" t="s">
        <v>404</v>
      </c>
      <c r="BJ13" s="204"/>
      <c r="BK13" s="204"/>
      <c r="BL13" s="204"/>
      <c r="BM13" s="204"/>
      <c r="BN13" s="277" t="s">
        <v>281</v>
      </c>
      <c r="BO13" s="224"/>
    </row>
    <row r="14" spans="1:67" ht="279.95" customHeight="1" thickBot="1" x14ac:dyDescent="0.35">
      <c r="A14" s="326"/>
      <c r="B14" s="327"/>
      <c r="C14" s="50"/>
      <c r="D14" s="42"/>
      <c r="E14" s="305" t="s">
        <v>22</v>
      </c>
      <c r="F14" s="305"/>
      <c r="G14" s="306"/>
      <c r="H14" s="285"/>
      <c r="I14" s="286"/>
      <c r="J14" s="285"/>
      <c r="K14" s="286"/>
      <c r="L14" s="287"/>
      <c r="M14" s="287"/>
      <c r="N14" s="33"/>
      <c r="O14" s="319"/>
      <c r="P14" s="320"/>
      <c r="Q14" s="320"/>
      <c r="R14" s="320"/>
      <c r="S14" s="320"/>
      <c r="T14" s="320"/>
      <c r="U14" s="321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71"/>
      <c r="AK14" s="228"/>
      <c r="AL14" s="203"/>
      <c r="AM14" s="203"/>
      <c r="AN14" s="203"/>
      <c r="AO14" s="203"/>
      <c r="AP14" s="203"/>
      <c r="AQ14" s="203"/>
      <c r="AR14" s="203"/>
      <c r="AS14" s="203"/>
      <c r="AT14" s="271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71"/>
      <c r="BE14" s="222"/>
      <c r="BF14" s="196" t="s">
        <v>175</v>
      </c>
      <c r="BG14" s="238" t="s">
        <v>176</v>
      </c>
      <c r="BH14" s="203"/>
      <c r="BI14" s="235" t="s">
        <v>393</v>
      </c>
      <c r="BJ14" s="244" t="s">
        <v>682</v>
      </c>
      <c r="BK14" s="235" t="s">
        <v>392</v>
      </c>
      <c r="BL14" s="235" t="s">
        <v>395</v>
      </c>
      <c r="BM14" s="203"/>
      <c r="BN14" s="277"/>
      <c r="BO14" s="224"/>
    </row>
    <row r="15" spans="1:67" ht="279.95" customHeight="1" thickBot="1" x14ac:dyDescent="0.35">
      <c r="A15" s="322" t="s">
        <v>23</v>
      </c>
      <c r="B15" s="328"/>
      <c r="C15" s="50"/>
      <c r="D15" s="52"/>
      <c r="E15" s="302"/>
      <c r="F15" s="302"/>
      <c r="G15" s="303"/>
      <c r="H15" s="285"/>
      <c r="I15" s="286"/>
      <c r="J15" s="285"/>
      <c r="K15" s="286"/>
      <c r="L15" s="287"/>
      <c r="M15" s="287"/>
      <c r="N15" s="33"/>
      <c r="O15" s="330"/>
      <c r="P15" s="331"/>
      <c r="Q15" s="331"/>
      <c r="R15" s="331"/>
      <c r="S15" s="331"/>
      <c r="T15" s="331"/>
      <c r="U15" s="332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0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0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0" t="s">
        <v>310</v>
      </c>
      <c r="BE15" s="221" t="s">
        <v>275</v>
      </c>
      <c r="BF15" s="197" t="s">
        <v>56</v>
      </c>
      <c r="BG15" s="188"/>
      <c r="BH15" s="188"/>
      <c r="BI15" s="188"/>
      <c r="BJ15" s="246" t="s">
        <v>397</v>
      </c>
      <c r="BK15" s="188"/>
      <c r="BL15" s="188"/>
      <c r="BM15" s="188"/>
      <c r="BN15" s="276" t="s">
        <v>282</v>
      </c>
      <c r="BO15" s="224"/>
    </row>
    <row r="16" spans="1:67" ht="279.95" customHeight="1" thickBot="1" x14ac:dyDescent="0.35">
      <c r="A16" s="324"/>
      <c r="B16" s="329"/>
      <c r="C16" s="53"/>
      <c r="D16" s="52"/>
      <c r="E16" s="305" t="s">
        <v>22</v>
      </c>
      <c r="F16" s="305"/>
      <c r="G16" s="306"/>
      <c r="H16" s="285"/>
      <c r="I16" s="286"/>
      <c r="J16" s="285"/>
      <c r="K16" s="286"/>
      <c r="L16" s="287"/>
      <c r="M16" s="287"/>
      <c r="N16" s="33"/>
      <c r="O16" s="333"/>
      <c r="P16" s="334"/>
      <c r="Q16" s="334"/>
      <c r="R16" s="334"/>
      <c r="S16" s="334"/>
      <c r="T16" s="334"/>
      <c r="U16" s="335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0"/>
      <c r="AK16" s="227"/>
      <c r="AL16" s="189"/>
      <c r="AM16" s="189"/>
      <c r="AN16" s="189"/>
      <c r="AO16" s="189"/>
      <c r="AP16" s="189"/>
      <c r="AQ16" s="189"/>
      <c r="AR16" s="189"/>
      <c r="AS16" s="189"/>
      <c r="AT16" s="270"/>
      <c r="AU16" s="227"/>
      <c r="AV16" s="235" t="s">
        <v>556</v>
      </c>
      <c r="AW16" s="235" t="s">
        <v>178</v>
      </c>
      <c r="AX16" s="189"/>
      <c r="AY16" s="243" t="s">
        <v>104</v>
      </c>
      <c r="AZ16" s="243" t="s">
        <v>401</v>
      </c>
      <c r="BA16" s="243" t="s">
        <v>105</v>
      </c>
      <c r="BB16" s="244" t="s">
        <v>641</v>
      </c>
      <c r="BC16" s="235" t="s">
        <v>106</v>
      </c>
      <c r="BD16" s="270"/>
      <c r="BE16" s="221"/>
      <c r="BF16" s="196" t="s">
        <v>53</v>
      </c>
      <c r="BG16" s="243" t="s">
        <v>661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276"/>
      <c r="BO16" s="224"/>
    </row>
    <row r="17" spans="1:70" ht="279.95" customHeight="1" thickBot="1" x14ac:dyDescent="0.35">
      <c r="A17" s="326"/>
      <c r="B17" s="327"/>
      <c r="C17" s="50"/>
      <c r="D17" s="55"/>
      <c r="E17" s="299"/>
      <c r="F17" s="299"/>
      <c r="G17" s="300"/>
      <c r="H17" s="285"/>
      <c r="I17" s="286"/>
      <c r="J17" s="285"/>
      <c r="K17" s="286"/>
      <c r="L17" s="287"/>
      <c r="M17" s="287"/>
      <c r="N17" s="33"/>
      <c r="O17" s="333"/>
      <c r="P17" s="334"/>
      <c r="Q17" s="334"/>
      <c r="R17" s="334"/>
      <c r="S17" s="334"/>
      <c r="T17" s="334"/>
      <c r="U17" s="335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71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71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71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660</v>
      </c>
      <c r="BN17" s="277" t="s">
        <v>283</v>
      </c>
      <c r="BO17" s="224"/>
    </row>
    <row r="18" spans="1:70" ht="279.95" customHeight="1" thickBot="1" x14ac:dyDescent="0.35">
      <c r="A18" s="322" t="s">
        <v>24</v>
      </c>
      <c r="B18" s="323"/>
      <c r="C18" s="19"/>
      <c r="D18" s="19"/>
      <c r="E18" s="298"/>
      <c r="F18" s="299"/>
      <c r="G18" s="300"/>
      <c r="H18" s="285"/>
      <c r="I18" s="286"/>
      <c r="J18" s="285"/>
      <c r="K18" s="286"/>
      <c r="L18" s="287"/>
      <c r="M18" s="287"/>
      <c r="N18" s="33"/>
      <c r="O18" s="336"/>
      <c r="P18" s="337"/>
      <c r="Q18" s="337"/>
      <c r="R18" s="337"/>
      <c r="S18" s="337"/>
      <c r="T18" s="337"/>
      <c r="U18" s="338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71"/>
      <c r="AK18" s="228"/>
      <c r="AL18" s="203"/>
      <c r="AM18" s="203"/>
      <c r="AN18" s="203"/>
      <c r="AO18" s="203"/>
      <c r="AP18" s="203"/>
      <c r="AQ18" s="203"/>
      <c r="AR18" s="203"/>
      <c r="AS18" s="203"/>
      <c r="AT18" s="271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71"/>
      <c r="BE18" s="222"/>
      <c r="BF18" s="235" t="s">
        <v>406</v>
      </c>
      <c r="BG18" s="235" t="s">
        <v>413</v>
      </c>
      <c r="BH18" s="203"/>
      <c r="BI18" s="244" t="s">
        <v>671</v>
      </c>
      <c r="BJ18" s="235" t="s">
        <v>405</v>
      </c>
      <c r="BK18" s="196" t="s">
        <v>54</v>
      </c>
      <c r="BL18" s="238" t="s">
        <v>55</v>
      </c>
      <c r="BM18" s="244" t="s">
        <v>659</v>
      </c>
      <c r="BN18" s="277"/>
      <c r="BO18" s="224"/>
    </row>
    <row r="19" spans="1:70" ht="279.95" customHeight="1" thickBot="1" x14ac:dyDescent="0.35">
      <c r="A19" s="324"/>
      <c r="B19" s="325"/>
      <c r="C19" s="19"/>
      <c r="D19" s="56"/>
      <c r="E19" s="57"/>
      <c r="F19" s="58"/>
      <c r="G19" s="58"/>
      <c r="H19" s="285"/>
      <c r="I19" s="286"/>
      <c r="J19" s="285"/>
      <c r="K19" s="286"/>
      <c r="L19" s="287"/>
      <c r="M19" s="287"/>
      <c r="N19" s="33"/>
      <c r="O19" s="340" t="s">
        <v>25</v>
      </c>
      <c r="P19" s="341"/>
      <c r="Q19" s="341"/>
      <c r="R19" s="341"/>
      <c r="S19" s="341"/>
      <c r="T19" s="341"/>
      <c r="U19" s="342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0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0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0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276" t="s">
        <v>284</v>
      </c>
      <c r="BO19" s="224"/>
    </row>
    <row r="20" spans="1:70" ht="279.95" customHeight="1" thickBot="1" x14ac:dyDescent="0.35">
      <c r="A20" s="326"/>
      <c r="B20" s="339"/>
      <c r="E20" s="304" t="s">
        <v>26</v>
      </c>
      <c r="F20" s="305"/>
      <c r="G20" s="306"/>
      <c r="H20" s="285"/>
      <c r="I20" s="286"/>
      <c r="J20" s="285"/>
      <c r="K20" s="286"/>
      <c r="L20" s="287"/>
      <c r="M20" s="287"/>
      <c r="N20" s="33"/>
      <c r="O20" s="343"/>
      <c r="P20" s="344"/>
      <c r="Q20" s="344"/>
      <c r="R20" s="344"/>
      <c r="S20" s="344"/>
      <c r="T20" s="344"/>
      <c r="U20" s="345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0"/>
      <c r="AK20" s="227"/>
      <c r="AL20" s="189"/>
      <c r="AM20" s="189"/>
      <c r="AN20" s="189"/>
      <c r="AO20" s="189"/>
      <c r="AP20" s="189"/>
      <c r="AQ20" s="189"/>
      <c r="AR20" s="189"/>
      <c r="AS20" s="189"/>
      <c r="AT20" s="270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0"/>
      <c r="BE20" s="221"/>
      <c r="BF20" s="189"/>
      <c r="BG20" s="189"/>
      <c r="BH20" s="189"/>
      <c r="BI20" s="209" t="s">
        <v>615</v>
      </c>
      <c r="BJ20" s="244" t="s">
        <v>665</v>
      </c>
      <c r="BK20" s="235" t="s">
        <v>643</v>
      </c>
      <c r="BL20" s="238" t="s">
        <v>190</v>
      </c>
      <c r="BM20" s="238" t="s">
        <v>58</v>
      </c>
      <c r="BN20" s="276"/>
      <c r="BO20" s="224"/>
    </row>
    <row r="21" spans="1:70" ht="279.95" customHeight="1" x14ac:dyDescent="0.3">
      <c r="A21" s="40"/>
      <c r="B21" s="40"/>
      <c r="E21" s="298"/>
      <c r="F21" s="299"/>
      <c r="G21" s="300"/>
      <c r="H21" s="285"/>
      <c r="I21" s="286"/>
      <c r="J21" s="285"/>
      <c r="K21" s="286"/>
      <c r="L21" s="287"/>
      <c r="M21" s="287"/>
      <c r="N21" s="33"/>
      <c r="O21" s="343"/>
      <c r="P21" s="344"/>
      <c r="Q21" s="344"/>
      <c r="R21" s="344"/>
      <c r="S21" s="344"/>
      <c r="T21" s="344"/>
      <c r="U21" s="345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71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71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71" t="s">
        <v>313</v>
      </c>
      <c r="BE21" s="222" t="s">
        <v>275</v>
      </c>
      <c r="BF21" s="204"/>
      <c r="BG21" s="204"/>
      <c r="BH21" s="204"/>
      <c r="BI21" s="204"/>
      <c r="BJ21" s="245" t="s">
        <v>658</v>
      </c>
      <c r="BK21" s="204"/>
      <c r="BL21" s="204"/>
      <c r="BM21" s="197" t="s">
        <v>103</v>
      </c>
      <c r="BN21" s="277" t="s">
        <v>285</v>
      </c>
      <c r="BO21" s="224"/>
    </row>
    <row r="22" spans="1:70" ht="279.95" customHeight="1" thickBot="1" x14ac:dyDescent="0.35">
      <c r="A22" s="40"/>
      <c r="B22" s="40"/>
      <c r="E22" s="298"/>
      <c r="F22" s="299"/>
      <c r="G22" s="300"/>
      <c r="H22" s="285"/>
      <c r="I22" s="286"/>
      <c r="J22" s="285"/>
      <c r="K22" s="286"/>
      <c r="L22" s="287"/>
      <c r="M22" s="287"/>
      <c r="N22" s="33"/>
      <c r="O22" s="343"/>
      <c r="P22" s="344"/>
      <c r="Q22" s="344"/>
      <c r="R22" s="344"/>
      <c r="S22" s="344"/>
      <c r="T22" s="344"/>
      <c r="U22" s="345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71"/>
      <c r="AK22" s="228"/>
      <c r="AL22" s="203"/>
      <c r="AM22" s="203"/>
      <c r="AN22" s="203"/>
      <c r="AO22" s="203"/>
      <c r="AP22" s="203"/>
      <c r="AQ22" s="203"/>
      <c r="AR22" s="203"/>
      <c r="AS22" s="203"/>
      <c r="AT22" s="271"/>
      <c r="AU22" s="228"/>
      <c r="AV22" s="235" t="s">
        <v>400</v>
      </c>
      <c r="AW22" s="244" t="s">
        <v>642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640</v>
      </c>
      <c r="BD22" s="271"/>
      <c r="BE22" s="222"/>
      <c r="BF22" s="203"/>
      <c r="BG22" s="235" t="s">
        <v>410</v>
      </c>
      <c r="BH22" s="203"/>
      <c r="BI22" s="209" t="s">
        <v>616</v>
      </c>
      <c r="BJ22" s="244" t="s">
        <v>657</v>
      </c>
      <c r="BK22" s="244" t="s">
        <v>680</v>
      </c>
      <c r="BL22" s="244" t="s">
        <v>681</v>
      </c>
      <c r="BM22" s="196" t="s">
        <v>193</v>
      </c>
      <c r="BN22" s="277"/>
      <c r="BO22" s="224"/>
    </row>
    <row r="23" spans="1:70" ht="279.95" customHeight="1" x14ac:dyDescent="0.3">
      <c r="A23" s="40"/>
      <c r="B23" s="40"/>
      <c r="E23" s="298"/>
      <c r="F23" s="299"/>
      <c r="G23" s="300"/>
      <c r="H23" s="285"/>
      <c r="I23" s="286"/>
      <c r="J23" s="285"/>
      <c r="K23" s="286"/>
      <c r="L23" s="287"/>
      <c r="M23" s="287"/>
      <c r="N23" s="33"/>
      <c r="O23" s="343"/>
      <c r="P23" s="344"/>
      <c r="Q23" s="344"/>
      <c r="R23" s="344"/>
      <c r="S23" s="344"/>
      <c r="T23" s="344"/>
      <c r="U23" s="345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0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0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0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656</v>
      </c>
      <c r="BN23" s="276" t="s">
        <v>286</v>
      </c>
      <c r="BO23" s="224"/>
    </row>
    <row r="24" spans="1:70" ht="279.95" customHeight="1" thickBot="1" x14ac:dyDescent="0.35">
      <c r="A24" s="40"/>
      <c r="B24" s="40"/>
      <c r="E24" s="301"/>
      <c r="F24" s="302"/>
      <c r="G24" s="303"/>
      <c r="H24" s="285"/>
      <c r="I24" s="286"/>
      <c r="J24" s="285"/>
      <c r="K24" s="286"/>
      <c r="L24" s="287"/>
      <c r="M24" s="287"/>
      <c r="N24" s="33"/>
      <c r="O24" s="343"/>
      <c r="P24" s="344"/>
      <c r="Q24" s="344"/>
      <c r="R24" s="344"/>
      <c r="S24" s="344"/>
      <c r="T24" s="344"/>
      <c r="U24" s="345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0"/>
      <c r="AK24" s="227"/>
      <c r="AL24" s="189"/>
      <c r="AM24" s="189"/>
      <c r="AN24" s="189"/>
      <c r="AO24" s="189"/>
      <c r="AP24" s="189"/>
      <c r="AQ24" s="189"/>
      <c r="AR24" s="189"/>
      <c r="AS24" s="189"/>
      <c r="AT24" s="270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0"/>
      <c r="BE24" s="227"/>
      <c r="BF24" s="244" t="s">
        <v>676</v>
      </c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650</v>
      </c>
      <c r="BN24" s="276"/>
      <c r="BO24" s="224"/>
    </row>
    <row r="25" spans="1:70" ht="279.95" customHeight="1" x14ac:dyDescent="0.3">
      <c r="A25" s="40"/>
      <c r="B25" s="40"/>
      <c r="E25" s="298" t="s">
        <v>27</v>
      </c>
      <c r="F25" s="299"/>
      <c r="G25" s="300"/>
      <c r="H25" s="285"/>
      <c r="I25" s="286"/>
      <c r="J25" s="285"/>
      <c r="K25" s="286"/>
      <c r="L25" s="287"/>
      <c r="M25" s="287"/>
      <c r="N25" s="33"/>
      <c r="O25" s="343"/>
      <c r="P25" s="344"/>
      <c r="Q25" s="344"/>
      <c r="R25" s="344"/>
      <c r="S25" s="344"/>
      <c r="T25" s="344"/>
      <c r="U25" s="345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71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71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71" t="s">
        <v>315</v>
      </c>
      <c r="BE25" s="222" t="s">
        <v>275</v>
      </c>
      <c r="BF25" s="204"/>
      <c r="BG25" s="204"/>
      <c r="BH25" s="204"/>
      <c r="BI25" s="204"/>
      <c r="BJ25" s="265" t="s">
        <v>200</v>
      </c>
      <c r="BK25" s="204"/>
      <c r="BL25" s="204"/>
      <c r="BM25" s="204"/>
      <c r="BN25" s="277" t="s">
        <v>287</v>
      </c>
      <c r="BO25" s="224"/>
    </row>
    <row r="26" spans="1:70" ht="279.95" customHeight="1" thickBot="1" x14ac:dyDescent="0.35">
      <c r="A26" s="40"/>
      <c r="B26" s="40"/>
      <c r="E26" s="298"/>
      <c r="F26" s="299"/>
      <c r="G26" s="300"/>
      <c r="H26" s="285"/>
      <c r="I26" s="286"/>
      <c r="J26" s="285"/>
      <c r="K26" s="286"/>
      <c r="L26" s="287"/>
      <c r="M26" s="287"/>
      <c r="N26" s="33"/>
      <c r="O26" s="343"/>
      <c r="P26" s="344"/>
      <c r="Q26" s="344"/>
      <c r="R26" s="344"/>
      <c r="S26" s="344"/>
      <c r="T26" s="344"/>
      <c r="U26" s="345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71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71"/>
      <c r="AU26" s="228"/>
      <c r="AV26" s="243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71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44" t="s">
        <v>675</v>
      </c>
      <c r="BL26" s="244" t="s">
        <v>627</v>
      </c>
      <c r="BM26" s="244" t="s">
        <v>674</v>
      </c>
      <c r="BN26" s="277"/>
      <c r="BO26" s="224"/>
    </row>
    <row r="27" spans="1:70" ht="279.95" customHeight="1" x14ac:dyDescent="0.3">
      <c r="A27" s="40"/>
      <c r="B27" s="40"/>
      <c r="E27" s="298"/>
      <c r="F27" s="299"/>
      <c r="G27" s="300"/>
      <c r="H27" s="285"/>
      <c r="I27" s="286"/>
      <c r="J27" s="285"/>
      <c r="K27" s="286"/>
      <c r="L27" s="287"/>
      <c r="M27" s="287"/>
      <c r="N27" s="33"/>
      <c r="O27" s="343"/>
      <c r="P27" s="344"/>
      <c r="Q27" s="344"/>
      <c r="R27" s="344"/>
      <c r="S27" s="344"/>
      <c r="T27" s="344"/>
      <c r="U27" s="345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0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0" t="s">
        <v>342</v>
      </c>
      <c r="AU27" s="227" t="s">
        <v>275</v>
      </c>
      <c r="AV27" s="246" t="s">
        <v>119</v>
      </c>
      <c r="AX27" s="188"/>
      <c r="AY27" s="188"/>
      <c r="BA27" s="246" t="s">
        <v>123</v>
      </c>
      <c r="BC27" s="188"/>
      <c r="BD27" s="270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5" t="s">
        <v>69</v>
      </c>
      <c r="BN27" s="276" t="s">
        <v>288</v>
      </c>
      <c r="BO27" s="224"/>
    </row>
    <row r="28" spans="1:70" ht="279.95" customHeight="1" thickBot="1" x14ac:dyDescent="0.35">
      <c r="A28" s="9"/>
      <c r="B28" s="44"/>
      <c r="E28" s="298"/>
      <c r="F28" s="299"/>
      <c r="G28" s="300"/>
      <c r="H28" s="285"/>
      <c r="I28" s="286"/>
      <c r="J28" s="285"/>
      <c r="K28" s="286"/>
      <c r="L28" s="287"/>
      <c r="M28" s="287"/>
      <c r="N28" s="33"/>
      <c r="O28" s="343"/>
      <c r="P28" s="344"/>
      <c r="Q28" s="344"/>
      <c r="R28" s="344"/>
      <c r="S28" s="344"/>
      <c r="T28" s="344"/>
      <c r="U28" s="345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0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0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0"/>
      <c r="BE28" s="221"/>
      <c r="BF28" s="238" t="s">
        <v>68</v>
      </c>
      <c r="BG28" s="235" t="s">
        <v>431</v>
      </c>
      <c r="BH28" s="189"/>
      <c r="BI28" s="235" t="s">
        <v>432</v>
      </c>
      <c r="BJ28" s="244" t="s">
        <v>677</v>
      </c>
      <c r="BK28" s="244" t="s">
        <v>678</v>
      </c>
      <c r="BL28" s="238" t="s">
        <v>207</v>
      </c>
      <c r="BM28" s="238" t="s">
        <v>70</v>
      </c>
      <c r="BN28" s="276"/>
      <c r="BO28" s="224"/>
      <c r="BR28" s="4" t="s">
        <v>11</v>
      </c>
    </row>
    <row r="29" spans="1:70" ht="279.95" customHeight="1" thickBot="1" x14ac:dyDescent="0.35">
      <c r="A29" s="9"/>
      <c r="B29" s="44"/>
      <c r="E29" s="298"/>
      <c r="F29" s="299"/>
      <c r="G29" s="300"/>
      <c r="H29" s="285"/>
      <c r="I29" s="286"/>
      <c r="J29" s="285"/>
      <c r="K29" s="286"/>
      <c r="L29" s="287"/>
      <c r="M29" s="287"/>
      <c r="N29" s="33"/>
      <c r="O29" s="343"/>
      <c r="P29" s="344"/>
      <c r="Q29" s="344"/>
      <c r="R29" s="344"/>
      <c r="S29" s="344"/>
      <c r="T29" s="344"/>
      <c r="U29" s="345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272" t="s">
        <v>48</v>
      </c>
      <c r="AW29" s="273"/>
      <c r="AX29" s="273"/>
      <c r="AY29" s="273"/>
      <c r="AZ29" s="273"/>
      <c r="BA29" s="273"/>
      <c r="BB29" s="273"/>
      <c r="BC29" s="274"/>
      <c r="BD29" s="208" t="s">
        <v>317</v>
      </c>
      <c r="BE29" s="223"/>
      <c r="BF29" s="272" t="s">
        <v>49</v>
      </c>
      <c r="BG29" s="273"/>
      <c r="BH29" s="273"/>
      <c r="BI29" s="273"/>
      <c r="BJ29" s="273"/>
      <c r="BK29" s="273"/>
      <c r="BL29" s="273"/>
      <c r="BM29" s="274"/>
      <c r="BN29" s="219" t="s">
        <v>289</v>
      </c>
      <c r="BO29" s="224"/>
    </row>
    <row r="30" spans="1:70" ht="279.95" customHeight="1" thickBot="1" x14ac:dyDescent="0.35">
      <c r="A30" s="9"/>
      <c r="B30" s="44"/>
      <c r="E30" s="301"/>
      <c r="F30" s="302"/>
      <c r="G30" s="303"/>
      <c r="H30" s="285"/>
      <c r="I30" s="286"/>
      <c r="J30" s="285"/>
      <c r="K30" s="286"/>
      <c r="L30" s="287"/>
      <c r="M30" s="287"/>
      <c r="N30" s="33"/>
      <c r="O30" s="343"/>
      <c r="P30" s="344"/>
      <c r="Q30" s="344"/>
      <c r="R30" s="344"/>
      <c r="S30" s="344"/>
      <c r="T30" s="344"/>
      <c r="U30" s="345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0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0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0" t="s">
        <v>318</v>
      </c>
      <c r="BE30" s="221" t="s">
        <v>275</v>
      </c>
      <c r="BF30" s="188"/>
      <c r="BG30" s="188"/>
      <c r="BH30" s="188"/>
      <c r="BI30" s="188"/>
      <c r="BJ30" s="188"/>
      <c r="BK30" s="188"/>
      <c r="BL30" s="188"/>
      <c r="BM30" s="245" t="s">
        <v>655</v>
      </c>
      <c r="BN30" s="276" t="s">
        <v>290</v>
      </c>
      <c r="BO30" s="224"/>
    </row>
    <row r="31" spans="1:70" ht="279.95" customHeight="1" thickTop="1" thickBot="1" x14ac:dyDescent="0.35">
      <c r="A31" s="9"/>
      <c r="B31" s="44"/>
      <c r="E31" s="304" t="s">
        <v>28</v>
      </c>
      <c r="F31" s="305"/>
      <c r="G31" s="306"/>
      <c r="H31" s="285"/>
      <c r="I31" s="286"/>
      <c r="J31" s="285"/>
      <c r="K31" s="286"/>
      <c r="L31" s="287"/>
      <c r="M31" s="287"/>
      <c r="N31" s="67"/>
      <c r="O31" s="343"/>
      <c r="P31" s="344"/>
      <c r="Q31" s="344"/>
      <c r="R31" s="344"/>
      <c r="S31" s="344"/>
      <c r="T31" s="344"/>
      <c r="U31" s="345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0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0"/>
      <c r="AU31" s="227"/>
      <c r="AV31" s="211" t="s">
        <v>418</v>
      </c>
      <c r="AW31" s="211" t="s">
        <v>446</v>
      </c>
      <c r="AX31" s="189"/>
      <c r="AY31" s="189"/>
      <c r="AZ31" s="189"/>
      <c r="BA31" s="211" t="s">
        <v>436</v>
      </c>
      <c r="BB31" s="211" t="s">
        <v>437</v>
      </c>
      <c r="BC31" s="211" t="s">
        <v>438</v>
      </c>
      <c r="BD31" s="270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672</v>
      </c>
      <c r="BN31" s="276"/>
      <c r="BO31" s="224"/>
    </row>
    <row r="32" spans="1:70" ht="279.95" customHeight="1" thickTop="1" x14ac:dyDescent="0.3">
      <c r="A32" s="9"/>
      <c r="B32" s="44"/>
      <c r="E32" s="298"/>
      <c r="F32" s="299"/>
      <c r="G32" s="300"/>
      <c r="H32" s="285"/>
      <c r="I32" s="286"/>
      <c r="J32" s="285"/>
      <c r="K32" s="286"/>
      <c r="L32" s="287"/>
      <c r="M32" s="287"/>
      <c r="N32" s="33"/>
      <c r="O32" s="343"/>
      <c r="P32" s="344"/>
      <c r="Q32" s="344"/>
      <c r="R32" s="344"/>
      <c r="S32" s="344"/>
      <c r="T32" s="344"/>
      <c r="U32" s="345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71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71" t="s">
        <v>345</v>
      </c>
      <c r="AU32" s="228" t="s">
        <v>275</v>
      </c>
      <c r="AV32" s="246" t="s">
        <v>228</v>
      </c>
      <c r="AW32" s="204"/>
      <c r="AX32" s="204"/>
      <c r="AY32" s="246" t="s">
        <v>441</v>
      </c>
      <c r="AZ32" s="210" t="s">
        <v>236</v>
      </c>
      <c r="BA32" s="210" t="s">
        <v>136</v>
      </c>
      <c r="BB32" s="210" t="s">
        <v>434</v>
      </c>
      <c r="BC32" s="210" t="s">
        <v>435</v>
      </c>
      <c r="BD32" s="271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277" t="s">
        <v>291</v>
      </c>
      <c r="BO32" s="224"/>
    </row>
    <row r="33" spans="1:67" ht="279.95" customHeight="1" thickBot="1" x14ac:dyDescent="0.35">
      <c r="A33" s="9"/>
      <c r="B33" s="44"/>
      <c r="E33" s="301"/>
      <c r="F33" s="302"/>
      <c r="G33" s="303"/>
      <c r="H33" s="285"/>
      <c r="I33" s="286"/>
      <c r="J33" s="285"/>
      <c r="K33" s="286"/>
      <c r="L33" s="287"/>
      <c r="M33" s="287"/>
      <c r="N33" s="33"/>
      <c r="O33" s="343"/>
      <c r="P33" s="344"/>
      <c r="Q33" s="344"/>
      <c r="R33" s="344"/>
      <c r="S33" s="344"/>
      <c r="T33" s="344"/>
      <c r="U33" s="345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71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71"/>
      <c r="AU33" s="228"/>
      <c r="AV33" s="235" t="s">
        <v>440</v>
      </c>
      <c r="AW33" s="203"/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71"/>
      <c r="BE33" s="222"/>
      <c r="BF33" s="196" t="s">
        <v>547</v>
      </c>
      <c r="BG33" s="196" t="s">
        <v>546</v>
      </c>
      <c r="BH33" s="203"/>
      <c r="BI33" s="243" t="s">
        <v>637</v>
      </c>
      <c r="BJ33" s="235" t="s">
        <v>209</v>
      </c>
      <c r="BK33" s="268"/>
      <c r="BL33" s="211" t="s">
        <v>624</v>
      </c>
      <c r="BM33" s="243" t="s">
        <v>625</v>
      </c>
      <c r="BN33" s="277"/>
      <c r="BO33" s="224"/>
    </row>
    <row r="34" spans="1:67" ht="279.95" customHeight="1" x14ac:dyDescent="0.3">
      <c r="A34" s="9"/>
      <c r="B34" s="44"/>
      <c r="E34" s="304" t="s">
        <v>29</v>
      </c>
      <c r="F34" s="305"/>
      <c r="G34" s="306"/>
      <c r="H34" s="285"/>
      <c r="I34" s="286"/>
      <c r="J34" s="285"/>
      <c r="K34" s="286"/>
      <c r="L34" s="287"/>
      <c r="M34" s="287"/>
      <c r="N34" s="33"/>
      <c r="O34" s="343"/>
      <c r="P34" s="344"/>
      <c r="Q34" s="344"/>
      <c r="R34" s="344"/>
      <c r="S34" s="344"/>
      <c r="T34" s="344"/>
      <c r="U34" s="345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0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0" t="s">
        <v>346</v>
      </c>
      <c r="AU34" s="227" t="s">
        <v>275</v>
      </c>
      <c r="AV34" s="188"/>
      <c r="AW34" s="188"/>
      <c r="AX34" s="188"/>
      <c r="AY34" s="210" t="s">
        <v>229</v>
      </c>
      <c r="AZ34" s="210" t="s">
        <v>213</v>
      </c>
      <c r="BA34" s="210" t="s">
        <v>135</v>
      </c>
      <c r="BB34" s="210" t="s">
        <v>201</v>
      </c>
      <c r="BC34" s="210" t="s">
        <v>126</v>
      </c>
      <c r="BD34" s="270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210" t="s">
        <v>566</v>
      </c>
      <c r="BL34" s="210" t="s">
        <v>447</v>
      </c>
      <c r="BM34" s="210" t="s">
        <v>563</v>
      </c>
      <c r="BN34" s="276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301"/>
      <c r="F35" s="302"/>
      <c r="G35" s="303"/>
      <c r="H35" s="285"/>
      <c r="I35" s="286"/>
      <c r="J35" s="285"/>
      <c r="K35" s="286"/>
      <c r="L35" s="287"/>
      <c r="M35" s="287"/>
      <c r="N35" s="33"/>
      <c r="O35" s="343"/>
      <c r="P35" s="344"/>
      <c r="Q35" s="344"/>
      <c r="R35" s="344"/>
      <c r="S35" s="344"/>
      <c r="T35" s="344"/>
      <c r="U35" s="345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0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43" t="s">
        <v>478</v>
      </c>
      <c r="AR35" s="237" t="s">
        <v>479</v>
      </c>
      <c r="AS35" s="237" t="s">
        <v>480</v>
      </c>
      <c r="AT35" s="270"/>
      <c r="AU35" s="227"/>
      <c r="AV35" s="189"/>
      <c r="AW35" s="189"/>
      <c r="AX35" s="189"/>
      <c r="AY35" s="211" t="s">
        <v>130</v>
      </c>
      <c r="AZ35" s="243" t="s">
        <v>131</v>
      </c>
      <c r="BA35" s="243" t="s">
        <v>445</v>
      </c>
      <c r="BB35" s="211" t="s">
        <v>224</v>
      </c>
      <c r="BC35" s="211" t="s">
        <v>143</v>
      </c>
      <c r="BD35" s="270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276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301" t="s">
        <v>30</v>
      </c>
      <c r="F36" s="302"/>
      <c r="G36" s="303"/>
      <c r="H36" s="288"/>
      <c r="I36" s="289"/>
      <c r="J36" s="288"/>
      <c r="K36" s="289"/>
      <c r="L36" s="291"/>
      <c r="M36" s="291"/>
      <c r="N36" s="33"/>
      <c r="O36" s="343"/>
      <c r="P36" s="344"/>
      <c r="Q36" s="344"/>
      <c r="R36" s="344"/>
      <c r="S36" s="344"/>
      <c r="T36" s="344"/>
      <c r="U36" s="345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71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71" t="s">
        <v>347</v>
      </c>
      <c r="AU36" s="228" t="s">
        <v>275</v>
      </c>
      <c r="AV36" s="204"/>
      <c r="AW36" s="204"/>
      <c r="AX36" s="204"/>
      <c r="AY36" s="210" t="s">
        <v>227</v>
      </c>
      <c r="AZ36" s="210" t="s">
        <v>216</v>
      </c>
      <c r="BA36" s="210" t="s">
        <v>132</v>
      </c>
      <c r="BB36" s="210" t="s">
        <v>137</v>
      </c>
      <c r="BC36" s="210" t="s">
        <v>147</v>
      </c>
      <c r="BD36" s="271" t="s">
        <v>321</v>
      </c>
      <c r="BE36" s="222" t="s">
        <v>275</v>
      </c>
      <c r="BF36" s="210" t="s">
        <v>94</v>
      </c>
      <c r="BG36" s="204"/>
      <c r="BH36" s="204"/>
      <c r="BI36" s="204"/>
      <c r="BJ36" s="204"/>
      <c r="BK36" s="204"/>
      <c r="BL36" s="204"/>
      <c r="BM36" s="204"/>
      <c r="BN36" s="277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46" t="s">
        <v>31</v>
      </c>
      <c r="F37" s="346"/>
      <c r="G37" s="346"/>
      <c r="H37" s="346"/>
      <c r="I37" s="346"/>
      <c r="J37" s="346"/>
      <c r="K37" s="346"/>
      <c r="L37" s="346"/>
      <c r="M37" s="346"/>
      <c r="N37" s="74"/>
      <c r="O37" s="347" t="s">
        <v>31</v>
      </c>
      <c r="P37" s="348"/>
      <c r="Q37" s="348"/>
      <c r="R37" s="348"/>
      <c r="S37" s="348"/>
      <c r="T37" s="348"/>
      <c r="U37" s="348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71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71"/>
      <c r="AU37" s="228"/>
      <c r="AV37" s="244" t="s">
        <v>670</v>
      </c>
      <c r="AW37" s="244" t="s">
        <v>667</v>
      </c>
      <c r="AX37" s="260"/>
      <c r="AY37" s="211" t="s">
        <v>453</v>
      </c>
      <c r="AZ37" s="211" t="s">
        <v>223</v>
      </c>
      <c r="BA37" s="211" t="s">
        <v>128</v>
      </c>
      <c r="BB37" s="211" t="s">
        <v>142</v>
      </c>
      <c r="BC37" s="211" t="s">
        <v>133</v>
      </c>
      <c r="BD37" s="271"/>
      <c r="BE37" s="222"/>
      <c r="BF37" s="211" t="s">
        <v>449</v>
      </c>
      <c r="BG37" s="196" t="s">
        <v>77</v>
      </c>
      <c r="BH37" s="203"/>
      <c r="BI37" s="243" t="s">
        <v>604</v>
      </c>
      <c r="BJ37" s="235" t="s">
        <v>215</v>
      </c>
      <c r="BK37" s="203"/>
      <c r="BL37" s="203"/>
      <c r="BM37" s="250"/>
      <c r="BN37" s="277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49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0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0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0" t="s">
        <v>322</v>
      </c>
      <c r="BE38" s="221" t="s">
        <v>275</v>
      </c>
      <c r="BF38" s="210" t="s">
        <v>249</v>
      </c>
      <c r="BG38" s="246" t="s">
        <v>407</v>
      </c>
      <c r="BH38" s="188"/>
      <c r="BI38" s="188"/>
      <c r="BJ38" s="188"/>
      <c r="BK38" s="188"/>
      <c r="BL38" s="210" t="s">
        <v>457</v>
      </c>
      <c r="BM38" s="246" t="s">
        <v>378</v>
      </c>
      <c r="BN38" s="276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350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0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0"/>
      <c r="AU39" s="227"/>
      <c r="AV39" s="189"/>
      <c r="AW39" s="189"/>
      <c r="AY39" s="235" t="s">
        <v>450</v>
      </c>
      <c r="AZ39" s="211" t="s">
        <v>568</v>
      </c>
      <c r="BA39" s="243" t="s">
        <v>425</v>
      </c>
      <c r="BB39" s="243" t="s">
        <v>666</v>
      </c>
      <c r="BC39" s="196" t="s">
        <v>220</v>
      </c>
      <c r="BD39" s="270"/>
      <c r="BE39" s="221"/>
      <c r="BF39" s="211" t="s">
        <v>455</v>
      </c>
      <c r="BG39" s="211" t="s">
        <v>456</v>
      </c>
      <c r="BH39" s="189"/>
      <c r="BI39" s="211" t="s">
        <v>636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276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71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71" t="s">
        <v>349</v>
      </c>
      <c r="AU40" s="228" t="s">
        <v>275</v>
      </c>
      <c r="AV40" s="204"/>
      <c r="AW40" s="204"/>
      <c r="AX40" s="204"/>
      <c r="AY40" s="204"/>
      <c r="AZ40" s="204"/>
      <c r="BA40" s="197" t="s">
        <v>221</v>
      </c>
      <c r="BB40" s="204"/>
      <c r="BC40" s="204"/>
      <c r="BD40" s="271" t="s">
        <v>323</v>
      </c>
      <c r="BE40" s="222" t="s">
        <v>275</v>
      </c>
      <c r="BF40" s="210" t="s">
        <v>462</v>
      </c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277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71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71"/>
      <c r="AU41" s="228"/>
      <c r="AV41" s="203"/>
      <c r="AW41" s="203"/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71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277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8"/>
      <c r="P42" s="350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0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0" t="s">
        <v>350</v>
      </c>
      <c r="AU42" s="227" t="s">
        <v>275</v>
      </c>
      <c r="AV42" s="210" t="s">
        <v>230</v>
      </c>
      <c r="AW42" s="188"/>
      <c r="AX42" s="188"/>
      <c r="AY42" s="188"/>
      <c r="AZ42" s="188"/>
      <c r="BA42" s="188"/>
      <c r="BB42" s="239"/>
      <c r="BC42" s="188"/>
      <c r="BD42" s="270" t="s">
        <v>324</v>
      </c>
      <c r="BE42" s="221" t="s">
        <v>275</v>
      </c>
      <c r="BF42" s="210" t="s">
        <v>250</v>
      </c>
      <c r="BG42" s="188"/>
      <c r="BH42" s="188"/>
      <c r="BI42" s="188"/>
      <c r="BJ42" s="188"/>
      <c r="BK42" s="188"/>
      <c r="BL42" s="188"/>
      <c r="BM42" s="197" t="s">
        <v>90</v>
      </c>
      <c r="BN42" s="276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8"/>
      <c r="P43" s="350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0"/>
      <c r="AK43" s="227"/>
      <c r="AL43" s="237" t="s">
        <v>575</v>
      </c>
      <c r="AM43" s="237" t="s">
        <v>576</v>
      </c>
      <c r="AN43" s="243" t="s">
        <v>647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0"/>
      <c r="AU43" s="227"/>
      <c r="AV43" s="211" t="s">
        <v>141</v>
      </c>
      <c r="AW43" s="189"/>
      <c r="AX43" s="189"/>
      <c r="AY43" s="243" t="s">
        <v>669</v>
      </c>
      <c r="AZ43" s="196" t="s">
        <v>214</v>
      </c>
      <c r="BA43" s="244" t="s">
        <v>654</v>
      </c>
      <c r="BB43" s="196" t="s">
        <v>208</v>
      </c>
      <c r="BC43" s="243" t="s">
        <v>652</v>
      </c>
      <c r="BD43" s="270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276"/>
      <c r="BO43" s="225"/>
    </row>
    <row r="44" spans="1:67" s="73" customFormat="1" ht="279.95" customHeight="1" x14ac:dyDescent="0.3">
      <c r="A44" s="78"/>
      <c r="B44" s="78"/>
      <c r="E44" s="351" t="s">
        <v>35</v>
      </c>
      <c r="F44" s="352"/>
      <c r="G44" s="355" t="s">
        <v>36</v>
      </c>
      <c r="H44" s="31"/>
      <c r="I44" s="31"/>
      <c r="J44" s="30"/>
      <c r="K44" s="82"/>
      <c r="L44" s="31"/>
      <c r="M44" s="31"/>
      <c r="N44" s="81"/>
      <c r="O44" s="358"/>
      <c r="P44" s="350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71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71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71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277" t="s">
        <v>297</v>
      </c>
      <c r="BO44" s="225"/>
    </row>
    <row r="45" spans="1:67" s="73" customFormat="1" ht="279.95" customHeight="1" thickBot="1" x14ac:dyDescent="0.35">
      <c r="A45" s="78"/>
      <c r="B45" s="78"/>
      <c r="E45" s="353"/>
      <c r="F45" s="354"/>
      <c r="G45" s="356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71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71"/>
      <c r="AU45" s="228"/>
      <c r="AV45" s="211" t="s">
        <v>567</v>
      </c>
      <c r="AW45" s="244" t="s">
        <v>679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653</v>
      </c>
      <c r="BC45" s="243" t="s">
        <v>668</v>
      </c>
      <c r="BD45" s="271"/>
      <c r="BE45" s="222"/>
      <c r="BF45" s="243" t="s">
        <v>465</v>
      </c>
      <c r="BG45" s="243" t="s">
        <v>464</v>
      </c>
      <c r="BH45" s="203"/>
      <c r="BI45" s="203"/>
      <c r="BJ45" s="196" t="s">
        <v>544</v>
      </c>
      <c r="BK45" s="238" t="s">
        <v>219</v>
      </c>
      <c r="BL45" s="196" t="s">
        <v>79</v>
      </c>
      <c r="BM45" s="196" t="s">
        <v>389</v>
      </c>
      <c r="BN45" s="277"/>
      <c r="BO45" s="225"/>
    </row>
    <row r="46" spans="1:67" s="73" customFormat="1" ht="279.95" customHeight="1" x14ac:dyDescent="0.3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0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0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0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276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0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0"/>
      <c r="AU47" s="227"/>
      <c r="AV47" s="243" t="s">
        <v>424</v>
      </c>
      <c r="AW47" s="211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0"/>
      <c r="BE47" s="221"/>
      <c r="BF47" s="211" t="s">
        <v>460</v>
      </c>
      <c r="BG47" s="211" t="s">
        <v>251</v>
      </c>
      <c r="BH47" s="189"/>
      <c r="BI47" s="189"/>
      <c r="BJ47" s="238" t="s">
        <v>120</v>
      </c>
      <c r="BK47" s="199" t="s">
        <v>81</v>
      </c>
      <c r="BL47" s="238" t="s">
        <v>388</v>
      </c>
      <c r="BM47" s="238" t="s">
        <v>260</v>
      </c>
      <c r="BN47" s="276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63" t="s">
        <v>37</v>
      </c>
      <c r="P48" s="363"/>
      <c r="Q48" s="363"/>
      <c r="R48" s="363"/>
      <c r="S48" s="363"/>
      <c r="T48" s="363"/>
      <c r="U48" s="364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71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71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71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277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65"/>
      <c r="P49" s="365"/>
      <c r="Q49" s="365"/>
      <c r="R49" s="365"/>
      <c r="S49" s="365"/>
      <c r="T49" s="365"/>
      <c r="U49" s="366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71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71"/>
      <c r="AU49" s="228"/>
      <c r="AV49" s="196" t="s">
        <v>505</v>
      </c>
      <c r="AW49" s="196" t="s">
        <v>139</v>
      </c>
      <c r="AX49" s="203"/>
      <c r="AY49" s="203"/>
      <c r="AZ49" s="196" t="s">
        <v>237</v>
      </c>
      <c r="BA49" s="196" t="s">
        <v>150</v>
      </c>
      <c r="BB49" s="196" t="s">
        <v>238</v>
      </c>
      <c r="BC49" s="196" t="s">
        <v>239</v>
      </c>
      <c r="BD49" s="271"/>
      <c r="BE49" s="222"/>
      <c r="BF49" s="243" t="s">
        <v>638</v>
      </c>
      <c r="BG49" s="243" t="s">
        <v>639</v>
      </c>
      <c r="BH49" s="203"/>
      <c r="BI49" s="203"/>
      <c r="BJ49" s="244" t="s">
        <v>645</v>
      </c>
      <c r="BK49" s="196" t="s">
        <v>87</v>
      </c>
      <c r="BL49" s="196" t="s">
        <v>255</v>
      </c>
      <c r="BM49" s="238" t="s">
        <v>259</v>
      </c>
      <c r="BN49" s="277"/>
      <c r="BO49" s="224"/>
    </row>
    <row r="50" spans="1:77" ht="279.95" customHeight="1" thickBot="1" x14ac:dyDescent="0.35">
      <c r="A50" s="79"/>
      <c r="B50" s="79"/>
      <c r="E50" s="285" t="s">
        <v>38</v>
      </c>
      <c r="F50" s="287"/>
      <c r="G50" s="286"/>
      <c r="H50" s="31"/>
      <c r="I50" s="31"/>
      <c r="J50" s="30"/>
      <c r="K50" s="82"/>
      <c r="L50" s="31"/>
      <c r="M50" s="31"/>
      <c r="N50" s="33"/>
      <c r="O50" s="365"/>
      <c r="P50" s="365"/>
      <c r="Q50" s="365"/>
      <c r="R50" s="365"/>
      <c r="S50" s="365"/>
      <c r="T50" s="365"/>
      <c r="U50" s="366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0" t="s">
        <v>628</v>
      </c>
      <c r="AU50" s="227" t="s">
        <v>275</v>
      </c>
      <c r="AV50" s="188"/>
      <c r="AW50" s="188"/>
      <c r="AX50" s="188"/>
      <c r="AY50" s="197" t="s">
        <v>649</v>
      </c>
      <c r="AZ50" s="188"/>
      <c r="BA50" s="188"/>
      <c r="BB50" s="197" t="s">
        <v>151</v>
      </c>
      <c r="BC50" s="188"/>
      <c r="BD50" s="270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276" t="s">
        <v>300</v>
      </c>
      <c r="BO50" s="224"/>
    </row>
    <row r="51" spans="1:77" ht="279.95" customHeight="1" thickBot="1" x14ac:dyDescent="0.35">
      <c r="A51" s="79"/>
      <c r="B51" s="79"/>
      <c r="E51" s="285"/>
      <c r="F51" s="287"/>
      <c r="G51" s="286"/>
      <c r="H51" s="31"/>
      <c r="I51" s="31"/>
      <c r="J51" s="30"/>
      <c r="K51" s="82"/>
      <c r="L51" s="31"/>
      <c r="M51" s="31"/>
      <c r="N51" s="33"/>
      <c r="O51" s="365"/>
      <c r="P51" s="365"/>
      <c r="Q51" s="365"/>
      <c r="R51" s="365"/>
      <c r="S51" s="365"/>
      <c r="T51" s="365"/>
      <c r="U51" s="366"/>
      <c r="V51" s="95"/>
      <c r="W51" s="14"/>
      <c r="X51" s="14"/>
      <c r="Y51" s="14"/>
      <c r="Z51" s="60"/>
      <c r="AA51" s="261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2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663</v>
      </c>
      <c r="AN51" s="211" t="s">
        <v>633</v>
      </c>
      <c r="AO51" s="209" t="s">
        <v>632</v>
      </c>
      <c r="AP51" s="189"/>
      <c r="AQ51" s="189"/>
      <c r="AR51" s="189"/>
      <c r="AS51" s="189"/>
      <c r="AT51" s="270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0"/>
      <c r="BE51" s="221"/>
      <c r="BF51" s="243" t="s">
        <v>664</v>
      </c>
      <c r="BG51" s="243" t="s">
        <v>651</v>
      </c>
      <c r="BH51" s="189"/>
      <c r="BI51" s="189"/>
      <c r="BJ51" s="189"/>
      <c r="BK51" s="196" t="s">
        <v>138</v>
      </c>
      <c r="BL51" s="238" t="s">
        <v>92</v>
      </c>
      <c r="BM51" s="196" t="s">
        <v>258</v>
      </c>
      <c r="BN51" s="276"/>
      <c r="BO51" s="224"/>
    </row>
    <row r="52" spans="1:77" ht="279.95" customHeight="1" thickBot="1" x14ac:dyDescent="0.35">
      <c r="A52" s="79"/>
      <c r="B52" s="79"/>
      <c r="E52" s="285"/>
      <c r="F52" s="287"/>
      <c r="G52" s="286"/>
      <c r="H52" s="31"/>
      <c r="I52" s="31"/>
      <c r="J52" s="30"/>
      <c r="K52" s="82"/>
      <c r="L52" s="31"/>
      <c r="M52" s="31"/>
      <c r="N52" s="33"/>
      <c r="O52" s="365"/>
      <c r="P52" s="365"/>
      <c r="Q52" s="365"/>
      <c r="R52" s="365"/>
      <c r="S52" s="365"/>
      <c r="T52" s="365"/>
      <c r="U52" s="366"/>
      <c r="V52" s="36"/>
      <c r="W52" s="14"/>
      <c r="X52" s="14"/>
      <c r="Y52" s="14"/>
      <c r="Z52" s="51"/>
      <c r="AA52" s="263">
        <f>COUNTA(AV55:BE55)</f>
        <v>2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187</v>
      </c>
      <c r="AE52" s="195">
        <f>COUNTA(BF30:BM57,BF3:BM28)</f>
        <v>198</v>
      </c>
      <c r="AF52" s="242">
        <f>SUM(AA52:AE52)+AJ52</f>
        <v>582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108</v>
      </c>
      <c r="AI52" s="253">
        <f>COUNTIF( $AV$3:$BC$53,"*403*") + COUNTIF($AB$3:$AS$51,"*403*")+ COUNTIF($AV$55:$BD$55,"*403*") +COUNTIF($BF$3:$BM$57,"*403*") -1</f>
        <v>222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71" t="s">
        <v>329</v>
      </c>
      <c r="BE52" s="222" t="s">
        <v>275</v>
      </c>
      <c r="BF52" s="210" t="s">
        <v>247</v>
      </c>
      <c r="BG52" s="210" t="s">
        <v>246</v>
      </c>
      <c r="BH52" s="204"/>
      <c r="BI52" s="204"/>
      <c r="BJ52" s="204"/>
      <c r="BK52" s="204"/>
      <c r="BL52" s="204"/>
      <c r="BM52" s="204"/>
      <c r="BN52" s="277" t="s">
        <v>301</v>
      </c>
      <c r="BO52" s="224"/>
    </row>
    <row r="53" spans="1:77" ht="279.95" customHeight="1" thickBot="1" x14ac:dyDescent="0.35">
      <c r="A53" s="96"/>
      <c r="B53" s="96"/>
      <c r="E53" s="285"/>
      <c r="F53" s="287"/>
      <c r="G53" s="286"/>
      <c r="H53" s="31"/>
      <c r="I53" s="31"/>
      <c r="J53" s="30"/>
      <c r="K53" s="82"/>
      <c r="L53" s="31"/>
      <c r="M53" s="31"/>
      <c r="N53" s="33"/>
      <c r="O53" s="365"/>
      <c r="P53" s="365"/>
      <c r="Q53" s="365"/>
      <c r="R53" s="365"/>
      <c r="S53" s="365"/>
      <c r="T53" s="365"/>
      <c r="U53" s="366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71"/>
      <c r="BE53" s="222"/>
      <c r="BF53" s="211" t="s">
        <v>241</v>
      </c>
      <c r="BG53" s="211" t="s">
        <v>242</v>
      </c>
      <c r="BH53" s="203"/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277"/>
      <c r="BO53" s="224"/>
    </row>
    <row r="54" spans="1:77" ht="279.95" customHeight="1" thickBot="1" x14ac:dyDescent="0.35">
      <c r="A54" s="96"/>
      <c r="B54" s="96"/>
      <c r="E54" s="285"/>
      <c r="F54" s="287"/>
      <c r="G54" s="286"/>
      <c r="H54" s="31"/>
      <c r="I54" s="31"/>
      <c r="J54" s="30"/>
      <c r="K54" s="82"/>
      <c r="L54" s="31"/>
      <c r="M54" s="31"/>
      <c r="N54" s="33"/>
      <c r="O54" s="365"/>
      <c r="P54" s="365"/>
      <c r="Q54" s="365"/>
      <c r="R54" s="365"/>
      <c r="S54" s="365"/>
      <c r="T54" s="365"/>
      <c r="U54" s="366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210" t="s">
        <v>243</v>
      </c>
      <c r="BG54" s="210" t="s">
        <v>248</v>
      </c>
      <c r="BH54" s="188"/>
      <c r="BI54" s="188"/>
      <c r="BJ54" s="188"/>
      <c r="BK54" s="188"/>
      <c r="BL54" s="188"/>
      <c r="BM54" s="188"/>
      <c r="BN54" s="276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285"/>
      <c r="F55" s="287"/>
      <c r="G55" s="286"/>
      <c r="H55" s="31"/>
      <c r="I55" s="31"/>
      <c r="J55" s="30"/>
      <c r="K55" s="82"/>
      <c r="L55" s="31"/>
      <c r="M55" s="31"/>
      <c r="N55" s="33"/>
      <c r="O55" s="365"/>
      <c r="P55" s="365"/>
      <c r="Q55" s="365"/>
      <c r="R55" s="365"/>
      <c r="S55" s="365"/>
      <c r="T55" s="365"/>
      <c r="U55" s="366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193"/>
      <c r="AW55" s="252" t="s">
        <v>253</v>
      </c>
      <c r="AX55" s="267" t="s">
        <v>648</v>
      </c>
      <c r="AY55" s="193"/>
      <c r="AZ55" s="193"/>
      <c r="BA55" s="193"/>
      <c r="BB55" s="193"/>
      <c r="BC55" s="194"/>
      <c r="BD55" s="4"/>
      <c r="BE55" s="221"/>
      <c r="BF55" s="211" t="s">
        <v>244</v>
      </c>
      <c r="BG55" s="211" t="s">
        <v>463</v>
      </c>
      <c r="BH55" s="189"/>
      <c r="BI55" s="189"/>
      <c r="BJ55" s="189"/>
      <c r="BK55" s="189"/>
      <c r="BL55" s="189"/>
      <c r="BM55" s="189"/>
      <c r="BN55" s="276"/>
      <c r="BO55" s="224"/>
    </row>
    <row r="56" spans="1:77" ht="279.95" customHeight="1" x14ac:dyDescent="0.3">
      <c r="A56" s="96"/>
      <c r="B56" s="96"/>
      <c r="E56" s="285"/>
      <c r="F56" s="287"/>
      <c r="G56" s="286"/>
      <c r="H56" s="31"/>
      <c r="I56" s="31"/>
      <c r="J56" s="30"/>
      <c r="K56" s="82"/>
      <c r="L56" s="31"/>
      <c r="M56" s="31"/>
      <c r="N56" s="33"/>
      <c r="O56" s="365"/>
      <c r="P56" s="365"/>
      <c r="Q56" s="365"/>
      <c r="R56" s="365"/>
      <c r="S56" s="365"/>
      <c r="T56" s="365"/>
      <c r="U56" s="366"/>
      <c r="V56" s="36"/>
      <c r="W56" s="14"/>
      <c r="X56" s="14"/>
      <c r="Y56" s="14"/>
      <c r="Z56" s="14"/>
      <c r="AS56" s="4"/>
      <c r="AT56" s="190"/>
      <c r="BE56" s="222" t="s">
        <v>47</v>
      </c>
      <c r="BF56" s="210" t="s">
        <v>467</v>
      </c>
      <c r="BG56" s="204"/>
      <c r="BH56" s="204"/>
      <c r="BI56" s="204"/>
      <c r="BJ56" s="204"/>
      <c r="BK56" s="204"/>
      <c r="BL56" s="204"/>
      <c r="BM56" s="204"/>
      <c r="BN56" s="359" t="s">
        <v>303</v>
      </c>
      <c r="BO56" s="224"/>
    </row>
    <row r="57" spans="1:77" ht="279.95" customHeight="1" thickBot="1" x14ac:dyDescent="0.35">
      <c r="A57" s="96"/>
      <c r="B57" s="96"/>
      <c r="E57" s="288"/>
      <c r="F57" s="291"/>
      <c r="G57" s="289"/>
      <c r="H57" s="31"/>
      <c r="I57" s="31"/>
      <c r="J57" s="30"/>
      <c r="K57" s="82"/>
      <c r="L57" s="31"/>
      <c r="M57" s="31"/>
      <c r="N57" s="33"/>
      <c r="O57" s="367"/>
      <c r="P57" s="367"/>
      <c r="Q57" s="367"/>
      <c r="R57" s="367"/>
      <c r="S57" s="367"/>
      <c r="T57" s="367"/>
      <c r="U57" s="368"/>
      <c r="V57" s="36"/>
      <c r="W57" s="14"/>
      <c r="X57" s="14"/>
      <c r="Y57" s="14"/>
      <c r="Z57" s="14"/>
      <c r="AS57" s="4"/>
      <c r="AT57" s="190"/>
      <c r="BE57" s="222"/>
      <c r="BF57" s="243" t="s">
        <v>466</v>
      </c>
      <c r="BG57" s="203"/>
      <c r="BH57" s="203"/>
      <c r="BI57" s="203"/>
      <c r="BJ57" s="203"/>
      <c r="BK57" s="203"/>
      <c r="BL57" s="203"/>
      <c r="BM57" s="203"/>
      <c r="BN57" s="359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425" t="s">
        <v>40</v>
      </c>
      <c r="P58" s="363"/>
      <c r="Q58" s="363"/>
      <c r="R58" s="363"/>
      <c r="S58" s="363"/>
      <c r="T58" s="363"/>
      <c r="U58" s="364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07" t="s">
        <v>8</v>
      </c>
      <c r="AL58" s="369"/>
      <c r="AM58" s="369"/>
      <c r="AN58" s="308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426"/>
      <c r="P59" s="365"/>
      <c r="Q59" s="365"/>
      <c r="R59" s="365"/>
      <c r="S59" s="365"/>
      <c r="T59" s="365"/>
      <c r="U59" s="366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426"/>
      <c r="P60" s="365"/>
      <c r="Q60" s="365"/>
      <c r="R60" s="365"/>
      <c r="S60" s="365"/>
      <c r="T60" s="365"/>
      <c r="U60" s="366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426"/>
      <c r="P61" s="365"/>
      <c r="Q61" s="365"/>
      <c r="R61" s="365"/>
      <c r="S61" s="365"/>
      <c r="T61" s="365"/>
      <c r="U61" s="366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407" t="s">
        <v>9</v>
      </c>
      <c r="AL61" s="408"/>
      <c r="AM61" s="408"/>
      <c r="AN61" s="409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10</v>
      </c>
      <c r="AX61" s="213">
        <f>COUNTIF($AB$3:$BC$55,"*402-7-*") + COUNTIF($BF$3:$BM$57,"*402-7-*")</f>
        <v>4</v>
      </c>
      <c r="AY61" s="213">
        <f>COUNTIF($AB$3:$BC$55,"*402-8-*") + COUNTIF($BF$3:$BM$57,"*402-8-*")</f>
        <v>8</v>
      </c>
      <c r="AZ61" s="213">
        <f>COUNTIF($AB$3:$BC$55,"*402-9-*") + COUNTIF($BF$3:$BM$57,"*402-9-*")</f>
        <v>7</v>
      </c>
      <c r="BA61" s="213">
        <f>COUNTIF($AB$3:$BC$55,"*402-10-*") + COUNTIF($BF$3:$BM$57,"*402-10-*")</f>
        <v>3</v>
      </c>
      <c r="BB61" s="213">
        <f>COUNTIF($AB$3:$BC$55,"*402-11-*") + COUNTIF($BF$3:$BM$57,"*402-11-*")</f>
        <v>1</v>
      </c>
      <c r="BC61" s="213">
        <f>COUNTIF($AB$3:$BC$55,"*402-12-*") + COUNTIF($BF$3:$BM$57,"*402-12-*")</f>
        <v>3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1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0.35064935064935066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426"/>
      <c r="P62" s="365"/>
      <c r="Q62" s="365"/>
      <c r="R62" s="365"/>
      <c r="S62" s="365"/>
      <c r="T62" s="365"/>
      <c r="U62" s="366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410"/>
      <c r="AL62" s="411"/>
      <c r="AM62" s="411"/>
      <c r="AN62" s="412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14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0.9910714285714286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426"/>
      <c r="P63" s="365"/>
      <c r="Q63" s="365"/>
      <c r="R63" s="365"/>
      <c r="S63" s="365"/>
      <c r="T63" s="365"/>
      <c r="U63" s="366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413"/>
      <c r="AL63" s="414"/>
      <c r="AM63" s="414"/>
      <c r="AN63" s="415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426"/>
      <c r="P64" s="365"/>
      <c r="Q64" s="365"/>
      <c r="R64" s="365"/>
      <c r="S64" s="365"/>
      <c r="T64" s="365"/>
      <c r="U64" s="366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426"/>
      <c r="P65" s="365"/>
      <c r="Q65" s="365"/>
      <c r="R65" s="365"/>
      <c r="S65" s="365"/>
      <c r="T65" s="365"/>
      <c r="U65" s="366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426"/>
      <c r="P66" s="365"/>
      <c r="Q66" s="365"/>
      <c r="R66" s="365"/>
      <c r="S66" s="365"/>
      <c r="T66" s="365"/>
      <c r="U66" s="366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416" t="s">
        <v>10</v>
      </c>
      <c r="AL66" s="417"/>
      <c r="AM66" s="417"/>
      <c r="AN66" s="417"/>
      <c r="AO66" s="417"/>
      <c r="AP66" s="418"/>
      <c r="AQ66" s="105"/>
      <c r="AR66" s="40"/>
      <c r="AS66" s="360" t="s">
        <v>0</v>
      </c>
      <c r="AT66" s="173"/>
      <c r="AU66" s="360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426"/>
      <c r="P67" s="365"/>
      <c r="Q67" s="365"/>
      <c r="R67" s="365"/>
      <c r="S67" s="365"/>
      <c r="T67" s="365"/>
      <c r="U67" s="366"/>
      <c r="V67" s="95"/>
      <c r="W67" s="103"/>
      <c r="X67" s="14"/>
      <c r="Z67" s="14"/>
      <c r="AA67" s="37"/>
      <c r="AG67" s="9"/>
      <c r="AH67" s="9"/>
      <c r="AI67" s="98"/>
      <c r="AJ67" s="98"/>
      <c r="AK67" s="419"/>
      <c r="AL67" s="420"/>
      <c r="AM67" s="420"/>
      <c r="AN67" s="420"/>
      <c r="AO67" s="420"/>
      <c r="AP67" s="421"/>
      <c r="AQ67" s="44"/>
      <c r="AR67" s="44"/>
      <c r="AS67" s="361"/>
      <c r="AT67" s="174"/>
      <c r="AU67" s="361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426"/>
      <c r="P68" s="365"/>
      <c r="Q68" s="365"/>
      <c r="R68" s="365"/>
      <c r="S68" s="365"/>
      <c r="T68" s="365"/>
      <c r="U68" s="366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422"/>
      <c r="AL68" s="423"/>
      <c r="AM68" s="423"/>
      <c r="AN68" s="423"/>
      <c r="AO68" s="423"/>
      <c r="AP68" s="424"/>
      <c r="AQ68" s="101"/>
      <c r="AR68" s="101"/>
      <c r="AS68" s="362"/>
      <c r="AT68" s="175"/>
      <c r="AU68" s="362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426"/>
      <c r="P69" s="365"/>
      <c r="Q69" s="365"/>
      <c r="R69" s="365"/>
      <c r="S69" s="365"/>
      <c r="T69" s="365"/>
      <c r="U69" s="366"/>
      <c r="V69" s="95"/>
      <c r="W69" s="103"/>
      <c r="X69" s="14"/>
      <c r="Y69" s="13"/>
      <c r="Z69" s="14"/>
      <c r="AA69" s="94"/>
      <c r="AB69" s="117"/>
      <c r="AC69" s="117"/>
      <c r="AD69" s="401" t="s">
        <v>3</v>
      </c>
      <c r="AE69" s="402"/>
      <c r="AF69" s="402"/>
      <c r="AG69" s="402"/>
      <c r="AH69" s="403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427"/>
      <c r="P70" s="367"/>
      <c r="Q70" s="367"/>
      <c r="R70" s="367"/>
      <c r="S70" s="367"/>
      <c r="T70" s="367"/>
      <c r="U70" s="368"/>
      <c r="V70" s="95"/>
      <c r="W70" s="103"/>
      <c r="X70" s="14"/>
      <c r="AB70" s="117"/>
      <c r="AC70" s="117"/>
      <c r="AD70" s="404"/>
      <c r="AE70" s="405"/>
      <c r="AF70" s="405"/>
      <c r="AG70" s="405"/>
      <c r="AH70" s="406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74" t="s">
        <v>41</v>
      </c>
      <c r="L75" s="375"/>
      <c r="M75" s="375"/>
      <c r="N75" s="375"/>
      <c r="O75" s="376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4" t="s">
        <v>42</v>
      </c>
      <c r="C76" s="383"/>
      <c r="D76" s="384"/>
      <c r="E76" s="372" t="s">
        <v>43</v>
      </c>
      <c r="F76" s="373"/>
      <c r="G76" s="326" t="s">
        <v>43</v>
      </c>
      <c r="H76" s="339"/>
      <c r="I76" s="389" t="s">
        <v>44</v>
      </c>
      <c r="J76" s="390"/>
      <c r="K76" s="377"/>
      <c r="L76" s="378"/>
      <c r="M76" s="378"/>
      <c r="N76" s="378"/>
      <c r="O76" s="379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7"/>
    </row>
    <row r="77" spans="1:65" ht="186" customHeight="1" thickBot="1" x14ac:dyDescent="0.35">
      <c r="B77" s="385"/>
      <c r="C77" s="383"/>
      <c r="D77" s="384"/>
      <c r="E77" s="372" t="s">
        <v>43</v>
      </c>
      <c r="F77" s="393"/>
      <c r="G77" s="372" t="s">
        <v>43</v>
      </c>
      <c r="H77" s="393"/>
      <c r="I77" s="389"/>
      <c r="J77" s="390"/>
      <c r="K77" s="377"/>
      <c r="L77" s="378"/>
      <c r="M77" s="378"/>
      <c r="N77" s="378"/>
      <c r="O77" s="379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7"/>
    </row>
    <row r="78" spans="1:65" ht="186" customHeight="1" thickBot="1" x14ac:dyDescent="0.35">
      <c r="A78" s="9"/>
      <c r="B78" s="386"/>
      <c r="C78" s="387"/>
      <c r="D78" s="388"/>
      <c r="E78" s="372" t="s">
        <v>45</v>
      </c>
      <c r="F78" s="373"/>
      <c r="G78" s="372" t="s">
        <v>46</v>
      </c>
      <c r="H78" s="373"/>
      <c r="I78" s="391"/>
      <c r="J78" s="392"/>
      <c r="K78" s="380"/>
      <c r="L78" s="381"/>
      <c r="M78" s="381"/>
      <c r="N78" s="381"/>
      <c r="O78" s="382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7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350"/>
      <c r="B80" s="9"/>
      <c r="C80" s="9"/>
      <c r="D80" s="9"/>
      <c r="E80" s="9"/>
      <c r="F80" s="9"/>
      <c r="G80" s="43"/>
      <c r="K80" s="41"/>
      <c r="R80" s="399"/>
      <c r="S80" s="399"/>
      <c r="T80" s="399"/>
      <c r="U80" s="399"/>
      <c r="V80" s="399"/>
      <c r="W80" s="399"/>
      <c r="X80" s="399"/>
      <c r="Y80" s="399"/>
      <c r="Z80" s="399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350"/>
      <c r="B81" s="9"/>
      <c r="C81" s="9"/>
      <c r="D81" s="9"/>
      <c r="E81" s="9"/>
      <c r="F81" s="9"/>
      <c r="G81" s="43"/>
      <c r="K81" s="41"/>
      <c r="R81" s="400"/>
      <c r="S81" s="400"/>
      <c r="T81" s="400"/>
      <c r="U81" s="400"/>
      <c r="V81" s="400"/>
      <c r="W81" s="400"/>
      <c r="X81" s="400"/>
      <c r="Y81" s="400"/>
      <c r="Z81" s="400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350"/>
      <c r="H82" s="148"/>
      <c r="I82" s="148"/>
      <c r="J82" s="148"/>
      <c r="K82" s="92"/>
      <c r="L82" s="92"/>
      <c r="R82" s="395"/>
      <c r="S82" s="396"/>
      <c r="T82" s="397"/>
      <c r="U82" s="398"/>
      <c r="V82" s="397"/>
      <c r="W82" s="398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70"/>
      <c r="S83" s="371"/>
      <c r="T83" s="370"/>
      <c r="U83" s="371"/>
      <c r="V83" s="394"/>
      <c r="W83" s="428"/>
      <c r="X83" s="3"/>
    </row>
    <row r="84" spans="1:64" ht="186" customHeight="1" thickBot="1" x14ac:dyDescent="0.35">
      <c r="A84" s="350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70"/>
      <c r="S84" s="371"/>
      <c r="T84" s="370"/>
      <c r="U84" s="371"/>
      <c r="V84" s="370"/>
      <c r="W84" s="371"/>
      <c r="X84" s="11"/>
      <c r="Y84" s="370"/>
      <c r="Z84" s="371"/>
    </row>
    <row r="85" spans="1:64" ht="186" customHeight="1" thickBot="1" x14ac:dyDescent="0.35">
      <c r="A85" s="350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70"/>
      <c r="T85" s="371"/>
      <c r="U85" s="154"/>
      <c r="V85" s="394"/>
      <c r="W85" s="394"/>
      <c r="X85" s="394"/>
      <c r="Y85" s="394"/>
      <c r="Z85" s="155"/>
    </row>
    <row r="86" spans="1:64" ht="186" customHeight="1" x14ac:dyDescent="0.3">
      <c r="A86" s="350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350"/>
      <c r="F88" s="83"/>
      <c r="G88" s="350"/>
      <c r="H88" s="350"/>
      <c r="I88" s="350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350"/>
      <c r="F89" s="83"/>
      <c r="G89" s="350"/>
      <c r="H89" s="350"/>
      <c r="I89" s="350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350"/>
      <c r="F90" s="83"/>
      <c r="G90" s="350"/>
      <c r="H90" s="350"/>
      <c r="I90" s="350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</mergeCells>
  <phoneticPr fontId="21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2026-10-21T06:36:07Z</cp:lastPrinted>
  <dcterms:created xsi:type="dcterms:W3CDTF">2022-06-03T01:11:30Z</dcterms:created>
  <dcterms:modified xsi:type="dcterms:W3CDTF">2026-10-21T07:54:30Z</dcterms:modified>
  <cp:version>1000.0100.61</cp:version>
</cp:coreProperties>
</file>