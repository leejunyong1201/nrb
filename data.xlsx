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모듈러사업2실\★ 300. 제1공장_마감관리팀\350. 마감진행현황\BH(수정)\2026년 10월 BH\"/>
    </mc:Choice>
  </mc:AlternateContent>
  <xr:revisionPtr revIDLastSave="0" documentId="13_ncr:1_{795FCC04-1582-47C2-B27B-F3309F3D7BBC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NRB야적장 제품 배치도" sheetId="9" r:id="rId1"/>
  </sheets>
  <definedNames>
    <definedName name="_xlnm.Print_Area" localSheetId="0">'NRB야적장 제품 배치도'!$AA$29:$AT$50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2" i="9" l="1"/>
  <c r="AI52" i="9" l="1"/>
  <c r="AH52" i="9"/>
  <c r="AG52" i="9"/>
  <c r="AC52" i="9"/>
  <c r="AB52" i="9"/>
  <c r="AA52" i="9"/>
  <c r="AE52" i="9"/>
  <c r="AD52" i="9"/>
  <c r="AY60" i="9" l="1"/>
  <c r="AF52" i="9"/>
  <c r="AT62" i="9" l="1"/>
  <c r="BJ61" i="9"/>
  <c r="BM60" i="9"/>
  <c r="BJ62" i="9"/>
  <c r="AR60" i="9" l="1"/>
  <c r="BI62" i="9"/>
  <c r="BF61" i="9"/>
  <c r="BA60" i="9"/>
  <c r="BL62" i="9"/>
  <c r="AX60" i="9"/>
  <c r="AZ61" i="9"/>
  <c r="BE60" i="9"/>
  <c r="BL60" i="9"/>
  <c r="AU62" i="9"/>
  <c r="BK60" i="9"/>
  <c r="BJ60" i="9"/>
  <c r="BC61" i="9"/>
  <c r="BA61" i="9"/>
  <c r="AV62" i="9"/>
  <c r="AR62" i="9"/>
  <c r="BL61" i="9"/>
  <c r="BG60" i="9"/>
  <c r="BB60" i="9"/>
  <c r="BH61" i="9"/>
  <c r="BG62" i="9"/>
  <c r="BE61" i="9"/>
  <c r="AY61" i="9"/>
  <c r="AS61" i="9"/>
  <c r="BK61" i="9"/>
  <c r="BF60" i="9"/>
  <c r="BD61" i="9"/>
  <c r="AT60" i="9"/>
  <c r="BH62" i="9"/>
  <c r="BH60" i="9"/>
  <c r="BI61" i="9"/>
  <c r="BM62" i="9"/>
  <c r="AW61" i="9"/>
  <c r="BK62" i="9"/>
  <c r="BF62" i="9"/>
  <c r="BA62" i="9"/>
  <c r="BB61" i="9"/>
  <c r="AV61" i="9"/>
  <c r="AW60" i="9"/>
  <c r="BG61" i="9"/>
  <c r="AX61" i="9"/>
  <c r="AV60" i="9"/>
  <c r="BC60" i="9"/>
  <c r="BB62" i="9"/>
  <c r="AT61" i="9"/>
  <c r="BD60" i="9"/>
  <c r="AS62" i="9"/>
  <c r="AZ60" i="9"/>
  <c r="BE62" i="9"/>
  <c r="AU60" i="9"/>
  <c r="BC62" i="9"/>
  <c r="AS60" i="9"/>
  <c r="AW62" i="9"/>
  <c r="AZ62" i="9"/>
  <c r="BD62" i="9"/>
  <c r="AY62" i="9"/>
  <c r="BM61" i="9"/>
  <c r="AX62" i="9"/>
  <c r="AR61" i="9"/>
  <c r="BI60" i="9"/>
  <c r="AU61" i="9"/>
  <c r="BN60" i="9" l="1"/>
  <c r="BN61" i="9"/>
  <c r="BN62" i="9"/>
</calcChain>
</file>

<file path=xl/sharedStrings.xml><?xml version="1.0" encoding="utf-8"?>
<sst xmlns="http://schemas.openxmlformats.org/spreadsheetml/2006/main" count="820" uniqueCount="682">
  <si>
    <t>공업화 주택 샘플</t>
  </si>
  <si>
    <t>경북 소프트
사생실
샘플</t>
  </si>
  <si>
    <t xml:space="preserve"> </t>
  </si>
  <si>
    <t>경 비 소</t>
  </si>
  <si>
    <t>D라인</t>
    <phoneticPr fontId="21" type="noConversion"/>
  </si>
  <si>
    <t>C라인</t>
    <phoneticPr fontId="21" type="noConversion"/>
  </si>
  <si>
    <t>B라인</t>
    <phoneticPr fontId="21" type="noConversion"/>
  </si>
  <si>
    <t>A라인</t>
    <phoneticPr fontId="21" type="noConversion"/>
  </si>
  <si>
    <t>BH 샘플</t>
    <phoneticPr fontId="21" type="noConversion"/>
  </si>
  <si>
    <t>LH 샘플</t>
    <phoneticPr fontId="21" type="noConversion"/>
  </si>
  <si>
    <t>외국인 기숙사</t>
    <phoneticPr fontId="21" type="noConversion"/>
  </si>
  <si>
    <t>창고</t>
  </si>
  <si>
    <t>D동</t>
  </si>
  <si>
    <t xml:space="preserve"> C-2
동
공
장</t>
  </si>
  <si>
    <t>B-2
동
공
장</t>
  </si>
  <si>
    <t>A-2
동
공
장</t>
  </si>
  <si>
    <t>골재 배합기 슬로프</t>
  </si>
  <si>
    <t>BS2 골재 배합기</t>
  </si>
  <si>
    <t>레이저 절단기</t>
  </si>
  <si>
    <t>BS2 컨베어및
메인 컨트롤러</t>
  </si>
  <si>
    <t>유류
창고</t>
  </si>
  <si>
    <t>전기</t>
  </si>
  <si>
    <t>한양전기 
창고</t>
  </si>
  <si>
    <t>한양전기
사무실</t>
  </si>
  <si>
    <t>13동</t>
  </si>
  <si>
    <t>비품장고</t>
  </si>
  <si>
    <t>식당</t>
  </si>
  <si>
    <t>비품창고
(남자샤워실)</t>
  </si>
  <si>
    <t>비품창고
(여자샤워실)</t>
  </si>
  <si>
    <t>기밀</t>
  </si>
  <si>
    <t>중 앙 통 로</t>
  </si>
  <si>
    <t>C-1
동
공
장</t>
  </si>
  <si>
    <t>B-1
동
공
장</t>
  </si>
  <si>
    <t>A-1
동
공
장</t>
  </si>
  <si>
    <t>디자인
브로</t>
  </si>
  <si>
    <t>태광
판넬</t>
  </si>
  <si>
    <t>쉘터
(BS2)</t>
  </si>
  <si>
    <t>N
R
B
설
계
실</t>
  </si>
  <si>
    <t>N
R
B
사
무
동</t>
  </si>
  <si>
    <t>쉘터
(철골)</t>
  </si>
  <si>
    <t>창  고</t>
  </si>
  <si>
    <t>중앙창고</t>
    <phoneticPr fontId="21" type="noConversion"/>
  </si>
  <si>
    <t>PC</t>
    <phoneticPr fontId="21" type="noConversion"/>
  </si>
  <si>
    <t>가스탱크</t>
    <phoneticPr fontId="21" type="noConversion"/>
  </si>
  <si>
    <t>다인</t>
    <phoneticPr fontId="21" type="noConversion"/>
  </si>
  <si>
    <t>다인</t>
  </si>
  <si>
    <t>2F</t>
    <phoneticPr fontId="21" type="noConversion"/>
  </si>
  <si>
    <t xml:space="preserve"> 대차 운행통로   ▼우측(도로바라봤을때)  ::  ▲좌측(도로바라봤을때)</t>
    <phoneticPr fontId="21" type="noConversion"/>
  </si>
  <si>
    <t xml:space="preserve"> 대차 운행통로   ▼우측(도로바라봤을때)  ::  ▲좌측(도로바라봤을때)</t>
    <phoneticPr fontId="21" type="noConversion"/>
  </si>
  <si>
    <t>401-18-9/
26SA01
NONE
2026-7-1</t>
    <phoneticPr fontId="21" type="noConversion"/>
  </si>
  <si>
    <t>401-15-6/
46SB76
NONE
2026-7-13</t>
    <phoneticPr fontId="21" type="noConversion"/>
  </si>
  <si>
    <t>401-12-6/
46SB76
NONE
2026-7-13</t>
    <phoneticPr fontId="21" type="noConversion"/>
  </si>
  <si>
    <t>401-13-9/
26SA01
NONE
2026-6-22</t>
    <phoneticPr fontId="21" type="noConversion"/>
  </si>
  <si>
    <t>401-12-4/
46SB02
NONE
2026-7-1</t>
    <phoneticPr fontId="21" type="noConversion"/>
  </si>
  <si>
    <t>401-18-6/
46SB76
NONE
2026-6-18</t>
    <phoneticPr fontId="21" type="noConversion"/>
  </si>
  <si>
    <t>401-12-9/
26SA01
NONE
2026-6-18</t>
    <phoneticPr fontId="21" type="noConversion"/>
  </si>
  <si>
    <t>401-11-6/
46SB42
NONE
2026-7-7</t>
    <phoneticPr fontId="21" type="noConversion"/>
  </si>
  <si>
    <t>401-17-6/
46SB76
NONE
2026-6-17</t>
    <phoneticPr fontId="21" type="noConversion"/>
  </si>
  <si>
    <t>401-14-9/
26SA01
NONE
2026-6-18</t>
    <phoneticPr fontId="21" type="noConversion"/>
  </si>
  <si>
    <t>401-13-4/
46SB02
NONE
2026-7-1</t>
    <phoneticPr fontId="21" type="noConversion"/>
  </si>
  <si>
    <t>403-4-11/
46SA03
NONE
2026-8-4</t>
    <phoneticPr fontId="21" type="noConversion"/>
  </si>
  <si>
    <t>401-11-9/
26SA01
NONE
2026-6-18</t>
    <phoneticPr fontId="21" type="noConversion"/>
  </si>
  <si>
    <t>401-13-2/
46SB42
NONE
2026-7-3</t>
    <phoneticPr fontId="21" type="noConversion"/>
  </si>
  <si>
    <t>401-16-4/
46SB02
NONE
2026-7-1</t>
    <phoneticPr fontId="21" type="noConversion"/>
  </si>
  <si>
    <t>401-11-4/
46SB02
NONE
2026-7-1</t>
    <phoneticPr fontId="21" type="noConversion"/>
  </si>
  <si>
    <t>401-14-6/
46SB76
NONE
2026-6-15</t>
    <phoneticPr fontId="21" type="noConversion"/>
  </si>
  <si>
    <t>401-18-7/
26SA01
NONE
2026-6-18</t>
    <phoneticPr fontId="21" type="noConversion"/>
  </si>
  <si>
    <t>401-16-2/
46SB42
NONE
2026-6-22</t>
    <phoneticPr fontId="21" type="noConversion"/>
  </si>
  <si>
    <t>401-17-2/
46SB42
NONE
2026-6-14</t>
    <phoneticPr fontId="21" type="noConversion"/>
  </si>
  <si>
    <t>401-11-7/
26SA01
NONE
2026-6-14</t>
    <phoneticPr fontId="21" type="noConversion"/>
  </si>
  <si>
    <t>401-18-2/
46SB42
NONE
2026-6-9</t>
    <phoneticPr fontId="21" type="noConversion"/>
  </si>
  <si>
    <t>401-14-7/
26SA01
NONE
2026-6-14</t>
    <phoneticPr fontId="21" type="noConversion"/>
  </si>
  <si>
    <t>401-10-9/
26SA01
NONE
2026-6-16</t>
    <phoneticPr fontId="21" type="noConversion"/>
  </si>
  <si>
    <t>401-10-7/
26SA01
NONE
2026-6-10</t>
    <phoneticPr fontId="21" type="noConversion"/>
  </si>
  <si>
    <t>401-11-11/
26SA41
NONE
2026-7-21</t>
    <phoneticPr fontId="21" type="noConversion"/>
  </si>
  <si>
    <t>401-13-7/
26SA01
NONE
2026-6-10</t>
    <phoneticPr fontId="21" type="noConversion"/>
  </si>
  <si>
    <t>401-17-7/
26SA01
NONE
2026-6-16</t>
    <phoneticPr fontId="21" type="noConversion"/>
  </si>
  <si>
    <t>401-15-7/
26SA01
NONE
2026-6-14</t>
    <phoneticPr fontId="21" type="noConversion"/>
  </si>
  <si>
    <t>401-16-7/
26SA01
NONE
2026-6-14</t>
    <phoneticPr fontId="21" type="noConversion"/>
  </si>
  <si>
    <t>401-15-2/
46SB42
NONE
2026-7-5</t>
    <phoneticPr fontId="21" type="noConversion"/>
  </si>
  <si>
    <t>401-13-11/
26SA41
NONE
2026-7-21</t>
    <phoneticPr fontId="21" type="noConversion"/>
  </si>
  <si>
    <t>401-14-2/
46SB42
NONE
2026-7-19</t>
    <phoneticPr fontId="21" type="noConversion"/>
  </si>
  <si>
    <t>401-14-4/
46SB02
NONE
2026-7-19</t>
    <phoneticPr fontId="21" type="noConversion"/>
  </si>
  <si>
    <t>401-13-13/
26SA03
NONE
2026-7-21</t>
    <phoneticPr fontId="21" type="noConversion"/>
  </si>
  <si>
    <t>401-16-11/
26SA41
NONE
2026-7-15</t>
    <phoneticPr fontId="21" type="noConversion"/>
  </si>
  <si>
    <t>401-11-2/
46SB42
NONE
2026-7-19</t>
    <phoneticPr fontId="21" type="noConversion"/>
  </si>
  <si>
    <t>401-17-11/
26SA41
NONE
2026-7-19</t>
    <phoneticPr fontId="21" type="noConversion"/>
  </si>
  <si>
    <t>401-18-11/
26SA41
NONE
2026-7-19</t>
    <phoneticPr fontId="21" type="noConversion"/>
  </si>
  <si>
    <t>401-10-6/
46SB76
NONE
2026-6-17</t>
    <phoneticPr fontId="21" type="noConversion"/>
  </si>
  <si>
    <t>403-5-6/
26SH02
NONE
2026-8-1</t>
    <phoneticPr fontId="21" type="noConversion"/>
  </si>
  <si>
    <t>401-15-4/
46SB02
NONE
2026-6-1</t>
    <phoneticPr fontId="21" type="noConversion"/>
  </si>
  <si>
    <t>401-10-4/
46SB02
NONE
2026-6-1</t>
    <phoneticPr fontId="21" type="noConversion"/>
  </si>
  <si>
    <t>401-18-4/
46SB02
NONE
2026-5-26</t>
    <phoneticPr fontId="21" type="noConversion"/>
  </si>
  <si>
    <t>401-12-2/
46SB42
NONE
2026-6-7</t>
    <phoneticPr fontId="21" type="noConversion"/>
  </si>
  <si>
    <t>401-17-4/
46SB02
NONE
2026-5-26</t>
    <phoneticPr fontId="21" type="noConversion"/>
  </si>
  <si>
    <t>403-2-13/
46SB41
NONE
2026-8-5</t>
    <phoneticPr fontId="21" type="noConversion"/>
  </si>
  <si>
    <t>403-1-10/
46SA06
NONE
2026-8-11</t>
    <phoneticPr fontId="21" type="noConversion"/>
  </si>
  <si>
    <t>403-7-11/
46SA01
NONE
2026-8-20</t>
    <phoneticPr fontId="21" type="noConversion"/>
  </si>
  <si>
    <t>403-4-13/
46SB41
NONE
2026-8-5</t>
    <phoneticPr fontId="21" type="noConversion"/>
  </si>
  <si>
    <t>403-4-9/
46SA57
NONE
2026-8-2</t>
    <phoneticPr fontId="21" type="noConversion"/>
  </si>
  <si>
    <t>403-5-9/
46SA57
NONE
2026-8-11</t>
    <phoneticPr fontId="21" type="noConversion"/>
  </si>
  <si>
    <t>403-5-13/
46SB41
NONE
2026-8-4</t>
    <phoneticPr fontId="21" type="noConversion"/>
  </si>
  <si>
    <t>403-3-13/
46SB41
NONE
2026-8-9</t>
    <phoneticPr fontId="21" type="noConversion"/>
  </si>
  <si>
    <t>401-13-6/
46SB76
NONE
2026-4-27</t>
    <phoneticPr fontId="21" type="noConversion"/>
  </si>
  <si>
    <t>403-3-9/
46SA57
NONE
2026-8-9</t>
    <phoneticPr fontId="21" type="noConversion"/>
  </si>
  <si>
    <t>403-1-9/
46SA75
NONE
2026-8-1</t>
    <phoneticPr fontId="21" type="noConversion"/>
  </si>
  <si>
    <t>403-1-11/
46SA01
NONE
2026-8-10</t>
    <phoneticPr fontId="21" type="noConversion"/>
  </si>
  <si>
    <t>403-5-11/
46SA01
NONE
2026-8-17</t>
    <phoneticPr fontId="21" type="noConversion"/>
  </si>
  <si>
    <t>403-2-11/
46SA01
NONE
2026-8-20</t>
    <phoneticPr fontId="21" type="noConversion"/>
  </si>
  <si>
    <t>403-2-9/
46SA57
NONE
2026-8-9</t>
    <phoneticPr fontId="21" type="noConversion"/>
  </si>
  <si>
    <t>401-18-13/
26SA03
NONE
2026-4-16</t>
    <phoneticPr fontId="21" type="noConversion"/>
  </si>
  <si>
    <t>403-3-11/
46SA01
NONE
2026-8-9</t>
    <phoneticPr fontId="21" type="noConversion"/>
  </si>
  <si>
    <t>403-1-4/
26SB68
NONE
2026-8-17</t>
    <phoneticPr fontId="21" type="noConversion"/>
  </si>
  <si>
    <t>403-3-8/
26HB04
NONE
2026-8-12</t>
    <phoneticPr fontId="21" type="noConversion"/>
  </si>
  <si>
    <t>403-2-8/
26HB04
NONE
2026-8-10</t>
    <phoneticPr fontId="21" type="noConversion"/>
  </si>
  <si>
    <t>401-17-12/
26SB04
NONE
2026-8-10</t>
    <phoneticPr fontId="21" type="noConversion"/>
  </si>
  <si>
    <t>403-1-6/
26SB62
NONE
2026-8-17</t>
    <phoneticPr fontId="21" type="noConversion"/>
  </si>
  <si>
    <t>403-5-8/
26HB04
NONE
2026-8-17</t>
    <phoneticPr fontId="21" type="noConversion"/>
  </si>
  <si>
    <t>403-5-2/
26SB54
NONE
2026-8-5</t>
    <phoneticPr fontId="21" type="noConversion"/>
  </si>
  <si>
    <t>403-4-2/
26SB54
NONE
2026-8-8</t>
    <phoneticPr fontId="21" type="noConversion"/>
  </si>
  <si>
    <t>403-3-4/
26HB42
NONE
2026-8-5</t>
    <phoneticPr fontId="21" type="noConversion"/>
  </si>
  <si>
    <t>403-3-6/
26HB02
NONE
2026-8-9</t>
    <phoneticPr fontId="21" type="noConversion"/>
  </si>
  <si>
    <t>403-6-4/
26HB42
NONE
2026-8-17</t>
    <phoneticPr fontId="21" type="noConversion"/>
  </si>
  <si>
    <t>401-11-13/
26SA03
NONE
2026-4-13</t>
    <phoneticPr fontId="21" type="noConversion"/>
  </si>
  <si>
    <t>403-2-2/
26SB54
NONE
2026-8-8</t>
    <phoneticPr fontId="21" type="noConversion"/>
  </si>
  <si>
    <t>403-4-6/
26HB02
NONE
2026-8-9</t>
    <phoneticPr fontId="21" type="noConversion"/>
  </si>
  <si>
    <t>403-2-6/
26HB02
NONE
2026-8-18</t>
    <phoneticPr fontId="21" type="noConversion"/>
  </si>
  <si>
    <t>401-12-11/
26SA41
NONE
2026-8-4</t>
    <phoneticPr fontId="21" type="noConversion"/>
  </si>
  <si>
    <t>403-4-8/
26HB04
NONE
2026-8-17</t>
    <phoneticPr fontId="21" type="noConversion"/>
  </si>
  <si>
    <t>403-5-4/
26HB42
NONE
2026-8-8</t>
    <phoneticPr fontId="21" type="noConversion"/>
  </si>
  <si>
    <t>403-3-2/
26SB54
NONE
2026-8-8</t>
    <phoneticPr fontId="21" type="noConversion"/>
  </si>
  <si>
    <t>401-15-11/
26SA41
NONE
2026-7-13</t>
    <phoneticPr fontId="21" type="noConversion"/>
  </si>
  <si>
    <t>401-14-11/
26SA02
NONE
2026-7-15</t>
    <phoneticPr fontId="21" type="noConversion"/>
  </si>
  <si>
    <t>403-2-4/
26HB42
NONE
2026-8-8</t>
    <phoneticPr fontId="21" type="noConversion"/>
  </si>
  <si>
    <t>401-12-7/
26SA01
NONE
2026-6-9</t>
    <phoneticPr fontId="21" type="noConversion"/>
  </si>
  <si>
    <t>401-17-13/
26SA03
NONE
2026-5-26</t>
    <phoneticPr fontId="21" type="noConversion"/>
  </si>
  <si>
    <t>401-10-13/
26SA03
NONE
2026-4-6</t>
    <phoneticPr fontId="21" type="noConversion"/>
  </si>
  <si>
    <t>401-15-13/
26SA03
NONE
2026-5-26</t>
    <phoneticPr fontId="21" type="noConversion"/>
  </si>
  <si>
    <t>401-14-13/
26SA03
NONE
2026-6-1</t>
    <phoneticPr fontId="21" type="noConversion"/>
  </si>
  <si>
    <t>401-16-9/
26SA01
NONE
2026-7-1</t>
    <phoneticPr fontId="21" type="noConversion"/>
  </si>
  <si>
    <t>403-4-4/
26HB42
NONE
2026-8-4</t>
    <phoneticPr fontId="21" type="noConversion"/>
  </si>
  <si>
    <t>401-15-9/
26SA01
NONE
2026-7-1</t>
    <phoneticPr fontId="21" type="noConversion"/>
  </si>
  <si>
    <t>401-10-8/
26SA02
26A(B-1)
2026-7-1</t>
    <phoneticPr fontId="21" type="noConversion"/>
  </si>
  <si>
    <t>401-17-9/
26SA01
NONE
2026-7-1</t>
    <phoneticPr fontId="21" type="noConversion"/>
  </si>
  <si>
    <t>401-11-8/
26SA02
26A(B-1)
2026-7-1</t>
    <phoneticPr fontId="21" type="noConversion"/>
  </si>
  <si>
    <t>401-16-6/
46SB76
NONE
2026-7-13</t>
    <phoneticPr fontId="21" type="noConversion"/>
  </si>
  <si>
    <t>401-13-1/
46SB73
46C(A)
2026-6-1</t>
    <phoneticPr fontId="21" type="noConversion"/>
  </si>
  <si>
    <t>401-11-3/
46SB01
46A(A)
2026-5-27</t>
    <phoneticPr fontId="21" type="noConversion"/>
  </si>
  <si>
    <t>401-12-3/
46SB01
46A(A)
2026-6-1</t>
    <phoneticPr fontId="21" type="noConversion"/>
  </si>
  <si>
    <t>401-18-1/
46SB73
46C(A)
2026-6-4</t>
    <phoneticPr fontId="21" type="noConversion"/>
  </si>
  <si>
    <t>401-17-1/
46SB73
46C(A)
2026-5-26</t>
    <phoneticPr fontId="21" type="noConversion"/>
  </si>
  <si>
    <t>401-13-3/
46SB01
46A(A)
2026-6-1</t>
    <phoneticPr fontId="21" type="noConversion"/>
  </si>
  <si>
    <t>401-12-8/
26SA02
26A(B-1)
2026-7-1</t>
    <phoneticPr fontId="21" type="noConversion"/>
  </si>
  <si>
    <t>401-18-3/
46SB01
46A(A)
2026-7-13</t>
    <phoneticPr fontId="21" type="noConversion"/>
  </si>
  <si>
    <t>401-12-1/
46SB73
46C(A)
2026-5-26</t>
    <phoneticPr fontId="21" type="noConversion"/>
  </si>
  <si>
    <t>401-11-14/
26SA74
26A(B-1)
2026-7-1</t>
    <phoneticPr fontId="21" type="noConversion"/>
  </si>
  <si>
    <t>401-17-14/
26SA74
26A(B-1)
2026-7-1</t>
    <phoneticPr fontId="21" type="noConversion"/>
  </si>
  <si>
    <t>403-7-10/
46SA52
46A(A-1)
2026-8-20</t>
    <phoneticPr fontId="21" type="noConversion"/>
  </si>
  <si>
    <t>401-12-5/
46SB05
46A(A)
2026-6-18</t>
    <phoneticPr fontId="21" type="noConversion"/>
  </si>
  <si>
    <t>403-3-10/
46SA52
46A(A-1)
2026-8-17</t>
    <phoneticPr fontId="21" type="noConversion"/>
  </si>
  <si>
    <t>403-4-10/
46SA52
46A(A-1)
2026-8-17</t>
    <phoneticPr fontId="21" type="noConversion"/>
  </si>
  <si>
    <t>403-5-12/
46SA01
46A(A-1)
2026-8-11</t>
    <phoneticPr fontId="21" type="noConversion"/>
  </si>
  <si>
    <t>403-2-12/
46SA02
46A(A-1)
2026-8-5</t>
    <phoneticPr fontId="21" type="noConversion"/>
  </si>
  <si>
    <t>403-6-14/
46SA74
46B(A-1)
2026-8-19</t>
    <phoneticPr fontId="21" type="noConversion"/>
  </si>
  <si>
    <t>403-3-14/
46SA74
46B(A-1)
2026-8-17</t>
    <phoneticPr fontId="21" type="noConversion"/>
  </si>
  <si>
    <t>403-2-10/
46SA52
46A(A-1)
2026-8-3</t>
    <phoneticPr fontId="21" type="noConversion"/>
  </si>
  <si>
    <t>403-3-12/
46SA02
46A(A-1)
2026-8-4</t>
    <phoneticPr fontId="21" type="noConversion"/>
  </si>
  <si>
    <t>401-15-5/
46SB05
46A(A)
2026-6-18</t>
    <phoneticPr fontId="21" type="noConversion"/>
  </si>
  <si>
    <t>401-11-1/
46SB73
46C(A)
2026-4-6</t>
    <phoneticPr fontId="21" type="noConversion"/>
  </si>
  <si>
    <t>403-5-10/
46SA52
46A(A-1)
2026-8-2</t>
    <phoneticPr fontId="21" type="noConversion"/>
  </si>
  <si>
    <t>401-13-5/
46SB05
46A(A)
2026-6-17</t>
    <phoneticPr fontId="21" type="noConversion"/>
  </si>
  <si>
    <t>401-15-1/
46SB73
46C(A)
2026-5-20</t>
    <phoneticPr fontId="21" type="noConversion"/>
  </si>
  <si>
    <t>403-4-12/
46SA02
46A(A-1)
2026-8-9</t>
    <phoneticPr fontId="21" type="noConversion"/>
  </si>
  <si>
    <t>401-15-3/
46SB01
46A(A)
2026-7-5</t>
    <phoneticPr fontId="21" type="noConversion"/>
  </si>
  <si>
    <t>403-4-14/
46SA74
46B(A-1)
2026-8-17</t>
    <phoneticPr fontId="21" type="noConversion"/>
  </si>
  <si>
    <t>403-2-14/
46SA74
46B(A-1)
2026-8-17</t>
    <phoneticPr fontId="21" type="noConversion"/>
  </si>
  <si>
    <t>401-17-3/
46SB01
46A(A)
2026-7-5</t>
    <phoneticPr fontId="21" type="noConversion"/>
  </si>
  <si>
    <t>401-16-3/
46SB01
46A(A)
2026-6-14</t>
    <phoneticPr fontId="21" type="noConversion"/>
  </si>
  <si>
    <t>403-3-1/
26SB73
26A(B)
2026-8-19</t>
    <phoneticPr fontId="21" type="noConversion"/>
  </si>
  <si>
    <t>403-1-1/
26SB73
26A(B)
2062-8-17</t>
    <phoneticPr fontId="21" type="noConversion"/>
  </si>
  <si>
    <t>401-16-1/
46SB73
46C(A)
2026-4-20</t>
    <phoneticPr fontId="21" type="noConversion"/>
  </si>
  <si>
    <t>403-1-3/
26SB03
26A(B)
2026-8-18</t>
    <phoneticPr fontId="21" type="noConversion"/>
  </si>
  <si>
    <t>403-6-5/
26BH01
26AS(C)
2026-8-12</t>
    <phoneticPr fontId="21" type="noConversion"/>
  </si>
  <si>
    <t>401-14-3/
46SB01
46A(A)
2026-7-5</t>
    <phoneticPr fontId="21" type="noConversion"/>
  </si>
  <si>
    <t>401-17-5/
46SB05
46A(A)
2026-6-15</t>
    <phoneticPr fontId="21" type="noConversion"/>
  </si>
  <si>
    <t>401-12-10/
26SA02
26A(B-1)
2026-7-15</t>
    <phoneticPr fontId="21" type="noConversion"/>
  </si>
  <si>
    <t>403-11-14/
46SA74
46B(A-1)
2026-7-26</t>
    <phoneticPr fontId="21" type="noConversion"/>
  </si>
  <si>
    <t>401-18-5/
46SB05
46A(A)
2026-7-1</t>
    <phoneticPr fontId="21" type="noConversion"/>
  </si>
  <si>
    <t>403-4-5/
26HB01
26AS(C)
2026-8-12</t>
    <phoneticPr fontId="21" type="noConversion"/>
  </si>
  <si>
    <t>403-15-14/
46SA74
46B(A-1)
2026-7-23</t>
    <phoneticPr fontId="21" type="noConversion"/>
  </si>
  <si>
    <t>403-2-5/
26HB01
26AS(C)
2026-8-11</t>
    <phoneticPr fontId="21" type="noConversion"/>
  </si>
  <si>
    <t>401-13-12/
26SA04
26A(B-1)
2026-4-22</t>
    <phoneticPr fontId="21" type="noConversion"/>
  </si>
  <si>
    <t>403-16-14/
46SA74
46B(A-1)
2026-7-22</t>
    <phoneticPr fontId="21" type="noConversion"/>
  </si>
  <si>
    <t>403-2-7/
26HB01
26AS(C)
2026-8-8</t>
    <phoneticPr fontId="21" type="noConversion"/>
  </si>
  <si>
    <t>401-18-12/
26SA04
26A(B-1)
2026-4-22</t>
    <phoneticPr fontId="21" type="noConversion"/>
  </si>
  <si>
    <t>401-13-14/
26SA74
26A(B-1)
2026-5-26</t>
    <phoneticPr fontId="21" type="noConversion"/>
  </si>
  <si>
    <t>401-15-10/
26SA02
26A(B-1)
2026-7-15</t>
    <phoneticPr fontId="21" type="noConversion"/>
  </si>
  <si>
    <t>401-10-10/
26SA02
26A(B-1)
2026-7-13</t>
    <phoneticPr fontId="21" type="noConversion"/>
  </si>
  <si>
    <t>401-10-5/
46SB05
46A(A)
2026-6-14</t>
    <phoneticPr fontId="21" type="noConversion"/>
  </si>
  <si>
    <t>403-10-1/
26SB73
26A(B)
2026-8-2</t>
    <phoneticPr fontId="21" type="noConversion"/>
  </si>
  <si>
    <t>403-5-1/
26SB73
26A(B)
2026-8-8</t>
    <phoneticPr fontId="21" type="noConversion"/>
  </si>
  <si>
    <t>401-16-12/
26SA04
26A(B-1)
2026-4-28</t>
    <phoneticPr fontId="21" type="noConversion"/>
  </si>
  <si>
    <t>403-5-5/
26HB01
26AS(C)
2026-8-2</t>
    <phoneticPr fontId="21" type="noConversion"/>
  </si>
  <si>
    <t>403-5-7/
26HB01
26AS(C)
2026-8-3</t>
    <phoneticPr fontId="21" type="noConversion"/>
  </si>
  <si>
    <t>403-2-1/
26SB73
26A(B)
2026-8-1</t>
    <phoneticPr fontId="21" type="noConversion"/>
  </si>
  <si>
    <t>403-3-5/
26HB01
26AS(C)
2026-8-3</t>
    <phoneticPr fontId="21" type="noConversion"/>
  </si>
  <si>
    <t>403-9-1/
26SB73
26A(B)
2026-8-1</t>
    <phoneticPr fontId="21" type="noConversion"/>
  </si>
  <si>
    <t>403-6-7/
26HB01
26AS(C)
2026-8-17</t>
    <phoneticPr fontId="21" type="noConversion"/>
  </si>
  <si>
    <t>401-12-14/
26SA74
26A(B-1)
2026-5-28</t>
    <phoneticPr fontId="21" type="noConversion"/>
  </si>
  <si>
    <t>403-4-1/
26SB73
26A(B)
2026-8-18</t>
    <phoneticPr fontId="21" type="noConversion"/>
  </si>
  <si>
    <t>401-12-12/
26SA04
26A(B-1)
2026-4-23</t>
    <phoneticPr fontId="21" type="noConversion"/>
  </si>
  <si>
    <t>401-15-12/
26SB04
26A(B-1)
2026-6-1</t>
    <phoneticPr fontId="21" type="noConversion"/>
  </si>
  <si>
    <t>401-18-14/
26SA74
26A(B-1)
2026-5-20</t>
    <phoneticPr fontId="21" type="noConversion"/>
  </si>
  <si>
    <t>403-5-3/
26HB03
26AS(C)
2026-7-22</t>
    <phoneticPr fontId="21" type="noConversion"/>
  </si>
  <si>
    <t>403-3-3/
26HB03
26AS(C)
2026-7-26</t>
    <phoneticPr fontId="21" type="noConversion"/>
  </si>
  <si>
    <t>403-8-3/
26HB03
26AS(C)
2026-7-26</t>
    <phoneticPr fontId="21" type="noConversion"/>
  </si>
  <si>
    <t>403-9-3/
26HB03
26AS(C)
2026-7-26</t>
    <phoneticPr fontId="21" type="noConversion"/>
  </si>
  <si>
    <t>401-18-8/
26SA02
26A(B-1)
2026-7-21</t>
    <phoneticPr fontId="21" type="noConversion"/>
  </si>
  <si>
    <t>403-2-3/
26HB03
26AS(C)
2026-7-22</t>
    <phoneticPr fontId="21" type="noConversion"/>
  </si>
  <si>
    <t>403-4-3/
26HB03
26AS(C)
2026-7-26</t>
    <phoneticPr fontId="21" type="noConversion"/>
  </si>
  <si>
    <t>403-6-3/
26HB03
26AS(C)
2026-7-21</t>
    <phoneticPr fontId="21" type="noConversion"/>
  </si>
  <si>
    <t>403-4-7/
26HB01
26AS(C)
2026-7-26</t>
    <phoneticPr fontId="21" type="noConversion"/>
  </si>
  <si>
    <t>403-3-7/
26HB01
26AS(C)
2026-7-26</t>
    <phoneticPr fontId="21" type="noConversion"/>
  </si>
  <si>
    <t>403-10-7/
26HB01
26AS(C)
2026-8-1</t>
    <phoneticPr fontId="21" type="noConversion"/>
  </si>
  <si>
    <t>401-14-12/
26SA04
26A(B-1)
2026-4-22</t>
    <phoneticPr fontId="21" type="noConversion"/>
  </si>
  <si>
    <t>401-10-12/
26SA04
26A(B-1)
2026-4-6</t>
    <phoneticPr fontId="21" type="noConversion"/>
  </si>
  <si>
    <t>401-11-12/
26SA04
26A(B-1)
2026-4-20</t>
    <phoneticPr fontId="21" type="noConversion"/>
  </si>
  <si>
    <t>401-10-11/
26SA41
NONE
2026-7-5</t>
    <phoneticPr fontId="21" type="noConversion"/>
  </si>
  <si>
    <r>
      <t xml:space="preserve">403-5-14/
46SA74
</t>
    </r>
    <r>
      <rPr>
        <b/>
        <sz val="40"/>
        <color rgb="FFFF0000"/>
        <rFont val="맑은 고딕"/>
        <family val="3"/>
        <charset val="129"/>
      </rPr>
      <t>46B(A-1)</t>
    </r>
    <r>
      <rPr>
        <b/>
        <sz val="40"/>
        <rFont val="맑은 고딕"/>
        <family val="3"/>
        <charset val="129"/>
      </rPr>
      <t xml:space="preserve">
2026-8-1</t>
    </r>
    <phoneticPr fontId="21" type="noConversion"/>
  </si>
  <si>
    <r>
      <t xml:space="preserve">401-14-1/
46SB73
</t>
    </r>
    <r>
      <rPr>
        <b/>
        <sz val="40"/>
        <color rgb="FFFF0000"/>
        <rFont val="맑은 고딕"/>
        <family val="3"/>
        <charset val="129"/>
      </rPr>
      <t>46C(A)</t>
    </r>
    <r>
      <rPr>
        <b/>
        <sz val="40"/>
        <rFont val="맑은 고딕"/>
        <family val="3"/>
        <charset val="129"/>
      </rPr>
      <t xml:space="preserve">
2026-8-1</t>
    </r>
    <phoneticPr fontId="21" type="noConversion"/>
  </si>
  <si>
    <r>
      <t xml:space="preserve">401-14-10/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21" type="noConversion"/>
  </si>
  <si>
    <r>
      <t xml:space="preserve">401-18-10/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21" type="noConversion"/>
  </si>
  <si>
    <r>
      <t xml:space="preserve">401-16-10/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2026-7-15</t>
    </r>
    <phoneticPr fontId="21" type="noConversion"/>
  </si>
  <si>
    <r>
      <t xml:space="preserve">401-10-3/
</t>
    </r>
    <r>
      <rPr>
        <b/>
        <sz val="40"/>
        <color rgb="FFFF0000"/>
        <rFont val="맑은 고딕"/>
        <family val="3"/>
        <charset val="129"/>
      </rPr>
      <t>46SB01</t>
    </r>
    <r>
      <rPr>
        <b/>
        <sz val="40"/>
        <rFont val="맑은 고딕"/>
        <family val="3"/>
        <charset val="129"/>
      </rPr>
      <t xml:space="preserve">
46A(A)
2026-7-1</t>
    </r>
    <phoneticPr fontId="21" type="noConversion"/>
  </si>
  <si>
    <r>
      <t xml:space="preserve">401-16-5/
46SB05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2026-6-14</t>
    </r>
    <phoneticPr fontId="21" type="noConversion"/>
  </si>
  <si>
    <r>
      <t xml:space="preserve">401-14-5/
46SB05
</t>
    </r>
    <r>
      <rPr>
        <b/>
        <sz val="40"/>
        <color rgb="FFFF0000"/>
        <rFont val="맑은 고딕"/>
        <family val="3"/>
        <charset val="129"/>
      </rPr>
      <t>46A(A)</t>
    </r>
    <r>
      <rPr>
        <b/>
        <sz val="40"/>
        <rFont val="맑은 고딕"/>
        <family val="3"/>
        <charset val="129"/>
      </rPr>
      <t xml:space="preserve">
2026-6-17</t>
    </r>
    <phoneticPr fontId="21" type="noConversion"/>
  </si>
  <si>
    <r>
      <t xml:space="preserve">403-13-14/
46SA74
</t>
    </r>
    <r>
      <rPr>
        <b/>
        <sz val="40"/>
        <color rgb="FFFF0000"/>
        <rFont val="맑은 고딕"/>
        <family val="3"/>
        <charset val="129"/>
      </rPr>
      <t>46B(A-1)</t>
    </r>
    <r>
      <rPr>
        <b/>
        <sz val="40"/>
        <rFont val="맑은 고딕"/>
        <family val="3"/>
        <charset val="129"/>
      </rPr>
      <t xml:space="preserve">
2026-7-21</t>
    </r>
    <phoneticPr fontId="21" type="noConversion"/>
  </si>
  <si>
    <t>403-1-14/
46SA74
NONE</t>
    <phoneticPr fontId="21" type="noConversion"/>
  </si>
  <si>
    <t>403-11-5/
26HB01
26AS(C)
2026-8-1</t>
    <phoneticPr fontId="21" type="noConversion"/>
  </si>
  <si>
    <t>총합</t>
    <phoneticPr fontId="21" type="noConversion"/>
  </si>
  <si>
    <t>내부</t>
    <phoneticPr fontId="21" type="noConversion"/>
  </si>
  <si>
    <t>C</t>
    <phoneticPr fontId="21" type="noConversion"/>
  </si>
  <si>
    <t>B</t>
    <phoneticPr fontId="21" type="noConversion"/>
  </si>
  <si>
    <t>A</t>
    <phoneticPr fontId="21" type="noConversion"/>
  </si>
  <si>
    <t>공장 내부</t>
    <phoneticPr fontId="21" type="noConversion"/>
  </si>
  <si>
    <t>2F</t>
  </si>
  <si>
    <t>A1</t>
    <phoneticPr fontId="2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</si>
  <si>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</si>
  <si>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</si>
  <si>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</si>
  <si>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</si>
  <si>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</si>
  <si>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</si>
  <si>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</si>
  <si>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</si>
  <si>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</si>
  <si>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</si>
  <si>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</si>
  <si>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</si>
  <si>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  <phoneticPr fontId="21" type="noConversion"/>
  </si>
  <si>
    <t>A15</t>
    <phoneticPr fontId="21" type="noConversion"/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</si>
  <si>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</si>
  <si>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</si>
  <si>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</si>
  <si>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</si>
  <si>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</si>
  <si>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</si>
  <si>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</si>
  <si>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</si>
  <si>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</si>
  <si>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</si>
  <si>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</si>
  <si>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</si>
  <si>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</si>
  <si>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B1</t>
    <phoneticPr fontId="21" type="noConversion"/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</si>
  <si>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</si>
  <si>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</si>
  <si>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</si>
  <si>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</si>
  <si>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</si>
  <si>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</si>
  <si>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</si>
  <si>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</si>
  <si>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</si>
  <si>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</si>
  <si>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</si>
  <si>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</si>
  <si>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  <phoneticPr fontId="21" type="noConversion"/>
  </si>
  <si>
    <t>B15</t>
    <phoneticPr fontId="21" type="noConversion"/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</si>
  <si>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</si>
  <si>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</si>
  <si>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</si>
  <si>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</si>
  <si>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</si>
  <si>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</si>
  <si>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</si>
  <si>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</si>
  <si>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</si>
  <si>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</si>
  <si>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</si>
  <si>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C1</t>
    <phoneticPr fontId="21" type="noConversion"/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</si>
  <si>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</si>
  <si>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</si>
  <si>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</si>
  <si>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</si>
  <si>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</si>
  <si>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</si>
  <si>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</si>
  <si>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</si>
  <si>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</si>
  <si>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</si>
  <si>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</si>
  <si>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</si>
  <si>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  <phoneticPr fontId="21" type="noConversion"/>
  </si>
  <si>
    <t>C15</t>
    <phoneticPr fontId="21" type="noConversion"/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</si>
  <si>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</si>
  <si>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</si>
  <si>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</si>
  <si>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</si>
  <si>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</si>
  <si>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</si>
  <si>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</si>
  <si>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</si>
  <si>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</si>
  <si>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AA</t>
    <phoneticPr fontId="21" type="noConversion"/>
  </si>
  <si>
    <t>AB</t>
    <phoneticPr fontId="21" type="noConversion"/>
  </si>
  <si>
    <t>AC</t>
    <phoneticPr fontId="21" type="noConversion"/>
  </si>
  <si>
    <t>AD</t>
    <phoneticPr fontId="21" type="noConversion"/>
  </si>
  <si>
    <t>AE</t>
    <phoneticPr fontId="21" type="noConversion"/>
  </si>
  <si>
    <t>AF</t>
    <phoneticPr fontId="21" type="noConversion"/>
  </si>
  <si>
    <t>AG</t>
    <phoneticPr fontId="21" type="noConversion"/>
  </si>
  <si>
    <t>AH</t>
    <phoneticPr fontId="21" type="noConversion"/>
  </si>
  <si>
    <t>BH</t>
  </si>
  <si>
    <t>BG</t>
  </si>
  <si>
    <t>BF</t>
  </si>
  <si>
    <t>BE</t>
  </si>
  <si>
    <t>BD</t>
  </si>
  <si>
    <t>BC</t>
  </si>
  <si>
    <t>BB</t>
  </si>
  <si>
    <t>BA</t>
    <phoneticPr fontId="21" type="noConversion"/>
  </si>
  <si>
    <t>CH</t>
  </si>
  <si>
    <t>CG</t>
  </si>
  <si>
    <t>CF</t>
  </si>
  <si>
    <t>CE</t>
  </si>
  <si>
    <t>CD</t>
  </si>
  <si>
    <t>CC</t>
  </si>
  <si>
    <t>CB</t>
  </si>
  <si>
    <t>CA</t>
    <phoneticPr fontId="21" type="noConversion"/>
  </si>
  <si>
    <t>403-6-10/
46SB01
NONE
2026-7-13</t>
    <phoneticPr fontId="21" type="noConversion"/>
  </si>
  <si>
    <t>401-10-14/
26SA74
26A(B-1)
2026-5-21</t>
    <phoneticPr fontId="21" type="noConversion"/>
  </si>
  <si>
    <t>401-11-5/
46SB05
46A(A)
2026-6-9</t>
    <phoneticPr fontId="21" type="noConversion"/>
  </si>
  <si>
    <t>진행률</t>
    <phoneticPr fontId="21" type="noConversion"/>
  </si>
  <si>
    <t>403-1-12/
46SA02
NONE
2026-8-17</t>
    <phoneticPr fontId="21" type="noConversion"/>
  </si>
  <si>
    <t>402-1-3/
36SB43
NONE</t>
    <phoneticPr fontId="21" type="noConversion"/>
  </si>
  <si>
    <t>401
(252)</t>
    <phoneticPr fontId="21" type="noConversion"/>
  </si>
  <si>
    <t>402
(308)</t>
    <phoneticPr fontId="21" type="noConversion"/>
  </si>
  <si>
    <t>403
(224)</t>
    <phoneticPr fontId="21" type="noConversion"/>
  </si>
  <si>
    <t>401-13-10/
26SA02
26A(B-1)
2026-7-15</t>
    <phoneticPr fontId="21" type="noConversion"/>
  </si>
  <si>
    <t>401-17-10/
26SA02
26A(B-1)
2026-7-15</t>
    <phoneticPr fontId="21" type="noConversion"/>
  </si>
  <si>
    <t>401-15-14/
26SA74
26A(B-1)
2026-7-5</t>
    <phoneticPr fontId="21" type="noConversion"/>
  </si>
  <si>
    <t>401-14-14/
26SA74
26A(B-1)
2026-7-5</t>
    <phoneticPr fontId="21" type="noConversion"/>
  </si>
  <si>
    <t>403-8-13/
46SB41
NONE
2026-8-31</t>
    <phoneticPr fontId="21" type="noConversion"/>
  </si>
  <si>
    <t xml:space="preserve">403-11-12/
46SA02
46A(A-1)
2026-9-1
</t>
    <phoneticPr fontId="21" type="noConversion"/>
  </si>
  <si>
    <t>403-10-9/
46SA57
NONE
2026-8-24</t>
    <phoneticPr fontId="21" type="noConversion"/>
  </si>
  <si>
    <t>403-10-11/
46SA01
NONE
2026-8-25</t>
    <phoneticPr fontId="21" type="noConversion"/>
  </si>
  <si>
    <t>403-9-10/
46SA52
46A(A-1)
2026-9-20</t>
    <phoneticPr fontId="21" type="noConversion"/>
  </si>
  <si>
    <t>403-12-12/
46SA02
46A(A-1)
2026-9-2</t>
    <phoneticPr fontId="21" type="noConversion"/>
  </si>
  <si>
    <t>403-12-10/
46SA06
46A(A-1)
2026-9-1</t>
    <phoneticPr fontId="21" type="noConversion"/>
  </si>
  <si>
    <t>403-16-9/
46SA75
NONE
2026-9-1</t>
    <phoneticPr fontId="21" type="noConversion"/>
  </si>
  <si>
    <t>403-6-13/
46SA41
NONE
2026-8-24</t>
    <phoneticPr fontId="21" type="noConversion"/>
  </si>
  <si>
    <t>403-12-9/
46SA75
NONE
2026-9-16</t>
    <phoneticPr fontId="21" type="noConversion"/>
  </si>
  <si>
    <t>403-6-12/
46SA02
46A(A-1)
2026-8-26</t>
    <phoneticPr fontId="21" type="noConversion"/>
  </si>
  <si>
    <t>403-7-9/
46SA57
NONE
2026-8-26</t>
    <phoneticPr fontId="21" type="noConversion"/>
  </si>
  <si>
    <t>403-7-12/
46SA02
46A(A-1)
2026-8-26</t>
    <phoneticPr fontId="21" type="noConversion"/>
  </si>
  <si>
    <t>403-8-12/
46SA02
46A(A-1)
2026-8-24</t>
    <phoneticPr fontId="21" type="noConversion"/>
  </si>
  <si>
    <t>403-11-9/
46SA57
NONE
2026-9-1</t>
    <phoneticPr fontId="21" type="noConversion"/>
  </si>
  <si>
    <t>403-13-6/
26SB62
NONE
2026-9-8</t>
    <phoneticPr fontId="21" type="noConversion"/>
  </si>
  <si>
    <t>403-8-7/
46HB01
26AS(C)
2026-9-2</t>
    <phoneticPr fontId="21" type="noConversion"/>
  </si>
  <si>
    <t>403-10-13/
46SB41
NONE
2026-9-20</t>
    <phoneticPr fontId="21" type="noConversion"/>
  </si>
  <si>
    <t>403-11-3/
26HB03
26AS(C)
2026-9-7</t>
    <phoneticPr fontId="21" type="noConversion"/>
  </si>
  <si>
    <t>403-15-3/
26SB03
26A(B)
2026-9-3</t>
    <phoneticPr fontId="21" type="noConversion"/>
  </si>
  <si>
    <t>403-10-10/
46SA52
46A(A-1)
2026-9-7</t>
    <phoneticPr fontId="21" type="noConversion"/>
  </si>
  <si>
    <t>403-12-11/
46SA01
NONE
2026-8-31</t>
    <phoneticPr fontId="21" type="noConversion"/>
  </si>
  <si>
    <t>403-15-7/
26SB61
26A(B)
2026-9-8</t>
    <phoneticPr fontId="21" type="noConversion"/>
  </si>
  <si>
    <t>403-11-4/
26HB42
NONE
2026-9-8</t>
    <phoneticPr fontId="21" type="noConversion"/>
  </si>
  <si>
    <t>403-10-4/
26HB42
NONE
2026-9-7</t>
    <phoneticPr fontId="21" type="noConversion"/>
  </si>
  <si>
    <t>403-6-11/
46SA01
NONE
2026-8-24</t>
    <phoneticPr fontId="21" type="noConversion"/>
  </si>
  <si>
    <t>403-14-11/
46SA01
NONE
2026-9-20</t>
    <phoneticPr fontId="21" type="noConversion"/>
  </si>
  <si>
    <t>403-9-9/
46SB57
NONE
2026-9-7</t>
    <phoneticPr fontId="21" type="noConversion"/>
  </si>
  <si>
    <t>403-8-11/
46SA01
NONE
2026-8-24</t>
    <phoneticPr fontId="21" type="noConversion"/>
  </si>
  <si>
    <t>403-12-14/
46SA74
46B(A-1)
2026-8-31</t>
    <phoneticPr fontId="21" type="noConversion"/>
  </si>
  <si>
    <t>403-8-10/
46SA52
46A(A-1)
2026-8-31</t>
    <phoneticPr fontId="21" type="noConversion"/>
  </si>
  <si>
    <t>403-10-14/
46SA74
46B(A-1)
2026-8-31</t>
    <phoneticPr fontId="21" type="noConversion"/>
  </si>
  <si>
    <t>403-9-13/
46SB41
NONE
2026-9-20</t>
    <phoneticPr fontId="21" type="noConversion"/>
  </si>
  <si>
    <t>403-15-12/
46SA02
NONE
2026-9-7</t>
    <phoneticPr fontId="21" type="noConversion"/>
  </si>
  <si>
    <t>403-1-8/
26SB62
NONE
2026-9-20</t>
    <phoneticPr fontId="21" type="noConversion"/>
  </si>
  <si>
    <t>403-7-6/
26BH02
NONE
2026-8-24</t>
    <phoneticPr fontId="21" type="noConversion"/>
  </si>
  <si>
    <t>403-7-8/
26HB04
NONE
2026-8-24</t>
    <phoneticPr fontId="21" type="noConversion"/>
  </si>
  <si>
    <t>403-7-4/
26HB42
NONE
2026-9-3</t>
    <phoneticPr fontId="21" type="noConversion"/>
  </si>
  <si>
    <t>403-7-14/
46SA74
46B(A-1)
2026-9-20</t>
    <phoneticPr fontId="21" type="noConversion"/>
  </si>
  <si>
    <t>403-11-10/
46SA52
46A(A-1)
2026-9-7</t>
    <phoneticPr fontId="21" type="noConversion"/>
  </si>
  <si>
    <t>403-9-4/
26HB42
NONE
2026-9-3</t>
    <phoneticPr fontId="21" type="noConversion"/>
  </si>
  <si>
    <t>403-1-2/
26SB04
NONE
2026-9-14</t>
    <phoneticPr fontId="21" type="noConversion"/>
  </si>
  <si>
    <t>402-1-7/
36SB01
36A(B-1)
2026-9-20</t>
    <phoneticPr fontId="21" type="noConversion"/>
  </si>
  <si>
    <t>403-10-8/
26HB04
NONE
2026-8-24</t>
    <phoneticPr fontId="21" type="noConversion"/>
  </si>
  <si>
    <t>403-1-5/
26SB01
NONE
2026-8-24</t>
    <phoneticPr fontId="21" type="noConversion"/>
  </si>
  <si>
    <t>403-12-2/
26SB04
NONE
2026-8-31</t>
    <phoneticPr fontId="21" type="noConversion"/>
  </si>
  <si>
    <t>403-6-6/
26HB02
NONE
2026-8-24</t>
    <phoneticPr fontId="21" type="noConversion"/>
  </si>
  <si>
    <t>403-6-8/
26HB04
NONE
2026-8-24</t>
    <phoneticPr fontId="21" type="noConversion"/>
  </si>
  <si>
    <t>403-13-13/
46SA41
NONE
2026-9-8</t>
    <phoneticPr fontId="21" type="noConversion"/>
  </si>
  <si>
    <t>403-9-8/
26HB04
NONE
2026-8-25</t>
    <phoneticPr fontId="21" type="noConversion"/>
  </si>
  <si>
    <t>403-9-6/
26HB02
NONE
2026-8-25</t>
    <phoneticPr fontId="21" type="noConversion"/>
  </si>
  <si>
    <t>403-10-6/
26HB02
NONE
2026-8-24</t>
    <phoneticPr fontId="21" type="noConversion"/>
  </si>
  <si>
    <t>403-9-2/
26SB54
NONE
2026-8-27</t>
    <phoneticPr fontId="21" type="noConversion"/>
  </si>
  <si>
    <t>403-14-2/
26SB04
NONE
2026-8-26</t>
    <phoneticPr fontId="21" type="noConversion"/>
  </si>
  <si>
    <t>403-8-1/
26SB73
26A(B)
2026-8-24</t>
    <phoneticPr fontId="21" type="noConversion"/>
  </si>
  <si>
    <t>403-1-13/
46SA41
NONE
2026-8-31</t>
    <phoneticPr fontId="21" type="noConversion"/>
  </si>
  <si>
    <t>403-13-11/
46SA01
NONE
2026-9-14</t>
    <phoneticPr fontId="21" type="noConversion"/>
  </si>
  <si>
    <t>403-14-9/
46SA75
NONE
2026-9-8</t>
    <phoneticPr fontId="21" type="noConversion"/>
  </si>
  <si>
    <t>403-8-8/
26HB04
NONE
2026-9-8</t>
    <phoneticPr fontId="21" type="noConversion"/>
  </si>
  <si>
    <t>403-7-2/
26SB54
NONE
2026-8-31</t>
    <phoneticPr fontId="21" type="noConversion"/>
  </si>
  <si>
    <t>403-15-10
46SA06
46A(A-1)
2026-9-8</t>
    <phoneticPr fontId="21" type="noConversion"/>
  </si>
  <si>
    <t>403-16-12/
46SA02
46A(A-1)
2026-9-8</t>
    <phoneticPr fontId="21" type="noConversion"/>
  </si>
  <si>
    <t>403-11-8/
26HB04
NONE
2026-8-27</t>
    <phoneticPr fontId="21" type="noConversion"/>
  </si>
  <si>
    <t>403-16-7/
26SB61
26A(B)
2026-9-9</t>
    <phoneticPr fontId="21" type="noConversion"/>
  </si>
  <si>
    <t>403-15-5/
26SB01
26A(B)
2026-9-9</t>
    <phoneticPr fontId="21" type="noConversion"/>
  </si>
  <si>
    <t>403-16-8/
26SB62
NONE
2026-9-9</t>
    <phoneticPr fontId="21" type="noConversion"/>
  </si>
  <si>
    <t>403-13-10/
46SA06
46A(A-1)
2026-9-9</t>
    <phoneticPr fontId="21" type="noConversion"/>
  </si>
  <si>
    <t>403-15-13/
46SA41
NONE
2026-9-8</t>
    <phoneticPr fontId="21" type="noConversion"/>
  </si>
  <si>
    <t>403-13-7/
26SB01
26A(B)
2026-9-9</t>
    <phoneticPr fontId="21" type="noConversion"/>
  </si>
  <si>
    <t>403-7-7/
26HB01
26AS(C)
2026-8-31</t>
    <phoneticPr fontId="21" type="noConversion"/>
  </si>
  <si>
    <t>403-14-8/
26SB62
NONE
2026-9-9</t>
    <phoneticPr fontId="21" type="noConversion"/>
  </si>
  <si>
    <t>403-9-7/
26HB01
26AS(C)
2026-9-2</t>
    <phoneticPr fontId="21" type="noConversion"/>
  </si>
  <si>
    <t>403-7-3/
26HB03
26AS(C)
2026-9-7</t>
    <phoneticPr fontId="21" type="noConversion"/>
  </si>
  <si>
    <t>403-6-2/
26SB54
NONE
2026-8-31</t>
    <phoneticPr fontId="21" type="noConversion"/>
  </si>
  <si>
    <t>403-13-5/
26HB61
26A(B)
2026-9-8</t>
    <phoneticPr fontId="21" type="noConversion"/>
  </si>
  <si>
    <t>403-14-3/
26SB03
26A(B)
2026-9-7</t>
    <phoneticPr fontId="21" type="noConversion"/>
  </si>
  <si>
    <t>403-10-3/
26HB03
26AS(C)
2026-9-9</t>
    <phoneticPr fontId="21" type="noConversion"/>
  </si>
  <si>
    <t>403-16-13/
NONE
NONE
2026-9-20</t>
    <phoneticPr fontId="21" type="noConversion"/>
  </si>
  <si>
    <t>402-3-13/
26SA43
NONE
2026-9-20</t>
    <phoneticPr fontId="21" type="noConversion"/>
  </si>
  <si>
    <t>402-2-13/
26SA43
NONE
2026-9-20</t>
    <phoneticPr fontId="21" type="noConversion"/>
  </si>
  <si>
    <t>402-2-14/
26SA74
26A(B-1)
2026-9-20</t>
    <phoneticPr fontId="21" type="noConversion"/>
  </si>
  <si>
    <t>402-2-10/
36SB76
NONE
2026-9-20</t>
    <phoneticPr fontId="21" type="noConversion"/>
  </si>
  <si>
    <t>402-1-2/
36SB04
NONE
2026-9-20</t>
    <phoneticPr fontId="21" type="noConversion"/>
  </si>
  <si>
    <t>402-6-11/
26SA01
NONE
2026-9-20</t>
    <phoneticPr fontId="21" type="noConversion"/>
  </si>
  <si>
    <t>402-2-11/
26SA01
NONE
2026-9-20</t>
    <phoneticPr fontId="21" type="noConversion"/>
  </si>
  <si>
    <t>402-1-14/
26SA74
26A(B-1)
2026-9-20</t>
    <phoneticPr fontId="21" type="noConversion"/>
  </si>
  <si>
    <t>402-1-13/
26SA43
NONE
2026-10-1</t>
    <phoneticPr fontId="21" type="noConversion"/>
  </si>
  <si>
    <t>403-1-7/
26SB61
36A(B-1)
2026-9-20</t>
    <phoneticPr fontId="21" type="noConversion"/>
  </si>
  <si>
    <t>402-4-12/
26SA02
26A(B-1)
2026-9-14</t>
    <phoneticPr fontId="21" type="noConversion"/>
  </si>
  <si>
    <t>402-7-12/26SA02
26A(B-1)
2026-9-14</t>
    <phoneticPr fontId="21" type="noConversion"/>
  </si>
  <si>
    <t>402-5-13/
26SA43
NONE
2026-9-20</t>
    <phoneticPr fontId="21" type="noConversion"/>
  </si>
  <si>
    <t>402-5-11/
26SA01
NONE
2026-9-20</t>
    <phoneticPr fontId="21" type="noConversion"/>
  </si>
  <si>
    <t>402-5-14/
26SA74
26A(B-1)
2026-9-20</t>
    <phoneticPr fontId="21" type="noConversion"/>
  </si>
  <si>
    <t>402-3-14/
26SA74
26A(B-1)
2026-10-1</t>
    <phoneticPr fontId="21" type="noConversion"/>
  </si>
  <si>
    <t>402-6-13/
26SA43
NONE
2026-9-20</t>
    <phoneticPr fontId="21" type="noConversion"/>
  </si>
  <si>
    <t>402-3-11/
26SA01
NONE
2026-9-14</t>
    <phoneticPr fontId="21" type="noConversion"/>
  </si>
  <si>
    <t>402-5-12/
26SA02
26A(B-1)
2026-9-14</t>
    <phoneticPr fontId="21" type="noConversion"/>
  </si>
  <si>
    <t>402-6-14/
26SA74
26A(B-1)
2026-10-1</t>
    <phoneticPr fontId="21" type="noConversion"/>
  </si>
  <si>
    <t>402-1-12/
26SA02
26A(B-1)
2026-10-1</t>
    <phoneticPr fontId="21" type="noConversion"/>
  </si>
  <si>
    <t>402-4-13/
26SA43
NONE
2026-9-20</t>
    <phoneticPr fontId="21" type="noConversion"/>
  </si>
  <si>
    <t>402-4-14/
26SA74
26A(B-1)
2026-9-14</t>
    <phoneticPr fontId="21" type="noConversion"/>
  </si>
  <si>
    <t>402-3-12/
26SA02
26A(B-1)
2026-9-14</t>
    <phoneticPr fontId="21" type="noConversion"/>
  </si>
  <si>
    <t>402-4-11/
26SA01
NONE
2026-9-20</t>
    <phoneticPr fontId="21" type="noConversion"/>
  </si>
  <si>
    <t>402-1-11/
26SA01
NONE
2026-10-1</t>
    <phoneticPr fontId="21" type="noConversion"/>
  </si>
  <si>
    <t>402-2-12/
26SA02
26A(B-1)
2026-10-1</t>
    <phoneticPr fontId="21" type="noConversion"/>
  </si>
  <si>
    <t>402-6-12/
26SA02
26A(B-1)
2026-10-1</t>
    <phoneticPr fontId="21" type="noConversion"/>
  </si>
  <si>
    <t>402-3-1/
26SB73
36B(B-1)
2026-10-1</t>
    <phoneticPr fontId="21" type="noConversion"/>
  </si>
  <si>
    <t>402-5-6/
36SB02
NONE
2026-10-1</t>
    <phoneticPr fontId="21" type="noConversion"/>
  </si>
  <si>
    <t>402-4-4/
36SB42
NONE
2026-10-1</t>
    <phoneticPr fontId="21" type="noConversion"/>
  </si>
  <si>
    <t>402-4-5/
36SB01
36A(B-1)
2026-10-1</t>
    <phoneticPr fontId="21" type="noConversion"/>
  </si>
  <si>
    <t>402-3-8/
36SB02
NONE
2026-10-1</t>
    <phoneticPr fontId="21" type="noConversion"/>
  </si>
  <si>
    <t>402-5-10/
36SB76
NONE
2026-10-1</t>
    <phoneticPr fontId="21" type="noConversion"/>
  </si>
  <si>
    <r>
      <t xml:space="preserve">401-17-8/
26SA02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2026-7-21</t>
    </r>
    <phoneticPr fontId="21" type="noConversion"/>
  </si>
  <si>
    <r>
      <t xml:space="preserve">401-16-14/
26SA74
</t>
    </r>
    <r>
      <rPr>
        <b/>
        <sz val="40"/>
        <color rgb="FFFF0000"/>
        <rFont val="맑은 고딕"/>
        <family val="3"/>
        <charset val="129"/>
      </rPr>
      <t>26A(B-1)</t>
    </r>
    <r>
      <rPr>
        <b/>
        <sz val="40"/>
        <rFont val="맑은 고딕"/>
        <family val="3"/>
        <charset val="129"/>
      </rPr>
      <t xml:space="preserve">
2026-5-28</t>
    </r>
    <phoneticPr fontId="21" type="noConversion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</si>
  <si>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</si>
  <si>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</si>
  <si>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</si>
  <si>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</si>
  <si>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</si>
  <si>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</si>
  <si>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</si>
  <si>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</si>
  <si>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</si>
  <si>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</si>
  <si>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</si>
  <si>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</si>
  <si>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</si>
  <si>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  <phoneticPr fontId="21" type="noConversion"/>
  </si>
  <si>
    <t>DH</t>
  </si>
  <si>
    <t>DG</t>
  </si>
  <si>
    <t>DF</t>
  </si>
  <si>
    <t>DE</t>
  </si>
  <si>
    <t>DD</t>
  </si>
  <si>
    <t>DB</t>
  </si>
  <si>
    <t>DA</t>
  </si>
  <si>
    <t>DC</t>
    <phoneticPr fontId="21" type="noConversion"/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</si>
  <si>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</si>
  <si>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</si>
  <si>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</si>
  <si>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</si>
  <si>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</si>
  <si>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</si>
  <si>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</si>
  <si>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</si>
  <si>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</si>
  <si>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</si>
  <si>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402-3-10/
36SB76
2026-10-1</t>
    <phoneticPr fontId="21" type="noConversion"/>
  </si>
  <si>
    <t>403-7-5/
26HB01
2026-10-1</t>
    <phoneticPr fontId="21" type="noConversion"/>
  </si>
  <si>
    <t>D</t>
    <phoneticPr fontId="21" type="noConversion"/>
  </si>
  <si>
    <t>402-2-2/
36SB04
2026-10-1</t>
    <phoneticPr fontId="21" type="noConversion"/>
  </si>
  <si>
    <t xml:space="preserve"> </t>
    <phoneticPr fontId="21" type="noConversion"/>
  </si>
  <si>
    <t>401-11-10/
26SA02
26A(B-1)
2026-7-15</t>
    <phoneticPr fontId="21" type="noConversion"/>
  </si>
  <si>
    <t>401-16-8/
26SA02
26A(B-1)
2026-7-1</t>
    <phoneticPr fontId="21" type="noConversion"/>
  </si>
  <si>
    <t>401-15-8/
26SA02
26A(B-1)
2026-7-1</t>
    <phoneticPr fontId="21" type="noConversion"/>
  </si>
  <si>
    <t>401-14-8/
26SA02
26A(B-1)
2026-7-5</t>
    <phoneticPr fontId="21" type="noConversion"/>
  </si>
  <si>
    <t>401-13-8/
26SA02
26A(B-1)
2026-7-5</t>
    <phoneticPr fontId="21" type="noConversion"/>
  </si>
  <si>
    <t>403-8-5/
26HB01
2026-10-1</t>
    <phoneticPr fontId="21" type="noConversion"/>
  </si>
  <si>
    <t>403-6-1/
26SB73
26A(B)
2026-9-20</t>
    <phoneticPr fontId="21" type="noConversion"/>
  </si>
  <si>
    <t>403-9-12/
46SA02
46A(A-1)
2026-9-16</t>
    <phoneticPr fontId="21" type="noConversion"/>
  </si>
  <si>
    <t>403-9-11/
46SA01
NONE
2026-9-16</t>
    <phoneticPr fontId="21" type="noConversion"/>
  </si>
  <si>
    <t>403-11-11/
46SA01
NONE
2026-9-20</t>
    <phoneticPr fontId="21" type="noConversion"/>
  </si>
  <si>
    <t>403-6-9/
46SA57
NONE
2026-9-7</t>
    <phoneticPr fontId="21" type="noConversion"/>
  </si>
  <si>
    <t>403-14-12/
46SA02
46A(A-1)
2026-9-20</t>
    <phoneticPr fontId="21" type="noConversion"/>
  </si>
  <si>
    <t>403-13-9/
46SA75
NONE
2026-9-20</t>
    <phoneticPr fontId="21" type="noConversion"/>
  </si>
  <si>
    <t>403-14-10/
46SA06
46A(A-1)
2026-9-7</t>
    <phoneticPr fontId="21" type="noConversion"/>
  </si>
  <si>
    <t>403-12-13/
46SA41
NONE
2026-9-8</t>
    <phoneticPr fontId="21" type="noConversion"/>
  </si>
  <si>
    <t>403-10-12/
46SA02
46A(A-1)
2026-8-25</t>
    <phoneticPr fontId="21" type="noConversion"/>
  </si>
  <si>
    <t>403-7-13/
46SB41
NONE
2026-9-20</t>
    <phoneticPr fontId="21" type="noConversion"/>
  </si>
  <si>
    <t>403-9-14/
46SA74
46B(A-1)
2026-8-31</t>
    <phoneticPr fontId="21" type="noConversion"/>
  </si>
  <si>
    <t>403-8-9/
46SA57
NONE
2026-9-7</t>
    <phoneticPr fontId="21" type="noConversion"/>
  </si>
  <si>
    <t>403-8-4/
NONE
NONE
2026-9-3</t>
    <phoneticPr fontId="21" type="noConversion"/>
  </si>
  <si>
    <t>403-11-13/
46SB41
NONE
2026-9-9</t>
    <phoneticPr fontId="21" type="noConversion"/>
  </si>
  <si>
    <t>403-14-14/
46SA74
46B(A-1)
2026-9-16</t>
    <phoneticPr fontId="21" type="noConversion"/>
  </si>
  <si>
    <t>403-14-13/
46SA41
NONE
2026-9-8</t>
    <phoneticPr fontId="21" type="noConversion"/>
  </si>
  <si>
    <t>403-15-11/
46SA01
NONE
2026-9-15</t>
    <phoneticPr fontId="21" type="noConversion"/>
  </si>
  <si>
    <t>403-16-3/
26SB03
26A(B)
2026-8-27</t>
    <phoneticPr fontId="21" type="noConversion"/>
  </si>
  <si>
    <t>403-8-6/
26HB02
NONE
2026-8-24</t>
    <phoneticPr fontId="21" type="noConversion"/>
  </si>
  <si>
    <t>403-16-10/
46SA06
46A(A-1)
2026-9-8</t>
    <phoneticPr fontId="21" type="noConversion"/>
  </si>
  <si>
    <t>402-2-5/
36SB01
36A(B-1)
2026-10-1</t>
    <phoneticPr fontId="21" type="noConversion"/>
  </si>
  <si>
    <t>402-1-10/
36SB76
NONE
2026-10-1</t>
    <phoneticPr fontId="21" type="noConversion"/>
  </si>
  <si>
    <t>402-1-8/
36SB02
NONE
2026-10-1</t>
    <phoneticPr fontId="21" type="noConversion"/>
  </si>
  <si>
    <t>402-1-1/
36SB73
NONE
2026-10-1</t>
    <phoneticPr fontId="21" type="noConversion"/>
  </si>
  <si>
    <t>402-5-3/
36SB43
36A(B-1)
2026-10-1</t>
    <phoneticPr fontId="21" type="noConversion"/>
  </si>
  <si>
    <t>402-8-12/
26SA02
26A(B-1)
2026-10-1</t>
    <phoneticPr fontId="21" type="noConversion"/>
  </si>
  <si>
    <t>402-9-13/
26SA43
NONE
2026-10-1</t>
    <phoneticPr fontId="21" type="noConversion"/>
  </si>
  <si>
    <t>402-5-9/
36SB05
36A(B-1)
2026-10-1</t>
    <phoneticPr fontId="21" type="noConversion"/>
  </si>
  <si>
    <t>402-5-5/
36SB01
36A(B-1)
2026-10-1</t>
    <phoneticPr fontId="21" type="noConversion"/>
  </si>
  <si>
    <t>402-4-1/
36SB73
36B(B-1)
2026-10-1</t>
    <phoneticPr fontId="21" type="noConversion"/>
  </si>
  <si>
    <t>402-4-8/
36SB01
NONE
2026-10-1</t>
    <phoneticPr fontId="21" type="noConversion"/>
  </si>
  <si>
    <t>403-11-7/
26HB01
26AS(C)
2026-10-1</t>
    <phoneticPr fontId="21" type="noConversion"/>
  </si>
  <si>
    <t>403-9-5/
26HB01
26AS(C)
2026-10-1</t>
    <phoneticPr fontId="21" type="noConversion"/>
  </si>
  <si>
    <t>403-15-2/
26SB04
NONE
2026-10-1</t>
    <phoneticPr fontId="21" type="noConversion"/>
  </si>
  <si>
    <t>반출</t>
    <phoneticPr fontId="21" type="noConversion"/>
  </si>
  <si>
    <t>402-1-9/
36SB05
2026-10-6</t>
    <phoneticPr fontId="21" type="noConversion"/>
  </si>
  <si>
    <t>402-2-7/
36SB01
2026-10-6</t>
    <phoneticPr fontId="21" type="noConversion"/>
  </si>
  <si>
    <t>403-10-5/
26HB01
2026-10-6</t>
    <phoneticPr fontId="21" type="noConversion"/>
  </si>
  <si>
    <t>403-13-8/
26SB62
2026-10-6</t>
    <phoneticPr fontId="21" type="noConversion"/>
  </si>
  <si>
    <t>403-14-1/
26SB73
2026-10-6</t>
    <phoneticPr fontId="21" type="noConversion"/>
  </si>
  <si>
    <t>402-2-4/
36SB42
2026-10-6</t>
    <phoneticPr fontId="21" type="noConversion"/>
  </si>
  <si>
    <t>402-3-7/
36SB01
2026-10-6</t>
    <phoneticPr fontId="21" type="noConversion"/>
  </si>
  <si>
    <t>402-5-4/
36SB42
2026-10-6</t>
    <phoneticPr fontId="21" type="noConversion"/>
  </si>
  <si>
    <t>402-3-9/
36SB05
2026-10-6</t>
    <phoneticPr fontId="21" type="noConversion"/>
  </si>
  <si>
    <t>402-2-6/
36SB02
2026-10-6</t>
    <phoneticPr fontId="21" type="noConversion"/>
  </si>
  <si>
    <t>402-4-7/
36SB01
2026-10-6</t>
    <phoneticPr fontId="21" type="noConversion"/>
  </si>
  <si>
    <t>402-5-8/
36SB02
2026-10-6</t>
    <phoneticPr fontId="21" type="noConversion"/>
  </si>
  <si>
    <t>402-5-7/
36SB01
2026-10-6</t>
    <phoneticPr fontId="21" type="noConversion"/>
  </si>
  <si>
    <t>402-4-9/
36SB05
2026-10-6</t>
    <phoneticPr fontId="21" type="noConversion"/>
  </si>
  <si>
    <t>403-12-1/
26SB73
2026-10-6</t>
    <phoneticPr fontId="21" type="noConversion"/>
  </si>
  <si>
    <t>403-13-2/
26SB04
2026-10-6</t>
    <phoneticPr fontId="21" type="noConversion"/>
  </si>
  <si>
    <t>402-4-6/
36SB02
2026-10-6</t>
    <phoneticPr fontId="21" type="noConversion"/>
  </si>
  <si>
    <t>403-14-5/
26SB61
2026-10-6</t>
    <phoneticPr fontId="21" type="noConversion"/>
  </si>
  <si>
    <t>403-8-14/
46SA74
46B(A-1)
2026-8-4</t>
    <phoneticPr fontId="21" type="noConversion"/>
  </si>
  <si>
    <t>402-3-2/
36SB04
2026-10-7</t>
    <phoneticPr fontId="21" type="noConversion"/>
  </si>
  <si>
    <t>402-2-1/
36SB73
2026-10-7</t>
    <phoneticPr fontId="21" type="noConversion"/>
  </si>
  <si>
    <t>402-1-6/
36SB02
2026-10-7</t>
    <phoneticPr fontId="21" type="noConversion"/>
  </si>
  <si>
    <t>402-5-1/
36SB73
2026-10-7</t>
    <phoneticPr fontId="21" type="noConversion"/>
  </si>
  <si>
    <t>403-14-6/
26SB62
2026-10-7</t>
    <phoneticPr fontId="21" type="noConversion"/>
  </si>
  <si>
    <t>403-14-7/
26SB61
2026-10-7</t>
    <phoneticPr fontId="21" type="noConversion"/>
  </si>
  <si>
    <t>402-2-3/
36SB43
2026-10-8</t>
    <phoneticPr fontId="21" type="noConversion"/>
  </si>
  <si>
    <t>402-3-5/
36SB01
2026-10-8</t>
    <phoneticPr fontId="21" type="noConversion"/>
  </si>
  <si>
    <t>402-3-6/
36SB02
2026-10-8</t>
    <phoneticPr fontId="21" type="noConversion"/>
  </si>
  <si>
    <t>402-6-6/
36SB02
2026-10-8</t>
    <phoneticPr fontId="21" type="noConversion"/>
  </si>
  <si>
    <t>402-4-2/
36SB04
2026-10-12</t>
    <phoneticPr fontId="21" type="noConversion"/>
  </si>
  <si>
    <t>402-5-2/
36SB04
2026-10-12</t>
    <phoneticPr fontId="21" type="noConversion"/>
  </si>
  <si>
    <t>402-9-3/
36SB43
2026-10-12</t>
    <phoneticPr fontId="21" type="noConversion"/>
  </si>
  <si>
    <t>402-2-8/
36SB02
2026-10-12</t>
    <phoneticPr fontId="21" type="noConversion"/>
  </si>
  <si>
    <t>402-3-4/
26SB42
2026-10-12</t>
    <phoneticPr fontId="21" type="noConversion"/>
  </si>
  <si>
    <t>403-12-4/
26SB56
2026-10-12</t>
    <phoneticPr fontId="21" type="noConversion"/>
  </si>
  <si>
    <t>403-10-2/
26SA54
2026-10-12</t>
    <phoneticPr fontId="21" type="noConversion"/>
  </si>
  <si>
    <t>403-11-2/
26SB54
2026-10-12</t>
    <phoneticPr fontId="21" type="noConversion"/>
  </si>
  <si>
    <t>403-15-8/
26SB62
2026-10-12</t>
    <phoneticPr fontId="21" type="noConversion"/>
  </si>
  <si>
    <t>403-8-2/
26SB54
206-10-12</t>
    <phoneticPr fontId="21" type="noConversion"/>
  </si>
  <si>
    <t>403-16-2/
26SB04
2026-10-12</t>
    <phoneticPr fontId="21" type="noConversion"/>
  </si>
  <si>
    <t>402-8-4/
26SB42
2026-10-12</t>
    <phoneticPr fontId="21" type="noConversion"/>
  </si>
  <si>
    <t>402-6-2/
36SB04
NONE
2026-4-9</t>
    <phoneticPr fontId="21" type="noConversion"/>
  </si>
  <si>
    <t>C25</t>
  </si>
  <si>
    <t>402-10-3/
36SB43
2026-10-13</t>
    <phoneticPr fontId="21" type="noConversion"/>
  </si>
  <si>
    <t>403-11-1/
26SB73
2026-10-13</t>
    <phoneticPr fontId="21" type="noConversion"/>
  </si>
  <si>
    <t>403-15-1/
26SB73
2026-10-13</t>
    <phoneticPr fontId="21" type="noConversion"/>
  </si>
  <si>
    <t>402-4-3/
36SB43
2026-10-13</t>
    <phoneticPr fontId="21" type="noConversion"/>
  </si>
  <si>
    <t>403-13-1/
26SB73
2026-10-13</t>
    <phoneticPr fontId="21" type="noConversion"/>
  </si>
  <si>
    <t>403-12-7/
26SB51
2026-10-13</t>
    <phoneticPr fontId="21" type="noConversion"/>
  </si>
  <si>
    <t>403-11-6/
26HB02
2026-10-13</t>
    <phoneticPr fontId="21" type="noConversion"/>
  </si>
  <si>
    <t>403-15-9/
46SA75
NONE
2026-9-14</t>
    <phoneticPr fontId="21" type="noConversion"/>
  </si>
  <si>
    <t>403-12-3/
26SB03
2026-10-12</t>
    <phoneticPr fontId="21" type="noConversion"/>
  </si>
  <si>
    <t>403-12-6/
26HB02
2026-10-14</t>
    <phoneticPr fontId="21" type="noConversion"/>
  </si>
  <si>
    <t>403-15-6/
26SB62
2026-10-13</t>
    <phoneticPr fontId="21" type="noConversion"/>
  </si>
  <si>
    <t>402-9-7/
36SB01
2026-10-14</t>
    <phoneticPr fontId="21" type="noConversion"/>
  </si>
  <si>
    <t>402-8-6/
26SB02
2026-10-14</t>
    <phoneticPr fontId="21" type="noConversion"/>
  </si>
  <si>
    <t>402-8-9/
36SB05
2026-10-14</t>
    <phoneticPr fontId="21" type="noConversion"/>
  </si>
  <si>
    <t>403-16-11/
46SA01
NONE
2026-9-1</t>
    <phoneticPr fontId="21" type="noConversion"/>
  </si>
  <si>
    <t>403-16-6/
26SB62
2026-10-6</t>
    <phoneticPr fontId="21" type="noConversion"/>
  </si>
  <si>
    <t>402-6-3/
36SB43
2026-10-13</t>
    <phoneticPr fontId="21" type="noConversion"/>
  </si>
  <si>
    <t>402-3-3/
36SB43
2026-10-13</t>
    <phoneticPr fontId="21" type="noConversion"/>
  </si>
  <si>
    <t>403-7-1/
26SB73
36B(B-1)
2026-10-1</t>
    <phoneticPr fontId="21" type="noConversion"/>
  </si>
  <si>
    <t>401-12-13/
26SA03
NONE
2026-5-28</t>
    <phoneticPr fontId="21" type="noConversion"/>
  </si>
  <si>
    <t>401-16-13/
26SA03
NONE
2026-6-1</t>
    <phoneticPr fontId="21" type="noConversion"/>
  </si>
  <si>
    <t>402-1-4/
36SB42
2026-10-15</t>
    <phoneticPr fontId="21" type="noConversion"/>
  </si>
  <si>
    <t>403-16-4/
26SB68
2026-10-19</t>
    <phoneticPr fontId="21" type="noConversion"/>
  </si>
  <si>
    <t>403-13-3/
26SB03
2026-10-19</t>
    <phoneticPr fontId="21" type="noConversion"/>
  </si>
  <si>
    <t>402-11-11/
26SA01
2026-10-19</t>
    <phoneticPr fontId="21" type="noConversion"/>
  </si>
  <si>
    <t>402-7-8/
36SB02
2026-10-19</t>
    <phoneticPr fontId="21" type="noConversion"/>
  </si>
  <si>
    <t>402-1-5/
36SB01
2026-10-19</t>
    <phoneticPr fontId="21" type="noConversion"/>
  </si>
  <si>
    <t>402-9-2/
36SB04
2026-10-19</t>
    <phoneticPr fontId="21" type="noConversion"/>
  </si>
  <si>
    <t>402-10-2/
36SB04
2026-10-9</t>
    <phoneticPr fontId="21" type="noConversion"/>
  </si>
  <si>
    <t>402-14-3/
36SB43
2026-10-19</t>
    <phoneticPr fontId="21" type="noConversion"/>
  </si>
  <si>
    <t>402-8-1/
36SB73
2026-10-19</t>
    <phoneticPr fontId="21" type="noConversion"/>
  </si>
  <si>
    <t>403-14-4/
26SB68
2026-10-19</t>
    <phoneticPr fontId="21" type="noConversion"/>
  </si>
  <si>
    <t>402-8-2/
36SB04
2026-10-19</t>
    <phoneticPr fontId="21" type="noConversion"/>
  </si>
  <si>
    <t>402-9-12/
26SA02
2026-10-19</t>
    <phoneticPr fontId="21" type="noConversion"/>
  </si>
  <si>
    <t>403-12-8/
26SB62
2026-10-15</t>
    <phoneticPr fontId="21" type="noConversion"/>
  </si>
  <si>
    <t>402-16-3/
36SB43
2026-10-19</t>
    <phoneticPr fontId="21" type="noConversion"/>
  </si>
  <si>
    <t>403-15-4/
26SB68
2026-10-19</t>
    <phoneticPr fontId="21" type="noConversion"/>
  </si>
  <si>
    <t>402-8-11/
26SA01
2026-10-19</t>
    <phoneticPr fontId="21" type="noConversion"/>
  </si>
  <si>
    <t>403-13-4/
26SB68
2026-10-19</t>
    <phoneticPr fontId="21" type="noConversion"/>
  </si>
  <si>
    <t>403-12-5/
26HB01
2026-10-13</t>
    <phoneticPr fontId="21" type="noConversion"/>
  </si>
  <si>
    <t>402-12-12/
26SA02
2026-10-20</t>
    <phoneticPr fontId="21" type="noConversion"/>
  </si>
  <si>
    <t>402-6-8/
36SB02
2026-10-20</t>
    <phoneticPr fontId="21" type="noConversion"/>
  </si>
  <si>
    <t>402-6-7/
36SB01
2026-10-19</t>
    <phoneticPr fontId="21" type="noConversion"/>
  </si>
  <si>
    <t>402-8-13/
26SA43
2026-10-20</t>
    <phoneticPr fontId="21" type="noConversion"/>
  </si>
  <si>
    <t>402-6-5/
36SB01
2026-10-20</t>
    <phoneticPr fontId="21" type="noConversion"/>
  </si>
  <si>
    <t>402-17-3/
36SB43
2026-10-20</t>
    <phoneticPr fontId="21" type="noConversion"/>
  </si>
  <si>
    <t>402-12-13/
36SA43
2026-10-20</t>
    <phoneticPr fontId="21" type="noConversion"/>
  </si>
  <si>
    <t>402-12-10/
36SB76
2026-10-20</t>
    <phoneticPr fontId="21" type="noConversion"/>
  </si>
  <si>
    <t>402-7-5/
36SB01
2026-10-20</t>
    <phoneticPr fontId="21" type="noConversion"/>
  </si>
  <si>
    <t>402-10-12/
26SA02
2026-10-21</t>
    <phoneticPr fontId="21" type="noConversion"/>
  </si>
  <si>
    <t>402-9-6/
36SB02
2026-10-21</t>
    <phoneticPr fontId="21" type="noConversion"/>
  </si>
  <si>
    <t>402-9-4/
36SB42
2026-10-21</t>
    <phoneticPr fontId="21" type="noConversion"/>
  </si>
  <si>
    <t>402-7-1/
36SB73
2026-10-21</t>
    <phoneticPr fontId="21" type="noConversion"/>
  </si>
  <si>
    <t>402-10-13/
26SA43
2026-10-22</t>
    <phoneticPr fontId="21" type="noConversion"/>
  </si>
  <si>
    <t>402-11-12/
26SA02
2026-10-22</t>
    <phoneticPr fontId="21" type="noConversion"/>
  </si>
  <si>
    <t>402-10-10/
36SB76
2026-10-26</t>
    <phoneticPr fontId="21" type="noConversion"/>
  </si>
  <si>
    <t>403-13-12/
46SA02
2026-10-26</t>
    <phoneticPr fontId="21" type="noConversion"/>
  </si>
  <si>
    <t>402-10-6/
336SB02
2026-10-26</t>
    <phoneticPr fontId="21" type="noConversion"/>
  </si>
  <si>
    <t>402-11-2/
36SB73
2026-10-26</t>
    <phoneticPr fontId="21" type="noConversion"/>
  </si>
  <si>
    <t>402-6-1/
36SB73
2026-10-26</t>
    <phoneticPr fontId="21" type="noConversion"/>
  </si>
  <si>
    <t>402-11-9/
36SB05
2026-10-26</t>
    <phoneticPr fontId="21" type="noConversion"/>
  </si>
  <si>
    <t>402-9-9/
36SV05
2026-10-26</t>
    <phoneticPr fontId="21" type="noConversion"/>
  </si>
  <si>
    <t>402-6-9/
36SB05
2026-10-26</t>
    <phoneticPr fontId="21" type="noConversion"/>
  </si>
  <si>
    <t>402-10-4/
36SB42
2026-10-26</t>
    <phoneticPr fontId="21" type="noConversion"/>
  </si>
  <si>
    <t>402-7-10/
36SB76
2026-10-26</t>
    <phoneticPr fontId="21" type="noConversion"/>
  </si>
  <si>
    <t>402-13-14/
26SA74
2026-10-26</t>
    <phoneticPr fontId="21" type="noConversion"/>
  </si>
  <si>
    <t>402-13-12/
26SA02
2026-10-26</t>
    <phoneticPr fontId="21" type="noConversion"/>
  </si>
  <si>
    <t>403-16-1/
26SA73
2026-10-26</t>
    <phoneticPr fontId="21" type="noConversion"/>
  </si>
  <si>
    <t>402-4-10/
2026-10-26</t>
    <phoneticPr fontId="21" type="noConversion"/>
  </si>
  <si>
    <t>402-11-14/
26SA74
2026-10-26</t>
    <phoneticPr fontId="21" type="noConversion"/>
  </si>
  <si>
    <t>402-9-14/
26SA74
2026-10-26</t>
    <phoneticPr fontId="21" type="noConversion"/>
  </si>
  <si>
    <t>402-10-14/
26SA74
2026-10-26</t>
    <phoneticPr fontId="21" type="noConversion"/>
  </si>
  <si>
    <t>402-14-4/
36SB42
2026-10-26</t>
    <phoneticPr fontId="21" type="noConversion"/>
  </si>
  <si>
    <t>402-8-14/
26SA74
2026-10-26</t>
    <phoneticPr fontId="21" type="noConversion"/>
  </si>
  <si>
    <t>402-12-14/
26SA74
2026-10-26</t>
    <phoneticPr fontId="21" type="noConversion"/>
  </si>
  <si>
    <t>402-10-1/
36SB73
2026-10-26</t>
    <phoneticPr fontId="21" type="noConversion"/>
  </si>
  <si>
    <t>402-10-8/
36SB02
2026-10-26</t>
    <phoneticPr fontId="21" type="noConversion"/>
  </si>
  <si>
    <t>402-9-1/
36SB73
2026-10-26</t>
    <phoneticPr fontId="21" type="noConversion"/>
  </si>
  <si>
    <t>402-2-9/
36SB05
2026-10-6</t>
    <phoneticPr fontId="21" type="noConversion"/>
  </si>
  <si>
    <t>403-16-5/
26SB61
2026-10-15</t>
    <phoneticPr fontId="21" type="noConversion"/>
  </si>
  <si>
    <t>402-11-7/
36SB01
2026-10-27</t>
    <phoneticPr fontId="21" type="noConversion"/>
  </si>
  <si>
    <t>402-14-12/
26SA02
2026-10-27</t>
    <phoneticPr fontId="21" type="noConversion"/>
  </si>
  <si>
    <t>402-7-11/
26SA01
2026-10-27</t>
    <phoneticPr fontId="21" type="noConversion"/>
  </si>
  <si>
    <t>402-10-7/
36SB01
2026-10-27</t>
    <phoneticPr fontId="21" type="noConversion"/>
  </si>
  <si>
    <t>402-15-1/
36SB73
2026-10-27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</si>
</sst>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0_);[Red]\(0\)"/>
  </numFmts>
  <fonts count="5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sz val="7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sz val="36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sz val="48"/>
      <color rgb="FF000000"/>
      <name val="맑은 고딕"/>
      <family val="3"/>
      <charset val="129"/>
    </font>
    <font>
      <b/>
      <sz val="28"/>
      <color rgb="FFFF0000"/>
      <name val="맑은 고딕"/>
      <family val="3"/>
      <charset val="129"/>
    </font>
    <font>
      <b/>
      <sz val="10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4"/>
      <name val="맑은 고딕"/>
      <family val="3"/>
      <charset val="129"/>
    </font>
    <font>
      <b/>
      <sz val="26"/>
      <color rgb="FFFFFFFF"/>
      <name val="맑은 고딕"/>
      <family val="3"/>
      <charset val="129"/>
    </font>
    <font>
      <b/>
      <sz val="48"/>
      <name val="맑은 고딕"/>
      <family val="3"/>
      <charset val="129"/>
    </font>
    <font>
      <b/>
      <sz val="22"/>
      <name val="맑은 고딕"/>
      <family val="3"/>
      <charset val="129"/>
    </font>
    <font>
      <sz val="22"/>
      <color rgb="FF000000"/>
      <name val="맑은 고딕"/>
      <family val="3"/>
      <charset val="129"/>
    </font>
    <font>
      <sz val="24"/>
      <color rgb="FFFF0000"/>
      <name val="맑은 고딕"/>
      <family val="3"/>
      <charset val="129"/>
    </font>
    <font>
      <sz val="24"/>
      <color rgb="FF000000"/>
      <name val="맑은 고딕"/>
      <family val="3"/>
      <charset val="129"/>
    </font>
    <font>
      <b/>
      <sz val="144"/>
      <color rgb="FF000000"/>
      <name val="맑은 고딕"/>
      <family val="3"/>
      <charset val="129"/>
    </font>
    <font>
      <b/>
      <sz val="46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b/>
      <sz val="28"/>
      <name val="맑은 고딕"/>
      <family val="3"/>
      <charset val="129"/>
    </font>
    <font>
      <b/>
      <sz val="9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26"/>
      <name val="맑은 고딕"/>
      <family val="3"/>
      <charset val="129"/>
    </font>
    <font>
      <b/>
      <sz val="60"/>
      <color rgb="FF000000"/>
      <name val="맑은 고딕"/>
      <family val="3"/>
      <charset val="129"/>
    </font>
    <font>
      <b/>
      <sz val="120"/>
      <color rgb="FF000000"/>
      <name val="맑은 고딕"/>
      <family val="3"/>
      <charset val="129"/>
    </font>
    <font>
      <b/>
      <sz val="37"/>
      <color rgb="FF000000"/>
      <name val="맑은 고딕"/>
      <family val="3"/>
      <charset val="129"/>
    </font>
    <font>
      <sz val="46"/>
      <color rgb="FF000000"/>
      <name val="맑은 고딕"/>
      <family val="3"/>
      <charset val="129"/>
    </font>
    <font>
      <b/>
      <sz val="37"/>
      <name val="맑은 고딕"/>
      <family val="3"/>
      <charset val="129"/>
    </font>
    <font>
      <b/>
      <sz val="72"/>
      <name val="맑은 고딕"/>
      <family val="3"/>
      <charset val="129"/>
    </font>
    <font>
      <b/>
      <sz val="40"/>
      <name val="맑은 고딕"/>
      <family val="3"/>
      <charset val="129"/>
    </font>
    <font>
      <b/>
      <sz val="42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40"/>
      <color rgb="FFFF0000"/>
      <name val="맑은 고딕"/>
      <family val="3"/>
      <charset val="129"/>
    </font>
    <font>
      <b/>
      <sz val="52"/>
      <color rgb="FF000000"/>
      <name val="맑은 고딕"/>
      <family val="3"/>
      <charset val="129"/>
    </font>
    <font>
      <b/>
      <sz val="70"/>
      <color rgb="FF000000"/>
      <name val="맑은 고딕"/>
      <family val="3"/>
      <charset val="129"/>
    </font>
    <font>
      <b/>
      <sz val="40"/>
      <color rgb="FF000000"/>
      <name val="맑은 고딕"/>
      <family val="3"/>
      <charset val="129"/>
    </font>
    <font>
      <b/>
      <sz val="70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C6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</borders>
  <cellStyleXfs count="21">
    <xf numFmtId="0" fontId="0" fillId="0" borderId="0">
      <alignment vertical="center"/>
    </xf>
    <xf numFmtId="9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41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44" fillId="0" borderId="0"/>
  </cellStyleXfs>
  <cellXfs count="424">
    <xf numFmtId="0" fontId="0" fillId="0" borderId="0" xfId="0">
      <alignment vertical="center"/>
    </xf>
    <xf numFmtId="0" fontId="4" fillId="6" borderId="6" xfId="15" applyFont="1" applyFill="1" applyBorder="1">
      <alignment vertical="center"/>
    </xf>
    <xf numFmtId="0" fontId="4" fillId="0" borderId="0" xfId="15" applyFont="1" applyAlignment="1">
      <alignment horizontal="center" vertical="center"/>
    </xf>
    <xf numFmtId="0" fontId="1" fillId="0" borderId="0" xfId="15" applyAlignment="1">
      <alignment horizontal="center" vertical="center"/>
    </xf>
    <xf numFmtId="0" fontId="1" fillId="0" borderId="0" xfId="15">
      <alignment vertical="center"/>
    </xf>
    <xf numFmtId="0" fontId="16" fillId="0" borderId="0" xfId="15" applyFont="1" applyAlignment="1">
      <alignment horizontal="center" vertical="center" wrapText="1"/>
    </xf>
    <xf numFmtId="0" fontId="4" fillId="6" borderId="12" xfId="15" applyFont="1" applyFill="1" applyBorder="1">
      <alignment vertical="center"/>
    </xf>
    <xf numFmtId="0" fontId="6" fillId="0" borderId="0" xfId="15" applyFont="1" applyAlignment="1">
      <alignment horizontal="center" vertical="center"/>
    </xf>
    <xf numFmtId="14" fontId="10" fillId="0" borderId="0" xfId="15" applyNumberFormat="1" applyFont="1" applyAlignment="1">
      <alignment horizontal="center" vertical="center"/>
    </xf>
    <xf numFmtId="0" fontId="7" fillId="0" borderId="0" xfId="15" applyFont="1" applyAlignment="1">
      <alignment vertical="center" wrapText="1"/>
    </xf>
    <xf numFmtId="0" fontId="4" fillId="0" borderId="0" xfId="15" applyFont="1">
      <alignment vertical="center"/>
    </xf>
    <xf numFmtId="0" fontId="22" fillId="0" borderId="10" xfId="15" applyFont="1" applyBorder="1" applyAlignment="1">
      <alignment horizontal="center" vertical="center" wrapText="1"/>
    </xf>
    <xf numFmtId="0" fontId="4" fillId="6" borderId="8" xfId="15" applyFont="1" applyFill="1" applyBorder="1">
      <alignment vertical="center"/>
    </xf>
    <xf numFmtId="0" fontId="6" fillId="0" borderId="0" xfId="15" applyFont="1" applyAlignment="1">
      <alignment horizontal="center" vertical="center" wrapText="1"/>
    </xf>
    <xf numFmtId="0" fontId="12" fillId="0" borderId="0" xfId="15" applyFont="1" applyAlignment="1">
      <alignment horizontal="center" vertical="center"/>
    </xf>
    <xf numFmtId="0" fontId="4" fillId="6" borderId="11" xfId="15" applyFont="1" applyFill="1" applyBorder="1">
      <alignment vertical="center"/>
    </xf>
    <xf numFmtId="0" fontId="4" fillId="6" borderId="3" xfId="15" applyFont="1" applyFill="1" applyBorder="1">
      <alignment vertical="center"/>
    </xf>
    <xf numFmtId="0" fontId="14" fillId="0" borderId="0" xfId="15" applyFont="1" applyAlignment="1">
      <alignment vertical="top"/>
    </xf>
    <xf numFmtId="0" fontId="4" fillId="6" borderId="4" xfId="15" applyFont="1" applyFill="1" applyBorder="1">
      <alignment vertical="center"/>
    </xf>
    <xf numFmtId="0" fontId="1" fillId="0" borderId="0" xfId="15" applyAlignment="1">
      <alignment vertical="center" wrapText="1"/>
    </xf>
    <xf numFmtId="0" fontId="4" fillId="0" borderId="7" xfId="15" applyFont="1" applyBorder="1">
      <alignment vertical="center"/>
    </xf>
    <xf numFmtId="0" fontId="27" fillId="0" borderId="0" xfId="15" applyFont="1">
      <alignment vertical="center"/>
    </xf>
    <xf numFmtId="0" fontId="28" fillId="0" borderId="0" xfId="15" applyFont="1">
      <alignment vertical="center"/>
    </xf>
    <xf numFmtId="0" fontId="7" fillId="0" borderId="0" xfId="15" applyFont="1">
      <alignment vertical="center"/>
    </xf>
    <xf numFmtId="0" fontId="29" fillId="0" borderId="6" xfId="15" applyFont="1" applyBorder="1" applyAlignment="1">
      <alignment vertical="center" wrapText="1"/>
    </xf>
    <xf numFmtId="0" fontId="29" fillId="0" borderId="5" xfId="15" applyFont="1" applyBorder="1" applyAlignment="1">
      <alignment vertical="center" wrapText="1"/>
    </xf>
    <xf numFmtId="0" fontId="1" fillId="4" borderId="11" xfId="15" applyFill="1" applyBorder="1">
      <alignment vertical="center"/>
    </xf>
    <xf numFmtId="0" fontId="12" fillId="0" borderId="6" xfId="15" applyFont="1" applyBorder="1" applyAlignment="1">
      <alignment horizontal="center" vertical="center"/>
    </xf>
    <xf numFmtId="0" fontId="12" fillId="0" borderId="5" xfId="15" applyFont="1" applyBorder="1" applyAlignment="1">
      <alignment horizontal="center" vertical="center"/>
    </xf>
    <xf numFmtId="0" fontId="12" fillId="0" borderId="11" xfId="15" applyFont="1" applyBorder="1" applyAlignment="1">
      <alignment horizontal="center" vertical="center"/>
    </xf>
    <xf numFmtId="0" fontId="29" fillId="0" borderId="8" xfId="15" applyFont="1" applyBorder="1" applyAlignment="1">
      <alignment vertical="center" wrapText="1"/>
    </xf>
    <xf numFmtId="0" fontId="29" fillId="0" borderId="0" xfId="15" applyFont="1" applyAlignment="1">
      <alignment vertical="center" wrapText="1"/>
    </xf>
    <xf numFmtId="0" fontId="29" fillId="0" borderId="0" xfId="15" applyFont="1" applyAlignment="1">
      <alignment horizontal="center" vertical="center" wrapText="1"/>
    </xf>
    <xf numFmtId="0" fontId="1" fillId="4" borderId="0" xfId="15" applyFill="1">
      <alignment vertical="center"/>
    </xf>
    <xf numFmtId="0" fontId="12" fillId="0" borderId="8" xfId="15" applyFont="1" applyBorder="1" applyAlignment="1">
      <alignment horizontal="center" vertical="center"/>
    </xf>
    <xf numFmtId="0" fontId="12" fillId="0" borderId="3" xfId="15" applyFont="1" applyBorder="1" applyAlignment="1">
      <alignment horizontal="center" vertical="center"/>
    </xf>
    <xf numFmtId="0" fontId="4" fillId="0" borderId="8" xfId="15" applyFont="1" applyBorder="1">
      <alignment vertical="center"/>
    </xf>
    <xf numFmtId="0" fontId="14" fillId="0" borderId="0" xfId="15" applyFont="1" applyAlignment="1">
      <alignment vertical="center" wrapText="1"/>
    </xf>
    <xf numFmtId="0" fontId="8" fillId="0" borderId="0" xfId="15" applyFont="1" applyAlignment="1">
      <alignment horizontal="center" vertical="center" wrapText="1"/>
    </xf>
    <xf numFmtId="0" fontId="16" fillId="0" borderId="3" xfId="15" applyFont="1" applyBorder="1" applyAlignment="1">
      <alignment horizontal="center" vertical="center" wrapText="1"/>
    </xf>
    <xf numFmtId="0" fontId="7" fillId="0" borderId="0" xfId="15" applyFont="1" applyAlignment="1">
      <alignment horizontal="center" vertical="center" wrapText="1"/>
    </xf>
    <xf numFmtId="0" fontId="6" fillId="0" borderId="0" xfId="15" applyFont="1" applyAlignment="1">
      <alignment vertical="center" wrapText="1"/>
    </xf>
    <xf numFmtId="0" fontId="1" fillId="0" borderId="3" xfId="15" applyBorder="1">
      <alignment vertical="center"/>
    </xf>
    <xf numFmtId="0" fontId="15" fillId="0" borderId="0" xfId="15" applyFont="1" applyAlignment="1">
      <alignment vertical="center" wrapText="1"/>
    </xf>
    <xf numFmtId="0" fontId="13" fillId="0" borderId="0" xfId="15" applyFont="1" applyAlignment="1">
      <alignment vertical="center" wrapText="1"/>
    </xf>
    <xf numFmtId="0" fontId="14" fillId="0" borderId="0" xfId="15" applyFont="1" applyAlignment="1">
      <alignment horizontal="center" vertical="center" wrapText="1"/>
    </xf>
    <xf numFmtId="0" fontId="29" fillId="0" borderId="12" xfId="15" applyFont="1" applyBorder="1" applyAlignment="1">
      <alignment vertical="center" wrapText="1"/>
    </xf>
    <xf numFmtId="0" fontId="1" fillId="0" borderId="8" xfId="15" applyBorder="1">
      <alignment vertical="center"/>
    </xf>
    <xf numFmtId="0" fontId="29" fillId="0" borderId="13" xfId="15" applyFont="1" applyBorder="1" applyAlignment="1">
      <alignment vertical="center" wrapText="1"/>
    </xf>
    <xf numFmtId="0" fontId="29" fillId="0" borderId="7" xfId="15" applyFont="1" applyBorder="1" applyAlignment="1">
      <alignment vertical="center" wrapText="1"/>
    </xf>
    <xf numFmtId="0" fontId="1" fillId="0" borderId="8" xfId="15" applyBorder="1" applyAlignment="1">
      <alignment vertical="center" wrapText="1"/>
    </xf>
    <xf numFmtId="0" fontId="12" fillId="0" borderId="0" xfId="15" applyFont="1" applyAlignment="1">
      <alignment horizontal="center" vertical="center" wrapText="1"/>
    </xf>
    <xf numFmtId="0" fontId="3" fillId="0" borderId="3" xfId="15" applyFont="1" applyBorder="1" applyAlignment="1">
      <alignment horizontal="center" vertical="center" wrapText="1"/>
    </xf>
    <xf numFmtId="0" fontId="3" fillId="0" borderId="8" xfId="15" applyFont="1" applyBorder="1" applyAlignment="1">
      <alignment vertical="center" wrapText="1"/>
    </xf>
    <xf numFmtId="0" fontId="32" fillId="0" borderId="0" xfId="15" applyFont="1" applyAlignment="1">
      <alignment vertical="center" wrapText="1"/>
    </xf>
    <xf numFmtId="0" fontId="1" fillId="0" borderId="3" xfId="15" applyBorder="1" applyAlignment="1">
      <alignment vertical="center" wrapText="1"/>
    </xf>
    <xf numFmtId="0" fontId="0" fillId="0" borderId="0" xfId="15" applyFont="1" applyAlignment="1">
      <alignment vertical="center" wrapText="1"/>
    </xf>
    <xf numFmtId="0" fontId="4" fillId="9" borderId="8" xfId="15" applyFont="1" applyFill="1" applyBorder="1" applyAlignment="1">
      <alignment vertical="center" wrapText="1"/>
    </xf>
    <xf numFmtId="0" fontId="4" fillId="9" borderId="0" xfId="15" applyFont="1" applyFill="1" applyAlignment="1">
      <alignment vertical="center" wrapText="1"/>
    </xf>
    <xf numFmtId="0" fontId="34" fillId="0" borderId="0" xfId="15" applyFont="1">
      <alignment vertical="center"/>
    </xf>
    <xf numFmtId="0" fontId="12" fillId="3" borderId="0" xfId="15" applyFont="1" applyFill="1" applyAlignment="1">
      <alignment horizontal="center" vertical="center" wrapText="1"/>
    </xf>
    <xf numFmtId="0" fontId="6" fillId="3" borderId="0" xfId="15" applyFont="1" applyFill="1" applyAlignment="1">
      <alignment horizontal="center" vertical="center" wrapText="1"/>
    </xf>
    <xf numFmtId="0" fontId="14" fillId="3" borderId="8" xfId="15" applyFont="1" applyFill="1" applyBorder="1" applyAlignment="1">
      <alignment vertical="center" wrapText="1"/>
    </xf>
    <xf numFmtId="0" fontId="18" fillId="10" borderId="3" xfId="15" applyFont="1" applyFill="1" applyBorder="1" applyAlignment="1">
      <alignment vertical="center" wrapText="1"/>
    </xf>
    <xf numFmtId="0" fontId="35" fillId="0" borderId="0" xfId="15" applyFont="1" applyAlignment="1">
      <alignment vertical="center" wrapText="1"/>
    </xf>
    <xf numFmtId="0" fontId="13" fillId="0" borderId="3" xfId="15" applyFont="1" applyBorder="1" applyAlignment="1">
      <alignment horizontal="center" vertical="center" wrapText="1"/>
    </xf>
    <xf numFmtId="0" fontId="7" fillId="0" borderId="0" xfId="4" applyFont="1" applyAlignment="1">
      <alignment horizontal="center" vertical="center" wrapText="1"/>
    </xf>
    <xf numFmtId="0" fontId="1" fillId="4" borderId="25" xfId="15" applyFill="1" applyBorder="1">
      <alignment vertical="center"/>
    </xf>
    <xf numFmtId="0" fontId="6" fillId="0" borderId="3" xfId="4" applyFont="1" applyBorder="1" applyAlignment="1">
      <alignment horizontal="center" vertical="center" wrapText="1"/>
    </xf>
    <xf numFmtId="0" fontId="7" fillId="0" borderId="3" xfId="4" applyFont="1" applyBorder="1" applyAlignment="1">
      <alignment horizontal="center" vertical="center" wrapText="1"/>
    </xf>
    <xf numFmtId="0" fontId="6" fillId="3" borderId="0" xfId="15" applyFont="1" applyFill="1" applyAlignment="1">
      <alignment vertical="center" wrapText="1"/>
    </xf>
    <xf numFmtId="0" fontId="6" fillId="0" borderId="0" xfId="4" applyFont="1" applyAlignment="1">
      <alignment horizontal="center" vertical="center" wrapText="1"/>
    </xf>
    <xf numFmtId="0" fontId="22" fillId="0" borderId="0" xfId="15" applyFont="1" applyAlignment="1">
      <alignment vertical="center" wrapText="1"/>
    </xf>
    <xf numFmtId="0" fontId="9" fillId="0" borderId="0" xfId="15" applyFont="1">
      <alignment vertical="center"/>
    </xf>
    <xf numFmtId="0" fontId="10" fillId="4" borderId="0" xfId="15" applyFont="1" applyFill="1" applyAlignment="1">
      <alignment horizontal="center" vertical="center"/>
    </xf>
    <xf numFmtId="0" fontId="4" fillId="0" borderId="25" xfId="15" applyFont="1" applyBorder="1" applyAlignment="1">
      <alignment vertical="center" wrapText="1"/>
    </xf>
    <xf numFmtId="0" fontId="12" fillId="0" borderId="25" xfId="15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 wrapText="1"/>
    </xf>
    <xf numFmtId="0" fontId="7" fillId="3" borderId="0" xfId="4" applyFont="1" applyFill="1" applyAlignment="1">
      <alignment vertical="center" wrapText="1"/>
    </xf>
    <xf numFmtId="0" fontId="7" fillId="0" borderId="0" xfId="4" applyFont="1" applyAlignment="1">
      <alignment vertical="center" wrapText="1"/>
    </xf>
    <xf numFmtId="0" fontId="29" fillId="0" borderId="11" xfId="15" applyFont="1" applyBorder="1" applyAlignment="1">
      <alignment vertical="center" wrapText="1"/>
    </xf>
    <xf numFmtId="0" fontId="9" fillId="4" borderId="0" xfId="15" applyFont="1" applyFill="1" applyAlignment="1">
      <alignment horizontal="center" vertical="center"/>
    </xf>
    <xf numFmtId="0" fontId="29" fillId="0" borderId="3" xfId="15" applyFont="1" applyBorder="1" applyAlignment="1">
      <alignment vertical="center" wrapText="1"/>
    </xf>
    <xf numFmtId="0" fontId="13" fillId="0" borderId="0" xfId="15" applyFont="1" applyAlignment="1">
      <alignment horizontal="center" vertical="center" wrapText="1"/>
    </xf>
    <xf numFmtId="0" fontId="7" fillId="3" borderId="0" xfId="15" applyFont="1" applyFill="1" applyAlignment="1">
      <alignment horizontal="center" vertical="center" wrapText="1"/>
    </xf>
    <xf numFmtId="0" fontId="9" fillId="0" borderId="8" xfId="15" applyFont="1" applyBorder="1">
      <alignment vertical="center"/>
    </xf>
    <xf numFmtId="0" fontId="25" fillId="0" borderId="0" xfId="15" applyFont="1" applyAlignment="1">
      <alignment horizontal="center" vertical="center" wrapText="1"/>
    </xf>
    <xf numFmtId="0" fontId="7" fillId="0" borderId="3" xfId="16" applyFont="1" applyBorder="1" applyAlignment="1">
      <alignment vertical="center" wrapText="1"/>
    </xf>
    <xf numFmtId="0" fontId="29" fillId="0" borderId="14" xfId="15" applyFont="1" applyBorder="1" applyAlignment="1">
      <alignment vertical="center" wrapText="1"/>
    </xf>
    <xf numFmtId="0" fontId="13" fillId="0" borderId="0" xfId="15" applyFont="1" applyAlignment="1">
      <alignment horizontal="center" vertical="center"/>
    </xf>
    <xf numFmtId="0" fontId="13" fillId="0" borderId="8" xfId="15" applyFont="1" applyBorder="1" applyAlignment="1">
      <alignment vertical="center" wrapText="1"/>
    </xf>
    <xf numFmtId="0" fontId="25" fillId="0" borderId="0" xfId="15" applyFont="1" applyAlignment="1">
      <alignment vertical="center" wrapText="1"/>
    </xf>
    <xf numFmtId="0" fontId="7" fillId="3" borderId="0" xfId="15" applyFont="1" applyFill="1" applyAlignment="1">
      <alignment vertical="center" wrapText="1"/>
    </xf>
    <xf numFmtId="0" fontId="13" fillId="0" borderId="0" xfId="15" applyFont="1">
      <alignment vertical="center"/>
    </xf>
    <xf numFmtId="0" fontId="16" fillId="0" borderId="0" xfId="15" applyFont="1" applyAlignment="1">
      <alignment vertical="center" wrapText="1"/>
    </xf>
    <xf numFmtId="0" fontId="4" fillId="0" borderId="8" xfId="15" applyFont="1" applyBorder="1" applyAlignment="1">
      <alignment vertical="center" wrapText="1"/>
    </xf>
    <xf numFmtId="0" fontId="12" fillId="3" borderId="0" xfId="4" applyFont="1" applyFill="1" applyAlignment="1">
      <alignment vertical="center" wrapText="1"/>
    </xf>
    <xf numFmtId="0" fontId="8" fillId="0" borderId="0" xfId="4" applyFont="1" applyAlignment="1">
      <alignment horizontal="center" vertical="center" wrapText="1"/>
    </xf>
    <xf numFmtId="0" fontId="5" fillId="0" borderId="0" xfId="15" applyFont="1">
      <alignment vertical="center"/>
    </xf>
    <xf numFmtId="0" fontId="26" fillId="0" borderId="0" xfId="15" applyFont="1">
      <alignment vertical="center"/>
    </xf>
    <xf numFmtId="0" fontId="18" fillId="0" borderId="0" xfId="15" applyFont="1" applyAlignment="1">
      <alignment vertical="center" wrapText="1"/>
    </xf>
    <xf numFmtId="0" fontId="1" fillId="0" borderId="7" xfId="15" applyBorder="1">
      <alignment vertical="center"/>
    </xf>
    <xf numFmtId="0" fontId="31" fillId="0" borderId="10" xfId="15" applyFont="1" applyBorder="1" applyAlignment="1">
      <alignment horizontal="center" vertical="center" wrapText="1"/>
    </xf>
    <xf numFmtId="0" fontId="30" fillId="0" borderId="0" xfId="15" applyFont="1" applyAlignment="1">
      <alignment horizontal="center" vertical="center"/>
    </xf>
    <xf numFmtId="0" fontId="23" fillId="0" borderId="0" xfId="15" applyFont="1" applyAlignment="1">
      <alignment vertical="center" wrapText="1"/>
    </xf>
    <xf numFmtId="0" fontId="4" fillId="0" borderId="0" xfId="15" applyFont="1" applyAlignment="1">
      <alignment vertical="center" wrapText="1"/>
    </xf>
    <xf numFmtId="0" fontId="6" fillId="3" borderId="0" xfId="15" applyFont="1" applyFill="1">
      <alignment vertical="center"/>
    </xf>
    <xf numFmtId="0" fontId="22" fillId="0" borderId="3" xfId="15" applyFont="1" applyBorder="1" applyAlignment="1">
      <alignment horizontal="center" vertical="center" wrapText="1"/>
    </xf>
    <xf numFmtId="0" fontId="29" fillId="0" borderId="4" xfId="15" applyFont="1" applyBorder="1" applyAlignment="1">
      <alignment vertical="center" wrapText="1"/>
    </xf>
    <xf numFmtId="0" fontId="1" fillId="4" borderId="7" xfId="15" applyFill="1" applyBorder="1">
      <alignment vertical="center"/>
    </xf>
    <xf numFmtId="0" fontId="28" fillId="10" borderId="0" xfId="15" applyFont="1" applyFill="1">
      <alignment vertical="center"/>
    </xf>
    <xf numFmtId="0" fontId="7" fillId="10" borderId="5" xfId="15" applyFont="1" applyFill="1" applyBorder="1" applyAlignment="1">
      <alignment vertical="center" wrapText="1"/>
    </xf>
    <xf numFmtId="0" fontId="7" fillId="0" borderId="5" xfId="15" applyFont="1" applyBorder="1" applyAlignment="1">
      <alignment vertical="center" wrapText="1"/>
    </xf>
    <xf numFmtId="0" fontId="7" fillId="0" borderId="5" xfId="15" applyFont="1" applyBorder="1" applyAlignment="1">
      <alignment horizontal="center" vertical="center" wrapText="1"/>
    </xf>
    <xf numFmtId="0" fontId="30" fillId="0" borderId="0" xfId="15" applyFont="1" applyAlignment="1">
      <alignment vertical="center" wrapText="1"/>
    </xf>
    <xf numFmtId="0" fontId="7" fillId="10" borderId="0" xfId="15" applyFont="1" applyFill="1" applyAlignment="1">
      <alignment vertical="center" wrapText="1"/>
    </xf>
    <xf numFmtId="0" fontId="25" fillId="0" borderId="0" xfId="15" applyFont="1" applyAlignment="1">
      <alignment horizontal="center" vertical="center"/>
    </xf>
    <xf numFmtId="0" fontId="12" fillId="0" borderId="0" xfId="15" applyFont="1" applyAlignment="1">
      <alignment vertical="top" wrapText="1"/>
    </xf>
    <xf numFmtId="0" fontId="5" fillId="10" borderId="7" xfId="15" applyFont="1" applyFill="1" applyBorder="1" applyAlignment="1">
      <alignment horizontal="center" vertical="center"/>
    </xf>
    <xf numFmtId="0" fontId="4" fillId="10" borderId="0" xfId="15" applyFont="1" applyFill="1">
      <alignment vertical="center"/>
    </xf>
    <xf numFmtId="0" fontId="4" fillId="10" borderId="7" xfId="15" applyFont="1" applyFill="1" applyBorder="1">
      <alignment vertical="center"/>
    </xf>
    <xf numFmtId="41" fontId="4" fillId="10" borderId="7" xfId="19" applyFont="1" applyFill="1" applyBorder="1">
      <alignment vertical="center"/>
    </xf>
    <xf numFmtId="41" fontId="4" fillId="10" borderId="4" xfId="19" applyFont="1" applyFill="1" applyBorder="1">
      <alignment vertical="center"/>
    </xf>
    <xf numFmtId="0" fontId="31" fillId="0" borderId="7" xfId="15" applyFont="1" applyBorder="1" applyAlignment="1">
      <alignment horizontal="center" vertical="center" wrapText="1"/>
    </xf>
    <xf numFmtId="0" fontId="7" fillId="0" borderId="19" xfId="15" applyFont="1" applyBorder="1" applyAlignment="1">
      <alignment vertical="center" wrapText="1"/>
    </xf>
    <xf numFmtId="0" fontId="16" fillId="0" borderId="7" xfId="15" applyFont="1" applyBorder="1" applyAlignment="1">
      <alignment horizontal="center" vertical="center" wrapText="1"/>
    </xf>
    <xf numFmtId="0" fontId="16" fillId="0" borderId="4" xfId="15" applyFont="1" applyBorder="1" applyAlignment="1">
      <alignment horizontal="center" vertical="center" wrapText="1"/>
    </xf>
    <xf numFmtId="0" fontId="7" fillId="10" borderId="3" xfId="15" applyFont="1" applyFill="1" applyBorder="1" applyAlignment="1">
      <alignment vertical="center" wrapText="1"/>
    </xf>
    <xf numFmtId="0" fontId="31" fillId="0" borderId="12" xfId="15" applyFont="1" applyBorder="1" applyAlignment="1">
      <alignment horizontal="center" vertical="center" wrapText="1"/>
    </xf>
    <xf numFmtId="0" fontId="1" fillId="0" borderId="5" xfId="15" applyBorder="1">
      <alignment vertical="center"/>
    </xf>
    <xf numFmtId="0" fontId="16" fillId="0" borderId="5" xfId="15" applyFont="1" applyBorder="1" applyAlignment="1">
      <alignment horizontal="center" vertical="center" wrapText="1"/>
    </xf>
    <xf numFmtId="0" fontId="7" fillId="10" borderId="7" xfId="15" applyFont="1" applyFill="1" applyBorder="1" applyAlignment="1">
      <alignment vertical="center" wrapText="1"/>
    </xf>
    <xf numFmtId="0" fontId="35" fillId="0" borderId="7" xfId="15" applyFont="1" applyBorder="1" applyAlignment="1">
      <alignment vertical="center" wrapText="1"/>
    </xf>
    <xf numFmtId="0" fontId="7" fillId="10" borderId="4" xfId="15" applyFont="1" applyFill="1" applyBorder="1" applyAlignment="1">
      <alignment vertical="center" wrapText="1"/>
    </xf>
    <xf numFmtId="0" fontId="38" fillId="0" borderId="0" xfId="15" applyFont="1" applyAlignment="1">
      <alignment horizontal="center" vertical="center"/>
    </xf>
    <xf numFmtId="0" fontId="7" fillId="0" borderId="15" xfId="15" applyFont="1" applyBorder="1" applyAlignment="1">
      <alignment vertical="center" wrapText="1"/>
    </xf>
    <xf numFmtId="0" fontId="19" fillId="6" borderId="16" xfId="15" applyFont="1" applyFill="1" applyBorder="1">
      <alignment vertical="center"/>
    </xf>
    <xf numFmtId="0" fontId="19" fillId="6" borderId="13" xfId="15" applyFont="1" applyFill="1" applyBorder="1">
      <alignment vertical="center"/>
    </xf>
    <xf numFmtId="0" fontId="19" fillId="6" borderId="5" xfId="15" applyFont="1" applyFill="1" applyBorder="1">
      <alignment vertical="center"/>
    </xf>
    <xf numFmtId="0" fontId="19" fillId="0" borderId="0" xfId="15" applyFont="1">
      <alignment vertical="center"/>
    </xf>
    <xf numFmtId="0" fontId="19" fillId="0" borderId="0" xfId="15" applyFont="1" applyAlignment="1">
      <alignment horizontal="center" vertical="center"/>
    </xf>
    <xf numFmtId="0" fontId="13" fillId="13" borderId="0" xfId="15" applyFont="1" applyFill="1" applyAlignment="1">
      <alignment vertical="center" wrapText="1"/>
    </xf>
    <xf numFmtId="0" fontId="13" fillId="13" borderId="0" xfId="15" applyFont="1" applyFill="1">
      <alignment vertical="center"/>
    </xf>
    <xf numFmtId="0" fontId="38" fillId="13" borderId="0" xfId="15" applyFont="1" applyFill="1" applyAlignment="1">
      <alignment horizontal="center" vertical="center"/>
    </xf>
    <xf numFmtId="0" fontId="16" fillId="13" borderId="0" xfId="15" applyFont="1" applyFill="1" applyAlignment="1">
      <alignment horizontal="center" vertical="center" wrapText="1"/>
    </xf>
    <xf numFmtId="0" fontId="32" fillId="13" borderId="0" xfId="15" applyFont="1" applyFill="1" applyAlignment="1">
      <alignment vertical="center" wrapText="1"/>
    </xf>
    <xf numFmtId="0" fontId="1" fillId="13" borderId="0" xfId="15" applyFill="1">
      <alignment vertical="center"/>
    </xf>
    <xf numFmtId="0" fontId="24" fillId="13" borderId="0" xfId="15" applyFont="1" applyFill="1" applyAlignment="1">
      <alignment horizontal="center" vertical="center" wrapText="1"/>
    </xf>
    <xf numFmtId="0" fontId="15" fillId="3" borderId="0" xfId="15" applyFont="1" applyFill="1" applyAlignment="1">
      <alignment vertical="center" wrapText="1"/>
    </xf>
    <xf numFmtId="0" fontId="40" fillId="13" borderId="0" xfId="15" applyFont="1" applyFill="1" applyAlignment="1">
      <alignment horizontal="center" vertical="center" wrapText="1"/>
    </xf>
    <xf numFmtId="0" fontId="40" fillId="13" borderId="0" xfId="15" applyFont="1" applyFill="1" applyAlignment="1">
      <alignment horizontal="center" vertical="center"/>
    </xf>
    <xf numFmtId="0" fontId="7" fillId="10" borderId="0" xfId="15" applyFont="1" applyFill="1">
      <alignment vertical="center"/>
    </xf>
    <xf numFmtId="0" fontId="22" fillId="0" borderId="0" xfId="15" applyFont="1" applyAlignment="1">
      <alignment horizontal="center" vertical="center" wrapText="1"/>
    </xf>
    <xf numFmtId="0" fontId="22" fillId="0" borderId="11" xfId="15" applyFont="1" applyBorder="1" applyAlignment="1">
      <alignment horizontal="center" vertical="center" wrapText="1"/>
    </xf>
    <xf numFmtId="0" fontId="22" fillId="0" borderId="18" xfId="15" applyFont="1" applyBorder="1" applyAlignment="1">
      <alignment horizontal="center" vertical="center" wrapText="1"/>
    </xf>
    <xf numFmtId="0" fontId="32" fillId="0" borderId="5" xfId="15" applyFont="1" applyBorder="1" applyAlignment="1">
      <alignment horizontal="center" vertical="center"/>
    </xf>
    <xf numFmtId="0" fontId="24" fillId="13" borderId="0" xfId="15" applyFont="1" applyFill="1" applyAlignment="1">
      <alignment vertical="center" wrapText="1"/>
    </xf>
    <xf numFmtId="0" fontId="17" fillId="13" borderId="0" xfId="15" applyFont="1" applyFill="1">
      <alignment vertical="center"/>
    </xf>
    <xf numFmtId="0" fontId="16" fillId="13" borderId="0" xfId="15" applyFont="1" applyFill="1">
      <alignment vertical="center"/>
    </xf>
    <xf numFmtId="0" fontId="39" fillId="13" borderId="0" xfId="15" applyFont="1" applyFill="1">
      <alignment vertical="center"/>
    </xf>
    <xf numFmtId="0" fontId="26" fillId="0" borderId="29" xfId="15" applyFont="1" applyBorder="1">
      <alignment vertical="center"/>
    </xf>
    <xf numFmtId="0" fontId="1" fillId="0" borderId="30" xfId="15" applyBorder="1">
      <alignment vertical="center"/>
    </xf>
    <xf numFmtId="0" fontId="1" fillId="0" borderId="31" xfId="15" applyBorder="1">
      <alignment vertical="center"/>
    </xf>
    <xf numFmtId="0" fontId="1" fillId="0" borderId="32" xfId="15" applyBorder="1">
      <alignment vertical="center"/>
    </xf>
    <xf numFmtId="0" fontId="26" fillId="0" borderId="33" xfId="15" applyFont="1" applyBorder="1">
      <alignment vertical="center"/>
    </xf>
    <xf numFmtId="0" fontId="1" fillId="0" borderId="34" xfId="15" applyBorder="1">
      <alignment vertical="center"/>
    </xf>
    <xf numFmtId="0" fontId="1" fillId="0" borderId="35" xfId="15" applyBorder="1">
      <alignment vertical="center"/>
    </xf>
    <xf numFmtId="0" fontId="1" fillId="0" borderId="36" xfId="15" applyBorder="1">
      <alignment vertical="center"/>
    </xf>
    <xf numFmtId="0" fontId="1" fillId="0" borderId="0" xfId="18">
      <alignment vertical="center"/>
    </xf>
    <xf numFmtId="0" fontId="4" fillId="10" borderId="0" xfId="18" applyFont="1" applyFill="1">
      <alignment vertical="center"/>
    </xf>
    <xf numFmtId="0" fontId="11" fillId="0" borderId="0" xfId="18" applyFont="1" applyAlignment="1">
      <alignment horizontal="center" vertical="center"/>
    </xf>
    <xf numFmtId="0" fontId="4" fillId="0" borderId="0" xfId="18" applyFont="1">
      <alignment vertical="center"/>
    </xf>
    <xf numFmtId="0" fontId="16" fillId="0" borderId="0" xfId="18" applyFont="1" applyAlignment="1">
      <alignment horizontal="center" vertical="center"/>
    </xf>
    <xf numFmtId="0" fontId="16" fillId="2" borderId="18" xfId="15" applyFont="1" applyFill="1" applyBorder="1" applyAlignment="1">
      <alignment horizontal="center" vertical="center" wrapText="1"/>
    </xf>
    <xf numFmtId="0" fontId="16" fillId="2" borderId="15" xfId="15" applyFont="1" applyFill="1" applyBorder="1" applyAlignment="1">
      <alignment horizontal="center" vertical="center" wrapText="1"/>
    </xf>
    <xf numFmtId="0" fontId="16" fillId="2" borderId="17" xfId="15" applyFont="1" applyFill="1" applyBorder="1" applyAlignment="1">
      <alignment horizontal="center" vertical="center" wrapText="1"/>
    </xf>
    <xf numFmtId="0" fontId="4" fillId="12" borderId="8" xfId="15" applyFont="1" applyFill="1" applyBorder="1" applyAlignment="1">
      <alignment vertical="center" wrapText="1"/>
    </xf>
    <xf numFmtId="0" fontId="4" fillId="12" borderId="0" xfId="15" applyFont="1" applyFill="1" applyAlignment="1">
      <alignment vertical="center" wrapText="1"/>
    </xf>
    <xf numFmtId="0" fontId="4" fillId="12" borderId="3" xfId="15" applyFont="1" applyFill="1" applyBorder="1" applyAlignment="1">
      <alignment vertical="center" wrapText="1"/>
    </xf>
    <xf numFmtId="0" fontId="4" fillId="12" borderId="12" xfId="15" applyFont="1" applyFill="1" applyBorder="1" applyAlignment="1">
      <alignment vertical="center" wrapText="1"/>
    </xf>
    <xf numFmtId="0" fontId="4" fillId="12" borderId="7" xfId="15" applyFont="1" applyFill="1" applyBorder="1" applyAlignment="1">
      <alignment vertical="center" wrapText="1"/>
    </xf>
    <xf numFmtId="0" fontId="4" fillId="12" borderId="4" xfId="15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1" xfId="15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6" fillId="15" borderId="1" xfId="0" applyFont="1" applyFill="1" applyBorder="1" applyAlignment="1">
      <alignment horizontal="center" vertical="center" wrapText="1"/>
    </xf>
    <xf numFmtId="9" fontId="47" fillId="0" borderId="1" xfId="1" applyFont="1" applyBorder="1">
      <alignment vertical="center"/>
    </xf>
    <xf numFmtId="0" fontId="17" fillId="0" borderId="0" xfId="15" applyFont="1">
      <alignment vertical="center"/>
    </xf>
    <xf numFmtId="0" fontId="42" fillId="0" borderId="2" xfId="15" applyFont="1" applyBorder="1" applyAlignment="1">
      <alignment vertical="top" wrapText="1"/>
    </xf>
    <xf numFmtId="0" fontId="42" fillId="0" borderId="9" xfId="15" applyFont="1" applyBorder="1" applyAlignment="1">
      <alignment vertical="top" wrapText="1"/>
    </xf>
    <xf numFmtId="0" fontId="24" fillId="0" borderId="0" xfId="15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1" fillId="0" borderId="43" xfId="0" applyFont="1" applyBorder="1" applyAlignment="1">
      <alignment vertical="center" wrapText="1"/>
    </xf>
    <xf numFmtId="0" fontId="42" fillId="0" borderId="44" xfId="0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4" fillId="0" borderId="41" xfId="15" applyFont="1" applyBorder="1" applyAlignment="1">
      <alignment horizontal="center" vertical="center" wrapText="1"/>
    </xf>
    <xf numFmtId="0" fontId="42" fillId="14" borderId="9" xfId="15" applyFont="1" applyFill="1" applyBorder="1" applyAlignment="1">
      <alignment vertical="top" wrapText="1"/>
    </xf>
    <xf numFmtId="0" fontId="42" fillId="14" borderId="2" xfId="15" applyFont="1" applyFill="1" applyBorder="1" applyAlignment="1">
      <alignment vertical="top" wrapText="1"/>
    </xf>
    <xf numFmtId="0" fontId="41" fillId="16" borderId="38" xfId="0" applyFont="1" applyFill="1" applyBorder="1" applyAlignment="1">
      <alignment horizontal="center" vertical="center" wrapText="1"/>
    </xf>
    <xf numFmtId="0" fontId="4" fillId="14" borderId="6" xfId="15" applyFont="1" applyFill="1" applyBorder="1">
      <alignment vertical="center"/>
    </xf>
    <xf numFmtId="0" fontId="4" fillId="14" borderId="5" xfId="15" applyFont="1" applyFill="1" applyBorder="1">
      <alignment vertical="center"/>
    </xf>
    <xf numFmtId="0" fontId="4" fillId="14" borderId="11" xfId="15" applyFont="1" applyFill="1" applyBorder="1">
      <alignment vertical="center"/>
    </xf>
    <xf numFmtId="0" fontId="42" fillId="16" borderId="9" xfId="15" applyFont="1" applyFill="1" applyBorder="1" applyAlignment="1">
      <alignment vertical="top" wrapText="1"/>
    </xf>
    <xf numFmtId="0" fontId="42" fillId="16" borderId="2" xfId="15" applyFont="1" applyFill="1" applyBorder="1" applyAlignment="1">
      <alignment vertical="top" wrapText="1"/>
    </xf>
    <xf numFmtId="0" fontId="41" fillId="17" borderId="0" xfId="15" applyFont="1" applyFill="1" applyAlignment="1">
      <alignment vertical="center" wrapText="1"/>
    </xf>
    <xf numFmtId="0" fontId="42" fillId="13" borderId="9" xfId="15" applyFont="1" applyFill="1" applyBorder="1" applyAlignment="1">
      <alignment vertical="top" wrapText="1"/>
    </xf>
    <xf numFmtId="0" fontId="42" fillId="18" borderId="2" xfId="15" applyFont="1" applyFill="1" applyBorder="1" applyAlignment="1">
      <alignment vertical="top" wrapText="1"/>
    </xf>
    <xf numFmtId="0" fontId="42" fillId="18" borderId="9" xfId="15" applyFont="1" applyFill="1" applyBorder="1" applyAlignment="1">
      <alignment vertical="top" wrapText="1"/>
    </xf>
    <xf numFmtId="0" fontId="4" fillId="18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1" fillId="17" borderId="0" xfId="18" applyFont="1" applyFill="1">
      <alignment vertical="center"/>
    </xf>
    <xf numFmtId="0" fontId="41" fillId="0" borderId="0" xfId="15" applyFont="1">
      <alignment vertical="center"/>
    </xf>
    <xf numFmtId="0" fontId="4" fillId="17" borderId="8" xfId="15" applyFont="1" applyFill="1" applyBorder="1">
      <alignment vertical="center"/>
    </xf>
    <xf numFmtId="0" fontId="24" fillId="0" borderId="47" xfId="15" applyFont="1" applyBorder="1" applyAlignment="1">
      <alignment horizontal="center" vertical="center" wrapText="1"/>
    </xf>
    <xf numFmtId="0" fontId="41" fillId="0" borderId="47" xfId="15" applyFont="1" applyBorder="1" applyAlignment="1">
      <alignment horizontal="center" vertical="center" wrapText="1"/>
    </xf>
    <xf numFmtId="0" fontId="41" fillId="16" borderId="47" xfId="15" applyFont="1" applyFill="1" applyBorder="1" applyAlignment="1">
      <alignment horizontal="center" vertical="center" wrapText="1"/>
    </xf>
    <xf numFmtId="0" fontId="41" fillId="17" borderId="47" xfId="15" applyFont="1" applyFill="1" applyBorder="1">
      <alignment vertical="center"/>
    </xf>
    <xf numFmtId="0" fontId="1" fillId="0" borderId="47" xfId="15" applyBorder="1">
      <alignment vertical="center"/>
    </xf>
    <xf numFmtId="0" fontId="9" fillId="0" borderId="47" xfId="15" applyFont="1" applyBorder="1">
      <alignment vertical="center"/>
    </xf>
    <xf numFmtId="0" fontId="24" fillId="0" borderId="48" xfId="15" applyFont="1" applyBorder="1" applyAlignment="1">
      <alignment horizontal="center" vertical="center" wrapText="1"/>
    </xf>
    <xf numFmtId="0" fontId="41" fillId="0" borderId="48" xfId="15" applyFont="1" applyBorder="1" applyAlignment="1">
      <alignment horizontal="center" vertical="center" wrapText="1"/>
    </xf>
    <xf numFmtId="0" fontId="41" fillId="16" borderId="48" xfId="15" applyFont="1" applyFill="1" applyBorder="1" applyAlignment="1">
      <alignment horizontal="center" vertical="center" wrapText="1"/>
    </xf>
    <xf numFmtId="0" fontId="24" fillId="17" borderId="48" xfId="15" applyFont="1" applyFill="1" applyBorder="1" applyAlignment="1">
      <alignment horizontal="center" vertical="center" wrapText="1"/>
    </xf>
    <xf numFmtId="0" fontId="4" fillId="0" borderId="48" xfId="15" applyFont="1" applyBorder="1">
      <alignment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0" borderId="0" xfId="1" applyFont="1">
      <alignment vertical="center"/>
    </xf>
    <xf numFmtId="0" fontId="41" fillId="16" borderId="3" xfId="15" applyFont="1" applyFill="1" applyBorder="1" applyAlignment="1">
      <alignment horizontal="center" vertical="center" wrapText="1"/>
    </xf>
    <xf numFmtId="0" fontId="42" fillId="19" borderId="9" xfId="15" applyFont="1" applyFill="1" applyBorder="1" applyAlignment="1">
      <alignment vertical="top" wrapText="1"/>
    </xf>
    <xf numFmtId="0" fontId="42" fillId="10" borderId="2" xfId="15" applyFont="1" applyFill="1" applyBorder="1" applyAlignment="1">
      <alignment vertical="top" wrapText="1"/>
    </xf>
    <xf numFmtId="0" fontId="41" fillId="0" borderId="3" xfId="15" applyFont="1" applyBorder="1" applyAlignment="1">
      <alignment horizontal="center" vertical="center" wrapText="1"/>
    </xf>
    <xf numFmtId="0" fontId="4" fillId="16" borderId="39" xfId="15" applyFont="1" applyFill="1" applyBorder="1" applyAlignment="1">
      <alignment horizontal="center" vertical="center" wrapText="1"/>
    </xf>
    <xf numFmtId="180" fontId="4" fillId="0" borderId="42" xfId="15" applyNumberFormat="1" applyFont="1" applyBorder="1" applyAlignment="1">
      <alignment horizontal="center" vertical="center" wrapText="1"/>
    </xf>
    <xf numFmtId="0" fontId="42" fillId="12" borderId="9" xfId="15" applyFont="1" applyFill="1" applyBorder="1" applyAlignment="1">
      <alignment vertical="top" wrapText="1"/>
    </xf>
    <xf numFmtId="0" fontId="42" fillId="11" borderId="9" xfId="15" applyFont="1" applyFill="1" applyBorder="1" applyAlignment="1">
      <alignment vertical="top" wrapText="1"/>
    </xf>
    <xf numFmtId="0" fontId="42" fillId="11" borderId="2" xfId="15" applyFont="1" applyFill="1" applyBorder="1" applyAlignment="1">
      <alignment vertical="top" wrapText="1"/>
    </xf>
    <xf numFmtId="0" fontId="42" fillId="12" borderId="2" xfId="15" applyFont="1" applyFill="1" applyBorder="1" applyAlignment="1">
      <alignment vertical="top" wrapText="1"/>
    </xf>
    <xf numFmtId="0" fontId="9" fillId="16" borderId="0" xfId="15" applyFont="1" applyFill="1">
      <alignment vertical="center"/>
    </xf>
    <xf numFmtId="0" fontId="16" fillId="16" borderId="0" xfId="15" applyFont="1" applyFill="1" applyAlignment="1">
      <alignment horizontal="center" vertical="center" wrapText="1"/>
    </xf>
    <xf numFmtId="0" fontId="16" fillId="16" borderId="50" xfId="15" applyFont="1" applyFill="1" applyBorder="1" applyAlignment="1">
      <alignment horizontal="center" vertical="center" wrapText="1"/>
    </xf>
    <xf numFmtId="0" fontId="42" fillId="16" borderId="50" xfId="15" applyFont="1" applyFill="1" applyBorder="1" applyAlignment="1">
      <alignment vertical="top" wrapText="1"/>
    </xf>
    <xf numFmtId="0" fontId="48" fillId="12" borderId="0" xfId="15" applyFont="1" applyFill="1" applyAlignment="1">
      <alignment horizontal="center" vertical="center" wrapText="1"/>
    </xf>
    <xf numFmtId="0" fontId="42" fillId="14" borderId="44" xfId="0" applyFont="1" applyFill="1" applyBorder="1" applyAlignment="1">
      <alignment horizontal="center" vertical="center" wrapText="1"/>
    </xf>
    <xf numFmtId="0" fontId="4" fillId="18" borderId="41" xfId="15" applyFont="1" applyFill="1" applyBorder="1" applyAlignment="1">
      <alignment horizontal="center" vertical="center" wrapText="1"/>
    </xf>
    <xf numFmtId="0" fontId="4" fillId="13" borderId="41" xfId="15" applyFont="1" applyFill="1" applyBorder="1" applyAlignment="1">
      <alignment horizontal="center" vertical="center" wrapText="1"/>
    </xf>
    <xf numFmtId="0" fontId="4" fillId="14" borderId="40" xfId="15" applyFont="1" applyFill="1" applyBorder="1" applyAlignment="1">
      <alignment horizontal="center" vertical="center" wrapText="1"/>
    </xf>
    <xf numFmtId="0" fontId="47" fillId="20" borderId="37" xfId="15" applyFont="1" applyFill="1" applyBorder="1" applyAlignment="1">
      <alignment horizontal="center" vertical="center" wrapText="1"/>
    </xf>
    <xf numFmtId="0" fontId="49" fillId="11" borderId="38" xfId="0" applyFont="1" applyFill="1" applyBorder="1" applyAlignment="1">
      <alignment horizontal="center" vertical="center" wrapText="1"/>
    </xf>
    <xf numFmtId="0" fontId="49" fillId="12" borderId="38" xfId="0" applyFont="1" applyFill="1" applyBorder="1" applyAlignment="1">
      <alignment horizontal="center" vertical="center" wrapText="1"/>
    </xf>
    <xf numFmtId="0" fontId="48" fillId="18" borderId="0" xfId="15" applyFont="1" applyFill="1" applyAlignment="1">
      <alignment horizontal="center" vertical="center" wrapText="1"/>
    </xf>
    <xf numFmtId="0" fontId="48" fillId="16" borderId="0" xfId="15" applyFont="1" applyFill="1" applyAlignment="1">
      <alignment vertical="top"/>
    </xf>
    <xf numFmtId="0" fontId="4" fillId="16" borderId="37" xfId="15" applyFont="1" applyFill="1" applyBorder="1" applyAlignment="1">
      <alignment horizontal="center" vertical="center" wrapText="1"/>
    </xf>
    <xf numFmtId="0" fontId="41" fillId="16" borderId="39" xfId="0" applyFont="1" applyFill="1" applyBorder="1" applyAlignment="1">
      <alignment horizontal="center" vertical="center" wrapText="1"/>
    </xf>
    <xf numFmtId="0" fontId="4" fillId="0" borderId="40" xfId="15" applyFont="1" applyBorder="1" applyAlignment="1">
      <alignment horizontal="center" vertical="center" wrapText="1"/>
    </xf>
    <xf numFmtId="0" fontId="42" fillId="13" borderId="2" xfId="15" applyFont="1" applyFill="1" applyBorder="1" applyAlignment="1">
      <alignment vertical="top" wrapText="1"/>
    </xf>
    <xf numFmtId="0" fontId="42" fillId="20" borderId="2" xfId="15" applyFont="1" applyFill="1" applyBorder="1" applyAlignment="1">
      <alignment vertical="top" wrapText="1"/>
    </xf>
    <xf numFmtId="0" fontId="42" fillId="20" borderId="9" xfId="15" applyFont="1" applyFill="1" applyBorder="1" applyAlignment="1">
      <alignment vertical="top" wrapText="1"/>
    </xf>
    <xf numFmtId="0" fontId="42" fillId="20" borderId="44" xfId="0" applyFont="1" applyFill="1" applyBorder="1" applyAlignment="1">
      <alignment horizontal="center" vertical="center" wrapText="1"/>
    </xf>
    <xf numFmtId="0" fontId="48" fillId="0" borderId="0" xfId="15" applyFont="1" applyAlignment="1">
      <alignment horizontal="left" vertical="top" wrapText="1"/>
    </xf>
    <xf numFmtId="0" fontId="48" fillId="13" borderId="0" xfId="15" applyFont="1" applyFill="1" applyAlignment="1">
      <alignment vertical="top" wrapText="1"/>
    </xf>
    <xf numFmtId="0" fontId="42" fillId="12" borderId="44" xfId="0" applyFont="1" applyFill="1" applyBorder="1" applyAlignment="1">
      <alignment horizontal="center" vertical="center" wrapText="1"/>
    </xf>
    <xf numFmtId="0" fontId="43" fillId="17" borderId="16" xfId="18" applyFont="1" applyFill="1" applyBorder="1" applyAlignment="1">
      <alignment horizontal="center" vertical="center"/>
    </xf>
    <xf numFmtId="0" fontId="43" fillId="17" borderId="13" xfId="18" applyFont="1" applyFill="1" applyBorder="1" applyAlignment="1">
      <alignment horizontal="center" vertical="center"/>
    </xf>
    <xf numFmtId="0" fontId="43" fillId="17" borderId="14" xfId="18" applyFont="1" applyFill="1" applyBorder="1" applyAlignment="1">
      <alignment horizontal="center" vertical="center"/>
    </xf>
    <xf numFmtId="0" fontId="4" fillId="14" borderId="13" xfId="15" applyFont="1" applyFill="1" applyBorder="1" applyAlignment="1">
      <alignment horizontal="center" vertical="center"/>
    </xf>
    <xf numFmtId="0" fontId="41" fillId="0" borderId="0" xfId="15" applyFont="1" applyAlignment="1">
      <alignment horizontal="center" vertical="center"/>
    </xf>
    <xf numFmtId="0" fontId="41" fillId="16" borderId="0" xfId="15" applyFont="1" applyFill="1" applyAlignment="1">
      <alignment horizontal="center" vertical="center"/>
    </xf>
    <xf numFmtId="0" fontId="43" fillId="17" borderId="8" xfId="18" applyFont="1" applyFill="1" applyBorder="1" applyAlignment="1">
      <alignment horizontal="center" vertical="center"/>
    </xf>
    <xf numFmtId="0" fontId="43" fillId="17" borderId="0" xfId="18" applyFont="1" applyFill="1" applyAlignment="1">
      <alignment horizontal="center" vertical="center"/>
    </xf>
    <xf numFmtId="0" fontId="43" fillId="17" borderId="3" xfId="18" applyFont="1" applyFill="1" applyBorder="1" applyAlignment="1">
      <alignment horizontal="center" vertical="center"/>
    </xf>
    <xf numFmtId="0" fontId="4" fillId="16" borderId="8" xfId="15" applyFont="1" applyFill="1" applyBorder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4" fillId="16" borderId="0" xfId="15" applyFont="1" applyFill="1" applyAlignment="1">
      <alignment horizontal="center" vertical="center"/>
    </xf>
    <xf numFmtId="0" fontId="4" fillId="14" borderId="16" xfId="15" applyFont="1" applyFill="1" applyBorder="1" applyAlignment="1">
      <alignment horizontal="center" vertical="center"/>
    </xf>
    <xf numFmtId="0" fontId="4" fillId="14" borderId="14" xfId="15" applyFont="1" applyFill="1" applyBorder="1" applyAlignment="1">
      <alignment horizontal="center" vertical="center"/>
    </xf>
    <xf numFmtId="0" fontId="41" fillId="14" borderId="6" xfId="15" applyFont="1" applyFill="1" applyBorder="1" applyAlignment="1">
      <alignment horizontal="center" vertical="center" wrapText="1"/>
    </xf>
    <xf numFmtId="0" fontId="41" fillId="14" borderId="5" xfId="15" applyFont="1" applyFill="1" applyBorder="1" applyAlignment="1">
      <alignment horizontal="center" vertical="center" wrapText="1"/>
    </xf>
    <xf numFmtId="0" fontId="41" fillId="14" borderId="11" xfId="15" applyFont="1" applyFill="1" applyBorder="1" applyAlignment="1">
      <alignment horizontal="center" vertical="center" wrapText="1"/>
    </xf>
    <xf numFmtId="0" fontId="29" fillId="0" borderId="6" xfId="15" applyFont="1" applyBorder="1" applyAlignment="1">
      <alignment horizontal="center" vertical="center" wrapText="1"/>
    </xf>
    <xf numFmtId="0" fontId="29" fillId="0" borderId="11" xfId="15" applyFont="1" applyBorder="1" applyAlignment="1">
      <alignment horizontal="center" vertical="center" wrapText="1"/>
    </xf>
    <xf numFmtId="0" fontId="29" fillId="0" borderId="8" xfId="15" applyFont="1" applyBorder="1" applyAlignment="1">
      <alignment horizontal="center" vertical="center" wrapText="1"/>
    </xf>
    <xf numFmtId="0" fontId="29" fillId="0" borderId="3" xfId="15" applyFont="1" applyBorder="1" applyAlignment="1">
      <alignment horizontal="center" vertical="center" wrapText="1"/>
    </xf>
    <xf numFmtId="0" fontId="29" fillId="0" borderId="0" xfId="15" applyFont="1" applyAlignment="1">
      <alignment horizontal="center" vertical="center" wrapText="1"/>
    </xf>
    <xf numFmtId="0" fontId="29" fillId="0" borderId="12" xfId="15" applyFont="1" applyBorder="1" applyAlignment="1">
      <alignment horizontal="center" vertical="center" wrapText="1"/>
    </xf>
    <xf numFmtId="0" fontId="29" fillId="0" borderId="4" xfId="15" applyFont="1" applyBorder="1" applyAlignment="1">
      <alignment horizontal="center" vertical="center" wrapText="1"/>
    </xf>
    <xf numFmtId="0" fontId="29" fillId="0" borderId="5" xfId="15" applyFont="1" applyBorder="1" applyAlignment="1">
      <alignment horizontal="center" vertical="center" wrapText="1"/>
    </xf>
    <xf numFmtId="0" fontId="29" fillId="0" borderId="7" xfId="15" applyFont="1" applyBorder="1" applyAlignment="1">
      <alignment horizontal="center" vertical="center" wrapText="1"/>
    </xf>
    <xf numFmtId="0" fontId="4" fillId="8" borderId="6" xfId="15" applyFont="1" applyFill="1" applyBorder="1" applyAlignment="1">
      <alignment horizontal="center" vertical="center"/>
    </xf>
    <xf numFmtId="0" fontId="4" fillId="8" borderId="5" xfId="15" applyFont="1" applyFill="1" applyBorder="1" applyAlignment="1">
      <alignment horizontal="center" vertical="center"/>
    </xf>
    <xf numFmtId="0" fontId="4" fillId="8" borderId="8" xfId="15" applyFont="1" applyFill="1" applyBorder="1" applyAlignment="1">
      <alignment horizontal="center" vertical="center"/>
    </xf>
    <xf numFmtId="0" fontId="4" fillId="8" borderId="0" xfId="15" applyFont="1" applyFill="1" applyAlignment="1">
      <alignment horizontal="center" vertical="center"/>
    </xf>
    <xf numFmtId="0" fontId="4" fillId="8" borderId="12" xfId="15" applyFont="1" applyFill="1" applyBorder="1" applyAlignment="1">
      <alignment horizontal="center" vertical="center"/>
    </xf>
    <xf numFmtId="0" fontId="4" fillId="8" borderId="7" xfId="15" applyFont="1" applyFill="1" applyBorder="1" applyAlignment="1">
      <alignment horizontal="center" vertical="center"/>
    </xf>
    <xf numFmtId="0" fontId="4" fillId="9" borderId="8" xfId="15" applyFont="1" applyFill="1" applyBorder="1" applyAlignment="1">
      <alignment horizontal="center" vertical="center" wrapText="1"/>
    </xf>
    <xf numFmtId="0" fontId="4" fillId="9" borderId="0" xfId="15" applyFont="1" applyFill="1" applyAlignment="1">
      <alignment horizontal="center" vertical="center" wrapText="1"/>
    </xf>
    <xf numFmtId="0" fontId="4" fillId="9" borderId="3" xfId="15" applyFont="1" applyFill="1" applyBorder="1" applyAlignment="1">
      <alignment horizontal="center" vertical="center" wrapText="1"/>
    </xf>
    <xf numFmtId="0" fontId="4" fillId="9" borderId="12" xfId="15" applyFont="1" applyFill="1" applyBorder="1" applyAlignment="1">
      <alignment horizontal="center" vertical="center" wrapText="1"/>
    </xf>
    <xf numFmtId="0" fontId="4" fillId="9" borderId="7" xfId="15" applyFont="1" applyFill="1" applyBorder="1" applyAlignment="1">
      <alignment horizontal="center" vertical="center" wrapText="1"/>
    </xf>
    <xf numFmtId="0" fontId="4" fillId="9" borderId="4" xfId="15" applyFont="1" applyFill="1" applyBorder="1" applyAlignment="1">
      <alignment horizontal="center" vertical="center" wrapText="1"/>
    </xf>
    <xf numFmtId="0" fontId="4" fillId="9" borderId="6" xfId="15" applyFont="1" applyFill="1" applyBorder="1" applyAlignment="1">
      <alignment horizontal="center" vertical="center" wrapText="1"/>
    </xf>
    <xf numFmtId="0" fontId="4" fillId="9" borderId="5" xfId="15" applyFont="1" applyFill="1" applyBorder="1" applyAlignment="1">
      <alignment horizontal="center" vertical="center" wrapText="1"/>
    </xf>
    <xf numFmtId="0" fontId="4" fillId="9" borderId="11" xfId="15" applyFont="1" applyFill="1" applyBorder="1" applyAlignment="1">
      <alignment horizontal="center" vertical="center" wrapText="1"/>
    </xf>
    <xf numFmtId="0" fontId="4" fillId="0" borderId="6" xfId="15" applyFont="1" applyBorder="1" applyAlignment="1">
      <alignment horizontal="center" vertical="center" wrapText="1"/>
    </xf>
    <xf numFmtId="0" fontId="4" fillId="0" borderId="11" xfId="15" applyFont="1" applyBorder="1" applyAlignment="1">
      <alignment horizontal="center" vertical="center" wrapText="1"/>
    </xf>
    <xf numFmtId="0" fontId="4" fillId="0" borderId="8" xfId="15" applyFont="1" applyBorder="1" applyAlignment="1">
      <alignment horizontal="center" vertical="center" wrapText="1"/>
    </xf>
    <xf numFmtId="0" fontId="4" fillId="0" borderId="3" xfId="15" applyFont="1" applyBorder="1" applyAlignment="1">
      <alignment horizontal="center" vertical="center" wrapText="1"/>
    </xf>
    <xf numFmtId="0" fontId="4" fillId="0" borderId="12" xfId="15" applyFont="1" applyBorder="1" applyAlignment="1">
      <alignment horizontal="center" vertical="center" wrapText="1"/>
    </xf>
    <xf numFmtId="0" fontId="4" fillId="0" borderId="4" xfId="15" applyFont="1" applyBorder="1" applyAlignment="1">
      <alignment horizontal="center" vertical="center" wrapText="1"/>
    </xf>
    <xf numFmtId="0" fontId="4" fillId="8" borderId="6" xfId="15" applyFont="1" applyFill="1" applyBorder="1" applyAlignment="1">
      <alignment horizontal="center" vertical="center" wrapText="1"/>
    </xf>
    <xf numFmtId="0" fontId="4" fillId="8" borderId="5" xfId="15" applyFont="1" applyFill="1" applyBorder="1" applyAlignment="1">
      <alignment horizontal="center" vertical="center" wrapText="1"/>
    </xf>
    <xf numFmtId="0" fontId="4" fillId="8" borderId="11" xfId="15" applyFont="1" applyFill="1" applyBorder="1" applyAlignment="1">
      <alignment horizontal="center" vertical="center" wrapText="1"/>
    </xf>
    <xf numFmtId="0" fontId="4" fillId="8" borderId="8" xfId="15" applyFont="1" applyFill="1" applyBorder="1" applyAlignment="1">
      <alignment horizontal="center" vertical="center" wrapText="1"/>
    </xf>
    <xf numFmtId="0" fontId="4" fillId="8" borderId="0" xfId="15" applyFont="1" applyFill="1" applyAlignment="1">
      <alignment horizontal="center" vertical="center" wrapText="1"/>
    </xf>
    <xf numFmtId="0" fontId="4" fillId="8" borderId="3" xfId="15" applyFont="1" applyFill="1" applyBorder="1" applyAlignment="1">
      <alignment horizontal="center" vertical="center" wrapText="1"/>
    </xf>
    <xf numFmtId="0" fontId="4" fillId="8" borderId="12" xfId="15" applyFont="1" applyFill="1" applyBorder="1" applyAlignment="1">
      <alignment horizontal="center" vertical="center" wrapText="1"/>
    </xf>
    <xf numFmtId="0" fontId="4" fillId="8" borderId="7" xfId="15" applyFont="1" applyFill="1" applyBorder="1" applyAlignment="1">
      <alignment horizontal="center" vertical="center" wrapText="1"/>
    </xf>
    <xf numFmtId="0" fontId="4" fillId="8" borderId="4" xfId="15" applyFont="1" applyFill="1" applyBorder="1" applyAlignment="1">
      <alignment horizontal="center" vertical="center" wrapText="1"/>
    </xf>
    <xf numFmtId="0" fontId="4" fillId="6" borderId="6" xfId="15" applyFont="1" applyFill="1" applyBorder="1" applyAlignment="1">
      <alignment horizontal="center" vertical="center" wrapText="1"/>
    </xf>
    <xf numFmtId="0" fontId="4" fillId="6" borderId="11" xfId="15" applyFont="1" applyFill="1" applyBorder="1" applyAlignment="1">
      <alignment horizontal="center" vertical="center"/>
    </xf>
    <xf numFmtId="0" fontId="4" fillId="6" borderId="8" xfId="15" applyFont="1" applyFill="1" applyBorder="1" applyAlignment="1">
      <alignment horizontal="center" vertical="center"/>
    </xf>
    <xf numFmtId="0" fontId="4" fillId="6" borderId="3" xfId="15" applyFont="1" applyFill="1" applyBorder="1" applyAlignment="1">
      <alignment horizontal="center" vertical="center"/>
    </xf>
    <xf numFmtId="0" fontId="4" fillId="6" borderId="12" xfId="15" applyFont="1" applyFill="1" applyBorder="1" applyAlignment="1">
      <alignment horizontal="center" vertical="center"/>
    </xf>
    <xf numFmtId="0" fontId="4" fillId="6" borderId="7" xfId="15" applyFont="1" applyFill="1" applyBorder="1" applyAlignment="1">
      <alignment horizontal="center" vertical="center"/>
    </xf>
    <xf numFmtId="0" fontId="4" fillId="6" borderId="5" xfId="15" applyFont="1" applyFill="1" applyBorder="1" applyAlignment="1">
      <alignment horizontal="center" vertical="center"/>
    </xf>
    <xf numFmtId="0" fontId="4" fillId="6" borderId="0" xfId="15" applyFont="1" applyFill="1" applyAlignment="1">
      <alignment horizontal="center" vertical="center"/>
    </xf>
    <xf numFmtId="0" fontId="5" fillId="8" borderId="6" xfId="15" applyFont="1" applyFill="1" applyBorder="1" applyAlignment="1">
      <alignment horizontal="center" vertical="center"/>
    </xf>
    <xf numFmtId="0" fontId="5" fillId="8" borderId="5" xfId="15" applyFont="1" applyFill="1" applyBorder="1" applyAlignment="1">
      <alignment horizontal="center" vertical="center"/>
    </xf>
    <xf numFmtId="0" fontId="5" fillId="8" borderId="11" xfId="15" applyFont="1" applyFill="1" applyBorder="1" applyAlignment="1">
      <alignment horizontal="center" vertical="center"/>
    </xf>
    <xf numFmtId="0" fontId="5" fillId="8" borderId="8" xfId="15" applyFont="1" applyFill="1" applyBorder="1" applyAlignment="1">
      <alignment horizontal="center" vertical="center"/>
    </xf>
    <xf numFmtId="0" fontId="5" fillId="8" borderId="0" xfId="15" applyFont="1" applyFill="1" applyAlignment="1">
      <alignment horizontal="center" vertical="center"/>
    </xf>
    <xf numFmtId="0" fontId="5" fillId="8" borderId="3" xfId="15" applyFont="1" applyFill="1" applyBorder="1" applyAlignment="1">
      <alignment horizontal="center" vertical="center"/>
    </xf>
    <xf numFmtId="0" fontId="5" fillId="8" borderId="12" xfId="15" applyFont="1" applyFill="1" applyBorder="1" applyAlignment="1">
      <alignment horizontal="center" vertical="center"/>
    </xf>
    <xf numFmtId="0" fontId="5" fillId="8" borderId="7" xfId="15" applyFont="1" applyFill="1" applyBorder="1" applyAlignment="1">
      <alignment horizontal="center" vertical="center"/>
    </xf>
    <xf numFmtId="0" fontId="5" fillId="8" borderId="4" xfId="15" applyFont="1" applyFill="1" applyBorder="1" applyAlignment="1">
      <alignment horizontal="center" vertical="center"/>
    </xf>
    <xf numFmtId="0" fontId="4" fillId="6" borderId="4" xfId="15" applyFont="1" applyFill="1" applyBorder="1" applyAlignment="1">
      <alignment horizontal="center" vertical="center"/>
    </xf>
    <xf numFmtId="0" fontId="33" fillId="8" borderId="6" xfId="15" applyFont="1" applyFill="1" applyBorder="1" applyAlignment="1">
      <alignment horizontal="center" vertical="center" wrapText="1"/>
    </xf>
    <xf numFmtId="0" fontId="33" fillId="8" borderId="5" xfId="15" applyFont="1" applyFill="1" applyBorder="1" applyAlignment="1">
      <alignment horizontal="center" vertical="center" wrapText="1"/>
    </xf>
    <xf numFmtId="0" fontId="33" fillId="8" borderId="11" xfId="15" applyFont="1" applyFill="1" applyBorder="1" applyAlignment="1">
      <alignment horizontal="center" vertical="center" wrapText="1"/>
    </xf>
    <xf numFmtId="0" fontId="33" fillId="8" borderId="8" xfId="15" applyFont="1" applyFill="1" applyBorder="1" applyAlignment="1">
      <alignment horizontal="center" vertical="center" wrapText="1"/>
    </xf>
    <xf numFmtId="0" fontId="33" fillId="8" borderId="0" xfId="15" applyFont="1" applyFill="1" applyAlignment="1">
      <alignment horizontal="center" vertical="center" wrapText="1"/>
    </xf>
    <xf numFmtId="0" fontId="33" fillId="8" borderId="3" xfId="15" applyFont="1" applyFill="1" applyBorder="1" applyAlignment="1">
      <alignment horizontal="center" vertical="center" wrapText="1"/>
    </xf>
    <xf numFmtId="0" fontId="5" fillId="0" borderId="13" xfId="15" applyFont="1" applyBorder="1" applyAlignment="1">
      <alignment horizontal="center" vertical="center"/>
    </xf>
    <xf numFmtId="0" fontId="4" fillId="0" borderId="26" xfId="15" applyFont="1" applyBorder="1" applyAlignment="1">
      <alignment horizontal="center" vertical="center" wrapText="1"/>
    </xf>
    <xf numFmtId="0" fontId="4" fillId="0" borderId="25" xfId="15" applyFont="1" applyBorder="1" applyAlignment="1">
      <alignment horizontal="center" vertical="center" wrapText="1"/>
    </xf>
    <xf numFmtId="0" fontId="13" fillId="0" borderId="28" xfId="15" applyFont="1" applyBorder="1" applyAlignment="1">
      <alignment horizontal="center" vertical="center" wrapText="1"/>
    </xf>
    <xf numFmtId="0" fontId="13" fillId="0" borderId="0" xfId="15" applyFont="1" applyAlignment="1">
      <alignment horizontal="center" vertical="center" wrapText="1"/>
    </xf>
    <xf numFmtId="0" fontId="36" fillId="0" borderId="6" xfId="15" applyFont="1" applyBorder="1" applyAlignment="1">
      <alignment horizontal="center" vertical="center" wrapText="1"/>
    </xf>
    <xf numFmtId="0" fontId="36" fillId="0" borderId="11" xfId="15" applyFont="1" applyBorder="1" applyAlignment="1">
      <alignment horizontal="center" vertical="center" wrapText="1"/>
    </xf>
    <xf numFmtId="0" fontId="36" fillId="0" borderId="12" xfId="15" applyFont="1" applyBorder="1" applyAlignment="1">
      <alignment horizontal="center" vertical="center" wrapText="1"/>
    </xf>
    <xf numFmtId="0" fontId="36" fillId="0" borderId="4" xfId="15" applyFont="1" applyBorder="1" applyAlignment="1">
      <alignment horizontal="center" vertical="center" wrapText="1"/>
    </xf>
    <xf numFmtId="0" fontId="36" fillId="0" borderId="18" xfId="15" applyFont="1" applyBorder="1" applyAlignment="1">
      <alignment horizontal="center" vertical="center" wrapText="1"/>
    </xf>
    <xf numFmtId="0" fontId="36" fillId="0" borderId="17" xfId="15" applyFont="1" applyBorder="1" applyAlignment="1">
      <alignment horizontal="center" vertical="center" wrapText="1"/>
    </xf>
    <xf numFmtId="0" fontId="16" fillId="0" borderId="0" xfId="15" applyFont="1" applyAlignment="1">
      <alignment horizontal="center" vertical="center" wrapText="1"/>
    </xf>
    <xf numFmtId="0" fontId="13" fillId="0" borderId="8" xfId="15" applyFont="1" applyBorder="1" applyAlignment="1">
      <alignment horizontal="center" vertical="center" wrapText="1"/>
    </xf>
    <xf numFmtId="0" fontId="4" fillId="16" borderId="49" xfId="15" applyFont="1" applyFill="1" applyBorder="1" applyAlignment="1">
      <alignment horizontal="center" vertical="center"/>
    </xf>
    <xf numFmtId="0" fontId="16" fillId="2" borderId="18" xfId="15" applyFont="1" applyFill="1" applyBorder="1" applyAlignment="1">
      <alignment horizontal="center" vertical="center" wrapText="1"/>
    </xf>
    <xf numFmtId="0" fontId="16" fillId="2" borderId="15" xfId="15" applyFont="1" applyFill="1" applyBorder="1" applyAlignment="1">
      <alignment horizontal="center" vertical="center" wrapText="1"/>
    </xf>
    <xf numFmtId="0" fontId="16" fillId="2" borderId="17" xfId="15" applyFont="1" applyFill="1" applyBorder="1" applyAlignment="1">
      <alignment horizontal="center" vertical="center" wrapText="1"/>
    </xf>
    <xf numFmtId="0" fontId="29" fillId="8" borderId="5" xfId="15" applyFont="1" applyFill="1" applyBorder="1" applyAlignment="1">
      <alignment horizontal="center" vertical="center" wrapText="1"/>
    </xf>
    <xf numFmtId="0" fontId="29" fillId="8" borderId="11" xfId="15" applyFont="1" applyFill="1" applyBorder="1" applyAlignment="1">
      <alignment horizontal="center" vertical="center" wrapText="1"/>
    </xf>
    <xf numFmtId="0" fontId="29" fillId="8" borderId="0" xfId="15" applyFont="1" applyFill="1" applyAlignment="1">
      <alignment horizontal="center" vertical="center" wrapText="1"/>
    </xf>
    <xf numFmtId="0" fontId="29" fillId="8" borderId="3" xfId="15" applyFont="1" applyFill="1" applyBorder="1" applyAlignment="1">
      <alignment horizontal="center" vertical="center" wrapText="1"/>
    </xf>
    <xf numFmtId="0" fontId="29" fillId="8" borderId="7" xfId="15" applyFont="1" applyFill="1" applyBorder="1" applyAlignment="1">
      <alignment horizontal="center" vertical="center" wrapText="1"/>
    </xf>
    <xf numFmtId="0" fontId="29" fillId="8" borderId="4" xfId="15" applyFont="1" applyFill="1" applyBorder="1" applyAlignment="1">
      <alignment horizontal="center" vertical="center" wrapText="1"/>
    </xf>
    <xf numFmtId="0" fontId="4" fillId="0" borderId="5" xfId="15" applyFont="1" applyBorder="1" applyAlignment="1">
      <alignment horizontal="center" vertical="center" wrapText="1"/>
    </xf>
    <xf numFmtId="0" fontId="32" fillId="0" borderId="16" xfId="15" applyFont="1" applyBorder="1" applyAlignment="1">
      <alignment horizontal="center" vertical="center" wrapText="1"/>
    </xf>
    <xf numFmtId="0" fontId="32" fillId="0" borderId="14" xfId="15" applyFont="1" applyBorder="1" applyAlignment="1">
      <alignment horizontal="center" vertical="center" wrapText="1"/>
    </xf>
    <xf numFmtId="0" fontId="4" fillId="6" borderId="16" xfId="15" applyFont="1" applyFill="1" applyBorder="1" applyAlignment="1">
      <alignment horizontal="center" vertical="center"/>
    </xf>
    <xf numFmtId="0" fontId="4" fillId="6" borderId="14" xfId="15" applyFont="1" applyFill="1" applyBorder="1" applyAlignment="1">
      <alignment horizontal="center" vertical="center"/>
    </xf>
    <xf numFmtId="0" fontId="37" fillId="5" borderId="6" xfId="15" applyFont="1" applyFill="1" applyBorder="1" applyAlignment="1">
      <alignment horizontal="center" vertical="center"/>
    </xf>
    <xf numFmtId="0" fontId="37" fillId="5" borderId="5" xfId="15" applyFont="1" applyFill="1" applyBorder="1" applyAlignment="1">
      <alignment horizontal="center" vertical="center"/>
    </xf>
    <xf numFmtId="0" fontId="37" fillId="5" borderId="11" xfId="15" applyFont="1" applyFill="1" applyBorder="1" applyAlignment="1">
      <alignment horizontal="center" vertical="center"/>
    </xf>
    <xf numFmtId="0" fontId="37" fillId="5" borderId="8" xfId="15" applyFont="1" applyFill="1" applyBorder="1" applyAlignment="1">
      <alignment horizontal="center" vertical="center"/>
    </xf>
    <xf numFmtId="0" fontId="37" fillId="5" borderId="0" xfId="15" applyFont="1" applyFill="1" applyAlignment="1">
      <alignment horizontal="center" vertical="center"/>
    </xf>
    <xf numFmtId="0" fontId="37" fillId="5" borderId="3" xfId="15" applyFont="1" applyFill="1" applyBorder="1" applyAlignment="1">
      <alignment horizontal="center" vertical="center"/>
    </xf>
    <xf numFmtId="0" fontId="37" fillId="5" borderId="12" xfId="15" applyFont="1" applyFill="1" applyBorder="1" applyAlignment="1">
      <alignment horizontal="center" vertical="center"/>
    </xf>
    <xf numFmtId="0" fontId="37" fillId="5" borderId="7" xfId="15" applyFont="1" applyFill="1" applyBorder="1" applyAlignment="1">
      <alignment horizontal="center" vertical="center"/>
    </xf>
    <xf numFmtId="0" fontId="37" fillId="5" borderId="4" xfId="15" applyFont="1" applyFill="1" applyBorder="1" applyAlignment="1">
      <alignment horizontal="center" vertical="center"/>
    </xf>
    <xf numFmtId="0" fontId="5" fillId="6" borderId="0" xfId="15" applyFont="1" applyFill="1" applyAlignment="1">
      <alignment horizontal="center" vertical="center"/>
    </xf>
    <xf numFmtId="0" fontId="5" fillId="6" borderId="3" xfId="15" applyFont="1" applyFill="1" applyBorder="1" applyAlignment="1">
      <alignment horizontal="center" vertical="center"/>
    </xf>
    <xf numFmtId="0" fontId="5" fillId="6" borderId="8" xfId="15" applyFont="1" applyFill="1" applyBorder="1" applyAlignment="1">
      <alignment horizontal="center" vertical="center"/>
    </xf>
    <xf numFmtId="0" fontId="5" fillId="6" borderId="12" xfId="15" applyFont="1" applyFill="1" applyBorder="1" applyAlignment="1">
      <alignment horizontal="center" vertical="center"/>
    </xf>
    <xf numFmtId="0" fontId="5" fillId="6" borderId="7" xfId="15" applyFont="1" applyFill="1" applyBorder="1" applyAlignment="1">
      <alignment horizontal="center" vertical="center"/>
    </xf>
    <xf numFmtId="0" fontId="5" fillId="6" borderId="4" xfId="15" applyFont="1" applyFill="1" applyBorder="1" applyAlignment="1">
      <alignment horizontal="center" vertical="center"/>
    </xf>
    <xf numFmtId="41" fontId="4" fillId="0" borderId="8" xfId="19" applyFont="1" applyBorder="1" applyAlignment="1">
      <alignment horizontal="center" vertical="center"/>
    </xf>
    <xf numFmtId="41" fontId="4" fillId="0" borderId="3" xfId="19" applyFont="1" applyBorder="1" applyAlignment="1">
      <alignment horizontal="center" vertical="center"/>
    </xf>
    <xf numFmtId="41" fontId="4" fillId="0" borderId="12" xfId="19" applyFont="1" applyBorder="1" applyAlignment="1">
      <alignment horizontal="center" vertical="center"/>
    </xf>
    <xf numFmtId="41" fontId="4" fillId="0" borderId="4" xfId="19" applyFont="1" applyBorder="1" applyAlignment="1">
      <alignment horizontal="center" vertical="center"/>
    </xf>
    <xf numFmtId="0" fontId="5" fillId="6" borderId="14" xfId="15" applyFont="1" applyFill="1" applyBorder="1" applyAlignment="1">
      <alignment horizontal="center" vertical="center"/>
    </xf>
    <xf numFmtId="0" fontId="32" fillId="0" borderId="10" xfId="15" applyFont="1" applyBorder="1" applyAlignment="1">
      <alignment horizontal="center" vertical="center" wrapText="1"/>
    </xf>
    <xf numFmtId="0" fontId="13" fillId="13" borderId="16" xfId="15" applyFont="1" applyFill="1" applyBorder="1" applyAlignment="1">
      <alignment horizontal="center" vertical="center" wrapText="1"/>
    </xf>
    <xf numFmtId="0" fontId="13" fillId="13" borderId="14" xfId="15" applyFont="1" applyFill="1" applyBorder="1" applyAlignment="1">
      <alignment horizontal="center" vertical="center" wrapText="1"/>
    </xf>
    <xf numFmtId="0" fontId="13" fillId="13" borderId="6" xfId="15" applyFont="1" applyFill="1" applyBorder="1" applyAlignment="1">
      <alignment horizontal="center" vertical="center" wrapText="1"/>
    </xf>
    <xf numFmtId="0" fontId="13" fillId="13" borderId="11" xfId="15" applyFont="1" applyFill="1" applyBorder="1" applyAlignment="1">
      <alignment horizontal="center" vertical="center" wrapText="1"/>
    </xf>
    <xf numFmtId="0" fontId="13" fillId="13" borderId="18" xfId="15" applyFont="1" applyFill="1" applyBorder="1" applyAlignment="1">
      <alignment horizontal="center" vertical="center" wrapText="1"/>
    </xf>
    <xf numFmtId="0" fontId="13" fillId="13" borderId="17" xfId="15" applyFont="1" applyFill="1" applyBorder="1" applyAlignment="1">
      <alignment horizontal="center" vertical="center" wrapText="1"/>
    </xf>
    <xf numFmtId="0" fontId="19" fillId="8" borderId="20" xfId="15" applyFont="1" applyFill="1" applyBorder="1" applyAlignment="1">
      <alignment horizontal="center" vertical="center"/>
    </xf>
    <xf numFmtId="0" fontId="19" fillId="8" borderId="21" xfId="15" applyFont="1" applyFill="1" applyBorder="1" applyAlignment="1">
      <alignment horizontal="center" vertical="center"/>
    </xf>
    <xf numFmtId="0" fontId="19" fillId="8" borderId="22" xfId="15" applyFont="1" applyFill="1" applyBorder="1" applyAlignment="1">
      <alignment horizontal="center" vertical="center"/>
    </xf>
    <xf numFmtId="0" fontId="19" fillId="8" borderId="23" xfId="15" applyFont="1" applyFill="1" applyBorder="1" applyAlignment="1">
      <alignment horizontal="center" vertical="center"/>
    </xf>
    <xf numFmtId="0" fontId="19" fillId="8" borderId="19" xfId="15" applyFont="1" applyFill="1" applyBorder="1" applyAlignment="1">
      <alignment horizontal="center" vertical="center"/>
    </xf>
    <xf numFmtId="0" fontId="19" fillId="8" borderId="24" xfId="15" applyFont="1" applyFill="1" applyBorder="1" applyAlignment="1">
      <alignment horizontal="center" vertical="center"/>
    </xf>
    <xf numFmtId="0" fontId="4" fillId="12" borderId="6" xfId="15" applyFont="1" applyFill="1" applyBorder="1" applyAlignment="1">
      <alignment horizontal="center" vertical="center" wrapText="1"/>
    </xf>
    <xf numFmtId="0" fontId="4" fillId="12" borderId="5" xfId="15" applyFont="1" applyFill="1" applyBorder="1" applyAlignment="1">
      <alignment horizontal="center" vertical="center" wrapText="1"/>
    </xf>
    <xf numFmtId="0" fontId="4" fillId="12" borderId="11" xfId="15" applyFont="1" applyFill="1" applyBorder="1" applyAlignment="1">
      <alignment horizontal="center" vertical="center" wrapText="1"/>
    </xf>
    <xf numFmtId="0" fontId="4" fillId="12" borderId="8" xfId="15" applyFont="1" applyFill="1" applyBorder="1" applyAlignment="1">
      <alignment horizontal="center" vertical="center" wrapText="1"/>
    </xf>
    <xf numFmtId="0" fontId="4" fillId="12" borderId="0" xfId="15" applyFont="1" applyFill="1" applyAlignment="1">
      <alignment horizontal="center" vertical="center" wrapText="1"/>
    </xf>
    <xf numFmtId="0" fontId="4" fillId="12" borderId="3" xfId="15" applyFont="1" applyFill="1" applyBorder="1" applyAlignment="1">
      <alignment horizontal="center" vertical="center" wrapText="1"/>
    </xf>
    <xf numFmtId="0" fontId="4" fillId="12" borderId="12" xfId="15" applyFont="1" applyFill="1" applyBorder="1" applyAlignment="1">
      <alignment horizontal="center" vertical="center" wrapText="1"/>
    </xf>
    <xf numFmtId="0" fontId="4" fillId="12" borderId="7" xfId="15" applyFont="1" applyFill="1" applyBorder="1" applyAlignment="1">
      <alignment horizontal="center" vertical="center" wrapText="1"/>
    </xf>
    <xf numFmtId="0" fontId="4" fillId="12" borderId="4" xfId="15" applyFont="1" applyFill="1" applyBorder="1" applyAlignment="1">
      <alignment horizontal="center" vertical="center" wrapText="1"/>
    </xf>
    <xf numFmtId="0" fontId="4" fillId="7" borderId="6" xfId="15" applyFont="1" applyFill="1" applyBorder="1" applyAlignment="1">
      <alignment horizontal="center" vertical="center"/>
    </xf>
    <xf numFmtId="0" fontId="4" fillId="7" borderId="5" xfId="15" applyFont="1" applyFill="1" applyBorder="1" applyAlignment="1">
      <alignment horizontal="center" vertical="center"/>
    </xf>
    <xf numFmtId="0" fontId="4" fillId="7" borderId="11" xfId="15" applyFont="1" applyFill="1" applyBorder="1" applyAlignment="1">
      <alignment horizontal="center" vertical="center"/>
    </xf>
    <xf numFmtId="0" fontId="4" fillId="7" borderId="8" xfId="15" applyFont="1" applyFill="1" applyBorder="1" applyAlignment="1">
      <alignment horizontal="center" vertical="center"/>
    </xf>
    <xf numFmtId="0" fontId="4" fillId="7" borderId="0" xfId="15" applyFont="1" applyFill="1" applyAlignment="1">
      <alignment horizontal="center" vertical="center"/>
    </xf>
    <xf numFmtId="0" fontId="4" fillId="7" borderId="3" xfId="15" applyFont="1" applyFill="1" applyBorder="1" applyAlignment="1">
      <alignment horizontal="center" vertical="center"/>
    </xf>
    <xf numFmtId="0" fontId="4" fillId="7" borderId="12" xfId="15" applyFont="1" applyFill="1" applyBorder="1" applyAlignment="1">
      <alignment horizontal="center" vertical="center"/>
    </xf>
    <xf numFmtId="0" fontId="4" fillId="7" borderId="7" xfId="15" applyFont="1" applyFill="1" applyBorder="1" applyAlignment="1">
      <alignment horizontal="center" vertical="center"/>
    </xf>
    <xf numFmtId="0" fontId="4" fillId="7" borderId="4" xfId="15" applyFont="1" applyFill="1" applyBorder="1" applyAlignment="1">
      <alignment horizontal="center" vertical="center"/>
    </xf>
    <xf numFmtId="0" fontId="29" fillId="8" borderId="6" xfId="15" applyFont="1" applyFill="1" applyBorder="1" applyAlignment="1">
      <alignment horizontal="center" vertical="center" wrapText="1"/>
    </xf>
    <xf numFmtId="0" fontId="29" fillId="8" borderId="8" xfId="15" applyFont="1" applyFill="1" applyBorder="1" applyAlignment="1">
      <alignment horizontal="center" vertical="center" wrapText="1"/>
    </xf>
    <xf numFmtId="0" fontId="29" fillId="8" borderId="12" xfId="15" applyFont="1" applyFill="1" applyBorder="1" applyAlignment="1">
      <alignment horizontal="center" vertical="center" wrapText="1"/>
    </xf>
    <xf numFmtId="0" fontId="32" fillId="0" borderId="10" xfId="15" applyFont="1" applyBorder="1" applyAlignment="1">
      <alignment horizontal="center" vertical="center"/>
    </xf>
  </cellXfs>
  <cellStyles count="21">
    <cellStyle name="백분율" xfId="1" builtinId="5"/>
    <cellStyle name="쉼표 [0] 2" xfId="2" xr:uid="{00000000-0005-0000-0000-000002000000}"/>
    <cellStyle name="쉼표 [0] 3" xfId="6" xr:uid="{00000000-0005-0000-0000-000003000000}"/>
    <cellStyle name="쉼표 [0] 5" xfId="19" xr:uid="{00000000-0005-0000-0000-000004000000}"/>
    <cellStyle name="표준" xfId="0" builtinId="0"/>
    <cellStyle name="표준 2" xfId="3" xr:uid="{00000000-0005-0000-0000-000006000000}"/>
    <cellStyle name="표준 2 2" xfId="7" xr:uid="{00000000-0005-0000-0000-000007000000}"/>
    <cellStyle name="표준 2 2 2" xfId="10" xr:uid="{00000000-0005-0000-0000-000008000000}"/>
    <cellStyle name="표준 2 2 2 2" xfId="13" xr:uid="{00000000-0005-0000-0000-000009000000}"/>
    <cellStyle name="표준 2 2 2 2 2" xfId="18" xr:uid="{00000000-0005-0000-0000-00000A000000}"/>
    <cellStyle name="표준 2 2 2 3" xfId="15" xr:uid="{00000000-0005-0000-0000-00000B000000}"/>
    <cellStyle name="표준 2 2 8" xfId="14" xr:uid="{00000000-0005-0000-0000-00000C000000}"/>
    <cellStyle name="표준 2 2 8 2" xfId="4" xr:uid="{00000000-0005-0000-0000-00000D000000}"/>
    <cellStyle name="표준 3" xfId="5" xr:uid="{00000000-0005-0000-0000-00000E000000}"/>
    <cellStyle name="표준 4" xfId="8" xr:uid="{00000000-0005-0000-0000-00000F000000}"/>
    <cellStyle name="표준 4 2" xfId="9" xr:uid="{00000000-0005-0000-0000-000010000000}"/>
    <cellStyle name="표준 5" xfId="11" xr:uid="{00000000-0005-0000-0000-000011000000}"/>
    <cellStyle name="표준 5 2" xfId="17" xr:uid="{00000000-0005-0000-0000-000012000000}"/>
    <cellStyle name="표준 6" xfId="12" xr:uid="{00000000-0005-0000-0000-000013000000}"/>
    <cellStyle name="표준 6 2" xfId="16" xr:uid="{00000000-0005-0000-0000-000014000000}"/>
    <cellStyle name="표준 7" xfId="20" xr:uid="{2C3D5F37-662A-47A9-80DE-156D496E1CB8}"/>
  </cellStyles>
  <dxfs count="0"/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BY91"/>
  <sheetViews>
    <sheetView showGridLines="0" tabSelected="1" topLeftCell="AA1" zoomScale="10" zoomScaleNormal="10" zoomScaleSheetLayoutView="10" zoomScalePageLayoutView="10" workbookViewId="0">
      <selection activeCell="AT5" sqref="AT5:AT6"/>
    </sheetView>
  </sheetViews>
  <sheetFormatPr defaultColWidth="26.125" defaultRowHeight="186" customHeight="1" x14ac:dyDescent="0.3"/>
  <cols>
    <col min="1" max="6" width="28.625" style="4" hidden="1" customWidth="1"/>
    <col min="7" max="7" width="28.625" style="3" hidden="1" customWidth="1"/>
    <col min="8" max="10" width="28.625" style="4" hidden="1" customWidth="1"/>
    <col min="11" max="11" width="28.625" style="3" hidden="1" customWidth="1"/>
    <col min="12" max="13" width="28.625" style="4" hidden="1" customWidth="1"/>
    <col min="14" max="16" width="22.625" style="4" hidden="1" customWidth="1"/>
    <col min="17" max="26" width="30.125" style="4" hidden="1" customWidth="1"/>
    <col min="27" max="27" width="33.125" style="4" customWidth="1"/>
    <col min="28" max="44" width="35.75" style="4" customWidth="1"/>
    <col min="45" max="46" width="37.625" style="5" customWidth="1"/>
    <col min="47" max="47" width="35.75" style="5" customWidth="1"/>
    <col min="48" max="56" width="38.125" style="5" customWidth="1"/>
    <col min="57" max="57" width="35.75" style="5" customWidth="1"/>
    <col min="58" max="65" width="38.125" style="5" customWidth="1"/>
    <col min="66" max="66" width="35.75" style="4" customWidth="1"/>
    <col min="67" max="16384" width="26.125" style="4"/>
  </cols>
  <sheetData>
    <row r="1" spans="1:67" ht="186" customHeight="1" thickBot="1" x14ac:dyDescent="0.35">
      <c r="A1" s="12"/>
      <c r="B1" s="16"/>
      <c r="E1" s="7"/>
      <c r="F1" s="7"/>
      <c r="G1" s="13"/>
      <c r="H1" s="7"/>
      <c r="I1" s="7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8"/>
      <c r="V1" s="8"/>
      <c r="W1" s="8"/>
      <c r="X1" s="8"/>
      <c r="Y1" s="8"/>
      <c r="Z1" s="8"/>
      <c r="AA1" s="10"/>
      <c r="AB1" s="5" t="s">
        <v>489</v>
      </c>
      <c r="AC1" s="5" t="s">
        <v>490</v>
      </c>
      <c r="AD1" s="5" t="s">
        <v>491</v>
      </c>
      <c r="AE1" s="5" t="s">
        <v>492</v>
      </c>
      <c r="AF1" s="5" t="s">
        <v>493</v>
      </c>
      <c r="AG1" s="5" t="s">
        <v>496</v>
      </c>
      <c r="AH1" s="5" t="s">
        <v>494</v>
      </c>
      <c r="AI1" s="5" t="s">
        <v>495</v>
      </c>
      <c r="AJ1" s="17"/>
      <c r="AK1" s="10"/>
      <c r="AL1" s="5" t="s">
        <v>340</v>
      </c>
      <c r="AM1" s="5" t="s">
        <v>341</v>
      </c>
      <c r="AN1" s="5" t="s">
        <v>342</v>
      </c>
      <c r="AO1" s="5" t="s">
        <v>343</v>
      </c>
      <c r="AP1" s="5" t="s">
        <v>344</v>
      </c>
      <c r="AQ1" s="5" t="s">
        <v>345</v>
      </c>
      <c r="AR1" s="5" t="s">
        <v>346</v>
      </c>
      <c r="AS1" s="5" t="s">
        <v>347</v>
      </c>
      <c r="AV1" s="5" t="s">
        <v>332</v>
      </c>
      <c r="AW1" s="5" t="s">
        <v>333</v>
      </c>
      <c r="AX1" s="5" t="s">
        <v>334</v>
      </c>
      <c r="AY1" s="5" t="s">
        <v>335</v>
      </c>
      <c r="AZ1" s="5" t="s">
        <v>336</v>
      </c>
      <c r="BA1" s="5" t="s">
        <v>337</v>
      </c>
      <c r="BB1" s="5" t="s">
        <v>338</v>
      </c>
      <c r="BC1" s="5" t="s">
        <v>339</v>
      </c>
      <c r="BF1" s="5" t="s">
        <v>331</v>
      </c>
      <c r="BG1" s="5" t="s">
        <v>330</v>
      </c>
      <c r="BH1" s="5" t="s">
        <v>329</v>
      </c>
      <c r="BI1" s="5" t="s">
        <v>328</v>
      </c>
      <c r="BJ1" s="5" t="s">
        <v>327</v>
      </c>
      <c r="BK1" s="5" t="s">
        <v>326</v>
      </c>
      <c r="BL1" s="5" t="s">
        <v>325</v>
      </c>
      <c r="BM1" s="5" t="s">
        <v>324</v>
      </c>
    </row>
    <row r="2" spans="1:67" ht="186" customHeight="1" thickBot="1" x14ac:dyDescent="0.35">
      <c r="A2" s="1"/>
      <c r="B2" s="15"/>
      <c r="G2" s="19"/>
      <c r="H2" s="20"/>
      <c r="I2" s="20"/>
      <c r="J2" s="21"/>
      <c r="K2" s="21"/>
      <c r="L2" s="2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23"/>
      <c r="AB2" s="273" t="s">
        <v>4</v>
      </c>
      <c r="AC2" s="264"/>
      <c r="AD2" s="264"/>
      <c r="AE2" s="264"/>
      <c r="AF2" s="264"/>
      <c r="AG2" s="264"/>
      <c r="AH2" s="264"/>
      <c r="AI2" s="274"/>
      <c r="AJ2" s="2"/>
      <c r="AK2" s="223"/>
      <c r="AL2" s="199"/>
      <c r="AM2" s="200"/>
      <c r="AN2" s="200"/>
      <c r="AO2" s="264" t="s">
        <v>5</v>
      </c>
      <c r="AP2" s="264"/>
      <c r="AQ2" s="200"/>
      <c r="AR2" s="200"/>
      <c r="AS2" s="201"/>
      <c r="AT2" s="2"/>
      <c r="AU2" s="219"/>
      <c r="AV2" s="275" t="s">
        <v>6</v>
      </c>
      <c r="AW2" s="276"/>
      <c r="AX2" s="276"/>
      <c r="AY2" s="276"/>
      <c r="AZ2" s="276"/>
      <c r="BA2" s="276"/>
      <c r="BB2" s="276"/>
      <c r="BC2" s="277"/>
      <c r="BD2" s="190"/>
      <c r="BE2" s="213"/>
      <c r="BF2" s="275" t="s">
        <v>7</v>
      </c>
      <c r="BG2" s="276"/>
      <c r="BH2" s="276"/>
      <c r="BI2" s="276"/>
      <c r="BJ2" s="276"/>
      <c r="BK2" s="276"/>
      <c r="BL2" s="276"/>
      <c r="BM2" s="277"/>
      <c r="BO2" s="217"/>
    </row>
    <row r="3" spans="1:67" ht="279.95" customHeight="1" x14ac:dyDescent="0.3">
      <c r="A3" s="12" t="s">
        <v>11</v>
      </c>
      <c r="B3" s="16"/>
      <c r="E3" s="24" t="s">
        <v>12</v>
      </c>
      <c r="F3" s="25"/>
      <c r="G3" s="25"/>
      <c r="H3" s="278" t="s">
        <v>13</v>
      </c>
      <c r="I3" s="279"/>
      <c r="J3" s="278" t="s">
        <v>14</v>
      </c>
      <c r="K3" s="279"/>
      <c r="L3" s="285" t="s">
        <v>15</v>
      </c>
      <c r="M3" s="285"/>
      <c r="N3" s="26"/>
      <c r="O3" s="287" t="s">
        <v>16</v>
      </c>
      <c r="P3" s="288"/>
      <c r="Q3" s="288"/>
      <c r="R3" s="288"/>
      <c r="S3" s="288"/>
      <c r="T3" s="288"/>
      <c r="U3" s="288"/>
      <c r="V3" s="27"/>
      <c r="W3" s="28"/>
      <c r="X3" s="28"/>
      <c r="Y3" s="28"/>
      <c r="Z3" s="29"/>
      <c r="AA3" s="220" t="s">
        <v>245</v>
      </c>
      <c r="AB3" s="254" t="s">
        <v>554</v>
      </c>
      <c r="AC3" s="254" t="s">
        <v>573</v>
      </c>
      <c r="AD3" s="188"/>
      <c r="AE3" s="188"/>
      <c r="AF3" s="188"/>
      <c r="AG3" s="188"/>
      <c r="AH3" s="188"/>
      <c r="AI3" s="188"/>
      <c r="AJ3" s="265" t="s">
        <v>475</v>
      </c>
      <c r="AK3" s="220" t="s">
        <v>245</v>
      </c>
      <c r="AL3" s="188"/>
      <c r="AM3" s="188"/>
      <c r="AN3" s="188"/>
      <c r="AO3" s="188"/>
      <c r="AP3" s="188"/>
      <c r="AQ3" s="188"/>
      <c r="AR3" s="188"/>
      <c r="AS3" s="188"/>
      <c r="AT3" s="265" t="s">
        <v>300</v>
      </c>
      <c r="AU3" s="220" t="s">
        <v>245</v>
      </c>
      <c r="AV3" s="188"/>
      <c r="AW3" s="188"/>
      <c r="AX3" s="188"/>
      <c r="AY3" s="188"/>
      <c r="AZ3" s="188"/>
      <c r="BA3" s="188"/>
      <c r="BB3" s="188"/>
      <c r="BC3" s="188"/>
      <c r="BD3" s="265" t="s">
        <v>274</v>
      </c>
      <c r="BE3" s="214" t="s">
        <v>245</v>
      </c>
      <c r="BF3" s="188"/>
      <c r="BG3" s="188"/>
      <c r="BH3" s="188"/>
      <c r="BI3" s="188"/>
      <c r="BJ3" s="188"/>
      <c r="BK3" s="188"/>
      <c r="BL3" s="188"/>
      <c r="BM3" s="188"/>
      <c r="BN3" s="265" t="s">
        <v>246</v>
      </c>
      <c r="BO3" s="217"/>
    </row>
    <row r="4" spans="1:67" ht="279.95" customHeight="1" thickBot="1" x14ac:dyDescent="0.35">
      <c r="A4" s="6"/>
      <c r="B4" s="18"/>
      <c r="E4" s="30"/>
      <c r="F4" s="31"/>
      <c r="G4" s="31"/>
      <c r="H4" s="280"/>
      <c r="I4" s="281"/>
      <c r="J4" s="280"/>
      <c r="K4" s="281"/>
      <c r="L4" s="282"/>
      <c r="M4" s="282"/>
      <c r="N4" s="33"/>
      <c r="O4" s="289"/>
      <c r="P4" s="290"/>
      <c r="Q4" s="290"/>
      <c r="R4" s="290"/>
      <c r="S4" s="290"/>
      <c r="T4" s="290"/>
      <c r="U4" s="290"/>
      <c r="V4" s="34"/>
      <c r="W4" s="14"/>
      <c r="X4" s="14"/>
      <c r="Y4" s="14"/>
      <c r="Z4" s="35"/>
      <c r="AA4" s="220"/>
      <c r="AB4" s="205" t="s">
        <v>507</v>
      </c>
      <c r="AC4" s="205" t="s">
        <v>510</v>
      </c>
      <c r="AD4" s="207" t="s">
        <v>578</v>
      </c>
      <c r="AE4" s="189"/>
      <c r="AF4" s="207" t="s">
        <v>577</v>
      </c>
      <c r="AG4" s="207" t="s">
        <v>557</v>
      </c>
      <c r="AH4" s="207" t="s">
        <v>517</v>
      </c>
      <c r="AI4" s="233" t="s">
        <v>508</v>
      </c>
      <c r="AJ4" s="265"/>
      <c r="AK4" s="220"/>
      <c r="AL4" s="189"/>
      <c r="AM4" s="189"/>
      <c r="AN4" s="189"/>
      <c r="AO4" s="189"/>
      <c r="AP4" s="189"/>
      <c r="AQ4" s="189"/>
      <c r="AR4" s="189"/>
      <c r="AS4" s="189"/>
      <c r="AT4" s="265"/>
      <c r="AU4" s="220"/>
      <c r="AV4" s="189"/>
      <c r="AW4" s="189"/>
      <c r="AX4" s="189"/>
      <c r="AY4" s="189"/>
      <c r="AZ4" s="189"/>
      <c r="BA4" s="189"/>
      <c r="BB4" s="189"/>
      <c r="BC4" s="189"/>
      <c r="BD4" s="265"/>
      <c r="BE4" s="214"/>
      <c r="BF4" s="228" t="s">
        <v>139</v>
      </c>
      <c r="BG4" s="189"/>
      <c r="BH4" s="189"/>
      <c r="BI4" s="189"/>
      <c r="BJ4" s="189"/>
      <c r="BK4" s="189"/>
      <c r="BL4" s="189"/>
      <c r="BM4" s="189"/>
      <c r="BN4" s="265"/>
      <c r="BO4" s="217"/>
    </row>
    <row r="5" spans="1:67" ht="279.95" customHeight="1" x14ac:dyDescent="0.3">
      <c r="A5" s="1"/>
      <c r="B5" s="15"/>
      <c r="E5" s="30"/>
      <c r="F5" s="31"/>
      <c r="G5" s="31"/>
      <c r="H5" s="280"/>
      <c r="I5" s="281"/>
      <c r="J5" s="280"/>
      <c r="K5" s="281"/>
      <c r="L5" s="282"/>
      <c r="M5" s="282"/>
      <c r="N5" s="33"/>
      <c r="O5" s="289"/>
      <c r="P5" s="290"/>
      <c r="Q5" s="290"/>
      <c r="R5" s="290"/>
      <c r="S5" s="290"/>
      <c r="T5" s="290"/>
      <c r="U5" s="290"/>
      <c r="V5" s="34"/>
      <c r="W5" s="14"/>
      <c r="X5" s="14"/>
      <c r="Y5" s="14"/>
      <c r="Z5" s="35"/>
      <c r="AA5" s="221" t="s">
        <v>245</v>
      </c>
      <c r="AB5" s="254" t="s">
        <v>574</v>
      </c>
      <c r="AC5" s="254" t="s">
        <v>580</v>
      </c>
      <c r="AD5" s="203"/>
      <c r="AE5" s="203"/>
      <c r="AF5" s="203"/>
      <c r="AG5" s="203"/>
      <c r="AH5" s="203"/>
      <c r="AI5" s="203"/>
      <c r="AJ5" s="266" t="s">
        <v>476</v>
      </c>
      <c r="AK5" s="221" t="s">
        <v>245</v>
      </c>
      <c r="AL5" s="203"/>
      <c r="AM5" s="203"/>
      <c r="AN5" s="203"/>
      <c r="AO5" s="203"/>
      <c r="AP5" s="203"/>
      <c r="AQ5" s="203"/>
      <c r="AR5" s="203"/>
      <c r="AS5" s="203"/>
      <c r="AT5" s="266" t="s">
        <v>301</v>
      </c>
      <c r="AU5" s="221" t="s">
        <v>245</v>
      </c>
      <c r="AV5" s="203"/>
      <c r="AW5" s="203"/>
      <c r="AX5" s="203"/>
      <c r="AY5" s="203"/>
      <c r="AZ5" s="203"/>
      <c r="BA5" s="203"/>
      <c r="BB5" s="203"/>
      <c r="BC5" s="203"/>
      <c r="BD5" s="266" t="s">
        <v>275</v>
      </c>
      <c r="BE5" s="215" t="s">
        <v>245</v>
      </c>
      <c r="BF5" s="203"/>
      <c r="BG5" s="203"/>
      <c r="BH5" s="203"/>
      <c r="BI5" s="203"/>
      <c r="BJ5" s="203"/>
      <c r="BK5" s="203"/>
      <c r="BL5" s="203"/>
      <c r="BM5" s="203"/>
      <c r="BN5" s="266" t="s">
        <v>247</v>
      </c>
      <c r="BO5" s="217"/>
    </row>
    <row r="6" spans="1:67" ht="279.95" customHeight="1" thickBot="1" x14ac:dyDescent="0.35">
      <c r="A6" s="12"/>
      <c r="B6" s="16"/>
      <c r="E6" s="30"/>
      <c r="F6" s="31"/>
      <c r="G6" s="31"/>
      <c r="H6" s="280"/>
      <c r="I6" s="281"/>
      <c r="J6" s="280"/>
      <c r="K6" s="281"/>
      <c r="L6" s="282"/>
      <c r="M6" s="282"/>
      <c r="N6" s="33"/>
      <c r="O6" s="289"/>
      <c r="P6" s="290"/>
      <c r="Q6" s="290"/>
      <c r="R6" s="290"/>
      <c r="S6" s="290"/>
      <c r="T6" s="290"/>
      <c r="U6" s="290"/>
      <c r="V6" s="34"/>
      <c r="W6" s="14"/>
      <c r="X6" s="14"/>
      <c r="Y6" s="14"/>
      <c r="Z6" s="35"/>
      <c r="AA6" s="221"/>
      <c r="AB6" s="205" t="s">
        <v>548</v>
      </c>
      <c r="AC6" s="205" t="s">
        <v>549</v>
      </c>
      <c r="AD6" s="205" t="s">
        <v>555</v>
      </c>
      <c r="AE6" s="202"/>
      <c r="AF6" s="207" t="s">
        <v>556</v>
      </c>
      <c r="AG6" s="233" t="s">
        <v>612</v>
      </c>
      <c r="AH6" s="207" t="s">
        <v>550</v>
      </c>
      <c r="AI6" s="207" t="s">
        <v>551</v>
      </c>
      <c r="AJ6" s="266"/>
      <c r="AK6" s="221"/>
      <c r="AL6" s="202"/>
      <c r="AM6" s="202"/>
      <c r="AN6" s="202"/>
      <c r="AO6" s="202"/>
      <c r="AP6" s="202"/>
      <c r="AQ6" s="202"/>
      <c r="AR6" s="202"/>
      <c r="AS6" s="202"/>
      <c r="AT6" s="266"/>
      <c r="AU6" s="221"/>
      <c r="AV6" s="202"/>
      <c r="AW6" s="202"/>
      <c r="AX6" s="202"/>
      <c r="AY6" s="202"/>
      <c r="AZ6" s="202"/>
      <c r="BA6" s="202"/>
      <c r="BB6" s="202"/>
      <c r="BC6" s="202"/>
      <c r="BD6" s="266"/>
      <c r="BE6" s="215"/>
      <c r="BF6" s="207" t="s">
        <v>379</v>
      </c>
      <c r="BG6" s="205" t="s">
        <v>227</v>
      </c>
      <c r="BH6" s="202"/>
      <c r="BI6" s="202"/>
      <c r="BJ6" s="202"/>
      <c r="BK6" s="202"/>
      <c r="BL6" s="202"/>
      <c r="BM6" s="202"/>
      <c r="BN6" s="266"/>
      <c r="BO6" s="217"/>
    </row>
    <row r="7" spans="1:67" ht="279.95" customHeight="1" thickBot="1" x14ac:dyDescent="0.35">
      <c r="A7" s="12" t="s">
        <v>11</v>
      </c>
      <c r="B7" s="16"/>
      <c r="D7" s="19"/>
      <c r="E7" s="30"/>
      <c r="F7" s="31"/>
      <c r="G7" s="31"/>
      <c r="H7" s="280"/>
      <c r="I7" s="281"/>
      <c r="J7" s="280"/>
      <c r="K7" s="281"/>
      <c r="L7" s="282"/>
      <c r="M7" s="282"/>
      <c r="N7" s="33"/>
      <c r="O7" s="291"/>
      <c r="P7" s="292"/>
      <c r="Q7" s="292"/>
      <c r="R7" s="292"/>
      <c r="S7" s="292"/>
      <c r="T7" s="292"/>
      <c r="U7" s="292"/>
      <c r="V7" s="34"/>
      <c r="W7" s="14"/>
      <c r="X7" s="14"/>
      <c r="Y7" s="14"/>
      <c r="Z7" s="35"/>
      <c r="AA7" s="220" t="s">
        <v>245</v>
      </c>
      <c r="AB7" s="254" t="s">
        <v>581</v>
      </c>
      <c r="AC7" s="254" t="s">
        <v>582</v>
      </c>
      <c r="AD7" s="188"/>
      <c r="AE7" s="188"/>
      <c r="AF7" s="188"/>
      <c r="AG7" s="188"/>
      <c r="AH7" s="188"/>
      <c r="AI7" s="188"/>
      <c r="AJ7" s="265" t="s">
        <v>477</v>
      </c>
      <c r="AK7" s="220" t="s">
        <v>245</v>
      </c>
      <c r="AL7" s="188"/>
      <c r="AM7" s="188"/>
      <c r="AN7" s="188"/>
      <c r="AO7" s="188"/>
      <c r="AP7" s="188"/>
      <c r="AQ7" s="188"/>
      <c r="AR7" s="188"/>
      <c r="AS7" s="188"/>
      <c r="AT7" s="265" t="s">
        <v>302</v>
      </c>
      <c r="AU7" s="220" t="s">
        <v>245</v>
      </c>
      <c r="AV7" s="188"/>
      <c r="AW7" s="188"/>
      <c r="AX7" s="188"/>
      <c r="AY7" s="188"/>
      <c r="AZ7" s="188"/>
      <c r="BA7" s="188"/>
      <c r="BB7" s="188"/>
      <c r="BC7" s="188"/>
      <c r="BD7" s="265" t="s">
        <v>276</v>
      </c>
      <c r="BE7" s="214" t="s">
        <v>245</v>
      </c>
      <c r="BF7" s="197" t="s">
        <v>142</v>
      </c>
      <c r="BG7" s="188"/>
      <c r="BH7" s="188"/>
      <c r="BI7" s="188"/>
      <c r="BJ7" s="188"/>
      <c r="BK7" s="188"/>
      <c r="BL7" s="188"/>
      <c r="BM7" s="188"/>
      <c r="BN7" s="265" t="s">
        <v>248</v>
      </c>
      <c r="BO7" s="217"/>
    </row>
    <row r="8" spans="1:67" ht="279.95" customHeight="1" thickBot="1" x14ac:dyDescent="0.35">
      <c r="A8" s="6"/>
      <c r="B8" s="18"/>
      <c r="E8" s="30"/>
      <c r="F8" s="31"/>
      <c r="G8" s="31"/>
      <c r="H8" s="280"/>
      <c r="I8" s="281"/>
      <c r="J8" s="280"/>
      <c r="K8" s="281"/>
      <c r="L8" s="282"/>
      <c r="M8" s="282"/>
      <c r="N8" s="33"/>
      <c r="O8" s="287" t="s">
        <v>17</v>
      </c>
      <c r="P8" s="288"/>
      <c r="Q8" s="288"/>
      <c r="R8" s="288"/>
      <c r="S8" s="288"/>
      <c r="T8" s="288"/>
      <c r="U8" s="288"/>
      <c r="V8" s="34"/>
      <c r="W8" s="14"/>
      <c r="X8" s="14"/>
      <c r="Y8" s="14"/>
      <c r="Z8" s="35"/>
      <c r="AA8" s="220"/>
      <c r="AB8" s="234" t="s">
        <v>562</v>
      </c>
      <c r="AC8" s="234" t="s">
        <v>561</v>
      </c>
      <c r="AD8" s="234" t="s">
        <v>560</v>
      </c>
      <c r="AE8" s="234" t="s">
        <v>559</v>
      </c>
      <c r="AF8" s="233" t="s">
        <v>558</v>
      </c>
      <c r="AG8" s="196" t="s">
        <v>224</v>
      </c>
      <c r="AH8" s="207" t="s">
        <v>552</v>
      </c>
      <c r="AI8" s="205" t="s">
        <v>579</v>
      </c>
      <c r="AJ8" s="265"/>
      <c r="AK8" s="220"/>
      <c r="AL8" s="189"/>
      <c r="AM8" s="189"/>
      <c r="AN8" s="189"/>
      <c r="AO8" s="189"/>
      <c r="AP8" s="189"/>
      <c r="AQ8" s="189"/>
      <c r="AR8" s="189"/>
      <c r="AS8" s="189"/>
      <c r="AT8" s="265"/>
      <c r="AU8" s="220"/>
      <c r="AV8" s="189"/>
      <c r="AW8" s="189"/>
      <c r="AX8" s="189"/>
      <c r="AY8" s="189"/>
      <c r="AZ8" s="189"/>
      <c r="BA8" s="189"/>
      <c r="BB8" s="189"/>
      <c r="BC8" s="189"/>
      <c r="BD8" s="265"/>
      <c r="BE8" s="214"/>
      <c r="BF8" s="228" t="s">
        <v>141</v>
      </c>
      <c r="BG8" s="205" t="s">
        <v>640</v>
      </c>
      <c r="BH8" s="189"/>
      <c r="BI8" s="189"/>
      <c r="BJ8" s="189"/>
      <c r="BK8" s="189"/>
      <c r="BL8" s="189"/>
      <c r="BM8" s="189"/>
      <c r="BN8" s="265"/>
      <c r="BO8" s="217"/>
    </row>
    <row r="9" spans="1:67" ht="279.95" customHeight="1" thickBot="1" x14ac:dyDescent="0.35">
      <c r="A9" s="1"/>
      <c r="B9" s="15"/>
      <c r="C9" s="19"/>
      <c r="E9" s="30"/>
      <c r="F9" s="31"/>
      <c r="G9" s="31"/>
      <c r="H9" s="280"/>
      <c r="I9" s="281"/>
      <c r="J9" s="280"/>
      <c r="K9" s="281"/>
      <c r="L9" s="282"/>
      <c r="M9" s="282"/>
      <c r="N9" s="33"/>
      <c r="O9" s="289"/>
      <c r="P9" s="290"/>
      <c r="Q9" s="290"/>
      <c r="R9" s="290"/>
      <c r="S9" s="290"/>
      <c r="T9" s="290"/>
      <c r="U9" s="290"/>
      <c r="V9" s="34"/>
      <c r="W9" s="14"/>
      <c r="X9" s="14"/>
      <c r="Y9" s="14"/>
      <c r="Z9" s="35"/>
      <c r="AA9" s="221" t="s">
        <v>245</v>
      </c>
      <c r="AB9" s="235" t="s">
        <v>563</v>
      </c>
      <c r="AC9" s="254" t="s">
        <v>564</v>
      </c>
      <c r="AD9" s="203"/>
      <c r="AE9" s="203"/>
      <c r="AF9" s="203"/>
      <c r="AG9" s="203"/>
      <c r="AH9" s="203"/>
      <c r="AI9" s="203"/>
      <c r="AJ9" s="266" t="s">
        <v>478</v>
      </c>
      <c r="AK9" s="221" t="s">
        <v>245</v>
      </c>
      <c r="AL9" s="203"/>
      <c r="AM9" s="203"/>
      <c r="AN9" s="203"/>
      <c r="AO9" s="203"/>
      <c r="AP9" s="203"/>
      <c r="AQ9" s="203"/>
      <c r="AR9" s="203"/>
      <c r="AS9" s="203"/>
      <c r="AT9" s="266" t="s">
        <v>303</v>
      </c>
      <c r="AU9" s="221" t="s">
        <v>245</v>
      </c>
      <c r="AV9" s="203"/>
      <c r="AW9" s="203"/>
      <c r="AX9" s="203"/>
      <c r="AY9" s="203"/>
      <c r="AZ9" s="203"/>
      <c r="BA9" s="238"/>
      <c r="BB9" s="203"/>
      <c r="BC9" s="255" t="s">
        <v>90</v>
      </c>
      <c r="BD9" s="266" t="s">
        <v>277</v>
      </c>
      <c r="BE9" s="215" t="s">
        <v>245</v>
      </c>
      <c r="BF9" s="197" t="s">
        <v>144</v>
      </c>
      <c r="BG9" s="203"/>
      <c r="BH9" s="203"/>
      <c r="BI9" s="203"/>
      <c r="BJ9" s="203"/>
      <c r="BK9" s="203"/>
      <c r="BL9" s="203"/>
      <c r="BM9" s="197" t="s">
        <v>51</v>
      </c>
      <c r="BN9" s="270" t="s">
        <v>249</v>
      </c>
      <c r="BO9" s="217"/>
    </row>
    <row r="10" spans="1:67" ht="279.95" customHeight="1" thickBot="1" x14ac:dyDescent="0.35">
      <c r="A10" s="12" t="s">
        <v>11</v>
      </c>
      <c r="B10" s="16"/>
      <c r="E10" s="30"/>
      <c r="F10" s="302" t="s">
        <v>18</v>
      </c>
      <c r="G10" s="303"/>
      <c r="H10" s="282"/>
      <c r="I10" s="281"/>
      <c r="J10" s="280"/>
      <c r="K10" s="281"/>
      <c r="L10" s="282"/>
      <c r="M10" s="282"/>
      <c r="N10" s="33"/>
      <c r="O10" s="289"/>
      <c r="P10" s="290"/>
      <c r="Q10" s="290"/>
      <c r="R10" s="290"/>
      <c r="S10" s="290"/>
      <c r="T10" s="290"/>
      <c r="U10" s="290"/>
      <c r="V10" s="34"/>
      <c r="W10" s="14"/>
      <c r="X10" s="14"/>
      <c r="Y10" s="14"/>
      <c r="Z10" s="35"/>
      <c r="AA10" s="221"/>
      <c r="AB10" s="234" t="s">
        <v>565</v>
      </c>
      <c r="AC10" s="234" t="s">
        <v>566</v>
      </c>
      <c r="AD10" s="234" t="s">
        <v>567</v>
      </c>
      <c r="AE10" s="234" t="s">
        <v>675</v>
      </c>
      <c r="AF10" s="207" t="s">
        <v>568</v>
      </c>
      <c r="AG10" s="207" t="s">
        <v>569</v>
      </c>
      <c r="AH10" s="202"/>
      <c r="AI10" s="202"/>
      <c r="AJ10" s="266"/>
      <c r="AK10" s="221"/>
      <c r="AL10" s="202"/>
      <c r="AM10" s="202"/>
      <c r="AN10" s="202"/>
      <c r="AO10" s="202"/>
      <c r="AP10" s="202"/>
      <c r="AQ10" s="202"/>
      <c r="AR10" s="202"/>
      <c r="AS10" s="202"/>
      <c r="AT10" s="266"/>
      <c r="AU10" s="221"/>
      <c r="AV10" s="239"/>
      <c r="AW10" s="202"/>
      <c r="AX10" s="202"/>
      <c r="AY10" s="202"/>
      <c r="AZ10" s="233" t="s">
        <v>361</v>
      </c>
      <c r="BA10" s="207" t="s">
        <v>519</v>
      </c>
      <c r="BB10" s="196" t="s">
        <v>91</v>
      </c>
      <c r="BC10" s="256" t="s">
        <v>92</v>
      </c>
      <c r="BD10" s="266"/>
      <c r="BE10" s="215"/>
      <c r="BF10" s="228" t="s">
        <v>143</v>
      </c>
      <c r="BG10" s="207" t="s">
        <v>398</v>
      </c>
      <c r="BH10" s="202"/>
      <c r="BI10" s="202"/>
      <c r="BJ10" s="202"/>
      <c r="BK10" s="207" t="s">
        <v>140</v>
      </c>
      <c r="BL10" s="205" t="s">
        <v>629</v>
      </c>
      <c r="BM10" s="228" t="s">
        <v>145</v>
      </c>
      <c r="BN10" s="270"/>
      <c r="BO10" s="217"/>
    </row>
    <row r="11" spans="1:67" ht="279.95" customHeight="1" thickBot="1" x14ac:dyDescent="0.35">
      <c r="A11" s="6"/>
      <c r="B11" s="18"/>
      <c r="E11" s="30"/>
      <c r="F11" s="304"/>
      <c r="G11" s="305"/>
      <c r="H11" s="282"/>
      <c r="I11" s="281"/>
      <c r="J11" s="280"/>
      <c r="K11" s="281"/>
      <c r="L11" s="282"/>
      <c r="M11" s="282"/>
      <c r="N11" s="33"/>
      <c r="O11" s="308" t="s">
        <v>19</v>
      </c>
      <c r="P11" s="309"/>
      <c r="Q11" s="309"/>
      <c r="R11" s="309"/>
      <c r="S11" s="309"/>
      <c r="T11" s="309"/>
      <c r="U11" s="310"/>
      <c r="V11" s="34"/>
      <c r="W11" s="14"/>
      <c r="X11" s="14"/>
      <c r="Y11" s="14"/>
      <c r="Z11" s="35"/>
      <c r="AA11" s="220" t="s">
        <v>245</v>
      </c>
      <c r="AB11" s="188"/>
      <c r="AC11" s="254" t="s">
        <v>594</v>
      </c>
      <c r="AD11" s="188"/>
      <c r="AE11" s="188"/>
      <c r="AF11" s="188"/>
      <c r="AG11" s="188"/>
      <c r="AH11" s="188"/>
      <c r="AI11" s="188"/>
      <c r="AJ11" s="265" t="s">
        <v>479</v>
      </c>
      <c r="AK11" s="220" t="s">
        <v>245</v>
      </c>
      <c r="AL11" s="188"/>
      <c r="AM11" s="188"/>
      <c r="AN11" s="188"/>
      <c r="AO11" s="188"/>
      <c r="AP11" s="188"/>
      <c r="AQ11" s="188"/>
      <c r="AR11" s="188"/>
      <c r="AS11" s="188"/>
      <c r="AT11" s="265" t="s">
        <v>304</v>
      </c>
      <c r="AU11" s="220" t="s">
        <v>245</v>
      </c>
      <c r="AV11" s="188"/>
      <c r="AW11" s="207" t="s">
        <v>522</v>
      </c>
      <c r="AX11" s="188"/>
      <c r="AY11" s="188"/>
      <c r="AZ11" s="188"/>
      <c r="BA11" s="188"/>
      <c r="BB11" s="197" t="s">
        <v>146</v>
      </c>
      <c r="BC11" s="197" t="s">
        <v>147</v>
      </c>
      <c r="BD11" s="265" t="s">
        <v>278</v>
      </c>
      <c r="BE11" s="214" t="s">
        <v>245</v>
      </c>
      <c r="BF11" s="197" t="s">
        <v>152</v>
      </c>
      <c r="BG11" s="188"/>
      <c r="BH11" s="188"/>
      <c r="BI11" s="188"/>
      <c r="BJ11" s="188"/>
      <c r="BK11" s="188"/>
      <c r="BL11" s="188"/>
      <c r="BM11" s="197" t="s">
        <v>158</v>
      </c>
      <c r="BN11" s="271" t="s">
        <v>250</v>
      </c>
      <c r="BO11" s="217"/>
    </row>
    <row r="12" spans="1:67" ht="279.95" customHeight="1" thickBot="1" x14ac:dyDescent="0.35">
      <c r="A12" s="317" t="s">
        <v>20</v>
      </c>
      <c r="B12" s="318"/>
      <c r="E12" s="46"/>
      <c r="F12" s="306"/>
      <c r="G12" s="307"/>
      <c r="H12" s="282"/>
      <c r="I12" s="281"/>
      <c r="J12" s="280"/>
      <c r="K12" s="281"/>
      <c r="L12" s="282"/>
      <c r="M12" s="282"/>
      <c r="N12" s="33"/>
      <c r="O12" s="311"/>
      <c r="P12" s="312"/>
      <c r="Q12" s="312"/>
      <c r="R12" s="312"/>
      <c r="S12" s="312"/>
      <c r="T12" s="312"/>
      <c r="U12" s="313"/>
      <c r="V12" s="34"/>
      <c r="W12" s="14"/>
      <c r="X12" s="14"/>
      <c r="Y12" s="14"/>
      <c r="Z12" s="35"/>
      <c r="AA12" s="220"/>
      <c r="AB12" s="189"/>
      <c r="AC12" s="234" t="s">
        <v>570</v>
      </c>
      <c r="AD12" s="189"/>
      <c r="AE12" s="189"/>
      <c r="AF12" s="189"/>
      <c r="AG12" s="189"/>
      <c r="AH12" s="189"/>
      <c r="AI12" s="189"/>
      <c r="AJ12" s="265"/>
      <c r="AK12" s="220"/>
      <c r="AL12" s="189"/>
      <c r="AM12" s="189"/>
      <c r="AN12" s="189"/>
      <c r="AO12" s="189"/>
      <c r="AP12" s="189"/>
      <c r="AQ12" s="189"/>
      <c r="AR12" s="189"/>
      <c r="AS12" s="189"/>
      <c r="AT12" s="265"/>
      <c r="AU12" s="220"/>
      <c r="AV12" s="205" t="s">
        <v>614</v>
      </c>
      <c r="AW12" s="207" t="s">
        <v>520</v>
      </c>
      <c r="AX12" s="189"/>
      <c r="AY12" s="196" t="s">
        <v>136</v>
      </c>
      <c r="AZ12" s="189"/>
      <c r="BA12" s="228" t="s">
        <v>149</v>
      </c>
      <c r="BB12" s="228" t="s">
        <v>150</v>
      </c>
      <c r="BC12" s="196" t="s">
        <v>151</v>
      </c>
      <c r="BD12" s="265"/>
      <c r="BE12" s="214"/>
      <c r="BF12" s="228" t="s">
        <v>49</v>
      </c>
      <c r="BG12" s="207" t="s">
        <v>385</v>
      </c>
      <c r="BH12" s="189"/>
      <c r="BI12" s="189"/>
      <c r="BJ12" s="207" t="s">
        <v>603</v>
      </c>
      <c r="BK12" s="196" t="s">
        <v>88</v>
      </c>
      <c r="BL12" s="228" t="s">
        <v>50</v>
      </c>
      <c r="BM12" s="228" t="s">
        <v>153</v>
      </c>
      <c r="BN12" s="271"/>
      <c r="BO12" s="217"/>
    </row>
    <row r="13" spans="1:67" ht="279.95" customHeight="1" thickBot="1" x14ac:dyDescent="0.35">
      <c r="A13" s="319"/>
      <c r="B13" s="320"/>
      <c r="E13" s="48"/>
      <c r="F13" s="49"/>
      <c r="G13" s="49"/>
      <c r="H13" s="280"/>
      <c r="I13" s="281"/>
      <c r="J13" s="280"/>
      <c r="K13" s="281"/>
      <c r="L13" s="282"/>
      <c r="M13" s="282"/>
      <c r="N13" s="33"/>
      <c r="O13" s="311"/>
      <c r="P13" s="312"/>
      <c r="Q13" s="312"/>
      <c r="R13" s="312"/>
      <c r="S13" s="312"/>
      <c r="T13" s="312"/>
      <c r="U13" s="313"/>
      <c r="V13" s="34"/>
      <c r="W13" s="14"/>
      <c r="X13" s="14"/>
      <c r="Y13" s="14"/>
      <c r="Z13" s="35"/>
      <c r="AA13" s="221" t="s">
        <v>245</v>
      </c>
      <c r="AB13" s="203"/>
      <c r="AC13" s="203"/>
      <c r="AD13" s="203"/>
      <c r="AE13" s="203"/>
      <c r="AF13" s="203"/>
      <c r="AG13" s="203"/>
      <c r="AH13" s="203"/>
      <c r="AI13" s="203"/>
      <c r="AJ13" s="266" t="s">
        <v>480</v>
      </c>
      <c r="AK13" s="221" t="s">
        <v>245</v>
      </c>
      <c r="AL13" s="203"/>
      <c r="AM13" s="203"/>
      <c r="AN13" s="203"/>
      <c r="AO13" s="203"/>
      <c r="AP13" s="203"/>
      <c r="AQ13" s="203"/>
      <c r="AR13" s="203"/>
      <c r="AS13" s="203"/>
      <c r="AT13" s="266" t="s">
        <v>305</v>
      </c>
      <c r="AU13" s="221" t="s">
        <v>245</v>
      </c>
      <c r="AV13" s="203"/>
      <c r="AW13" s="238"/>
      <c r="AX13" s="203"/>
      <c r="AY13" s="203"/>
      <c r="AZ13" s="203"/>
      <c r="BA13" s="203"/>
      <c r="BB13" s="203"/>
      <c r="BC13" s="203"/>
      <c r="BD13" s="266" t="s">
        <v>279</v>
      </c>
      <c r="BE13" s="215" t="s">
        <v>245</v>
      </c>
      <c r="BF13" s="197" t="s">
        <v>61</v>
      </c>
      <c r="BG13" s="197" t="s">
        <v>58</v>
      </c>
      <c r="BH13" s="203"/>
      <c r="BI13" s="236" t="s">
        <v>374</v>
      </c>
      <c r="BJ13" s="203"/>
      <c r="BK13" s="203"/>
      <c r="BL13" s="203"/>
      <c r="BM13" s="203"/>
      <c r="BN13" s="272" t="s">
        <v>251</v>
      </c>
      <c r="BO13" s="217"/>
    </row>
    <row r="14" spans="1:67" ht="279.95" customHeight="1" thickBot="1" x14ac:dyDescent="0.35">
      <c r="A14" s="321"/>
      <c r="B14" s="322"/>
      <c r="C14" s="50"/>
      <c r="D14" s="42"/>
      <c r="E14" s="300" t="s">
        <v>21</v>
      </c>
      <c r="F14" s="300"/>
      <c r="G14" s="301"/>
      <c r="H14" s="280"/>
      <c r="I14" s="281"/>
      <c r="J14" s="280"/>
      <c r="K14" s="281"/>
      <c r="L14" s="282"/>
      <c r="M14" s="282"/>
      <c r="N14" s="33"/>
      <c r="O14" s="314"/>
      <c r="P14" s="315"/>
      <c r="Q14" s="315"/>
      <c r="R14" s="315"/>
      <c r="S14" s="315"/>
      <c r="T14" s="315"/>
      <c r="U14" s="316"/>
      <c r="V14" s="34"/>
      <c r="W14" s="14"/>
      <c r="X14" s="14"/>
      <c r="Y14" s="14"/>
      <c r="Z14" s="35"/>
      <c r="AA14" s="221"/>
      <c r="AB14" s="202"/>
      <c r="AC14" s="202"/>
      <c r="AD14" s="202"/>
      <c r="AE14" s="202"/>
      <c r="AF14" s="207" t="s">
        <v>571</v>
      </c>
      <c r="AG14" s="202"/>
      <c r="AH14" s="202"/>
      <c r="AI14" s="202"/>
      <c r="AJ14" s="266"/>
      <c r="AK14" s="221"/>
      <c r="AL14" s="202"/>
      <c r="AM14" s="202"/>
      <c r="AN14" s="202"/>
      <c r="AO14" s="202"/>
      <c r="AP14" s="202"/>
      <c r="AQ14" s="202"/>
      <c r="AR14" s="202"/>
      <c r="AS14" s="202"/>
      <c r="AT14" s="266"/>
      <c r="AU14" s="221"/>
      <c r="AV14" s="196" t="s">
        <v>148</v>
      </c>
      <c r="AW14" s="206" t="s">
        <v>524</v>
      </c>
      <c r="AX14" s="202"/>
      <c r="AY14" s="228" t="s">
        <v>94</v>
      </c>
      <c r="AZ14" s="196" t="s">
        <v>154</v>
      </c>
      <c r="BA14" s="236" t="s">
        <v>364</v>
      </c>
      <c r="BB14" s="240"/>
      <c r="BC14" s="196" t="s">
        <v>93</v>
      </c>
      <c r="BD14" s="266"/>
      <c r="BE14" s="215"/>
      <c r="BF14" s="196" t="s">
        <v>155</v>
      </c>
      <c r="BG14" s="228" t="s">
        <v>156</v>
      </c>
      <c r="BH14" s="202"/>
      <c r="BI14" s="233" t="s">
        <v>363</v>
      </c>
      <c r="BJ14" s="205" t="s">
        <v>649</v>
      </c>
      <c r="BK14" s="233" t="s">
        <v>362</v>
      </c>
      <c r="BL14" s="207" t="s">
        <v>365</v>
      </c>
      <c r="BM14" s="202"/>
      <c r="BN14" s="272"/>
      <c r="BO14" s="217"/>
    </row>
    <row r="15" spans="1:67" ht="279.95" customHeight="1" thickBot="1" x14ac:dyDescent="0.35">
      <c r="A15" s="317" t="s">
        <v>22</v>
      </c>
      <c r="B15" s="323"/>
      <c r="C15" s="50"/>
      <c r="D15" s="52"/>
      <c r="E15" s="297"/>
      <c r="F15" s="297"/>
      <c r="G15" s="298"/>
      <c r="H15" s="280"/>
      <c r="I15" s="281"/>
      <c r="J15" s="280"/>
      <c r="K15" s="281"/>
      <c r="L15" s="282"/>
      <c r="M15" s="282"/>
      <c r="N15" s="33"/>
      <c r="O15" s="325"/>
      <c r="P15" s="326"/>
      <c r="Q15" s="326"/>
      <c r="R15" s="326"/>
      <c r="S15" s="326"/>
      <c r="T15" s="326"/>
      <c r="U15" s="327"/>
      <c r="V15" s="27"/>
      <c r="W15" s="28"/>
      <c r="X15" s="28"/>
      <c r="Y15" s="28"/>
      <c r="Z15" s="29"/>
      <c r="AA15" s="220" t="s">
        <v>245</v>
      </c>
      <c r="AB15" s="188"/>
      <c r="AC15" s="188"/>
      <c r="AD15" s="188"/>
      <c r="AE15" s="188"/>
      <c r="AF15" s="188"/>
      <c r="AG15" s="188"/>
      <c r="AH15" s="188"/>
      <c r="AI15" s="188"/>
      <c r="AJ15" s="265" t="s">
        <v>481</v>
      </c>
      <c r="AK15" s="220" t="s">
        <v>245</v>
      </c>
      <c r="AL15" s="188"/>
      <c r="AM15" s="188"/>
      <c r="AN15" s="188"/>
      <c r="AO15" s="188"/>
      <c r="AP15" s="188"/>
      <c r="AQ15" s="188"/>
      <c r="AR15" s="188"/>
      <c r="AS15" s="188"/>
      <c r="AT15" s="265" t="s">
        <v>306</v>
      </c>
      <c r="AU15" s="220" t="s">
        <v>245</v>
      </c>
      <c r="AV15" s="188"/>
      <c r="AW15" s="188"/>
      <c r="AY15" s="206" t="s">
        <v>100</v>
      </c>
      <c r="AZ15" s="188"/>
      <c r="BB15" s="188"/>
      <c r="BC15" s="206" t="s">
        <v>159</v>
      </c>
      <c r="BD15" s="265" t="s">
        <v>280</v>
      </c>
      <c r="BE15" s="214" t="s">
        <v>245</v>
      </c>
      <c r="BF15" s="197" t="s">
        <v>55</v>
      </c>
      <c r="BG15" s="188"/>
      <c r="BH15" s="188"/>
      <c r="BI15" s="188"/>
      <c r="BJ15" s="236" t="s">
        <v>367</v>
      </c>
      <c r="BK15" s="188"/>
      <c r="BL15" s="188"/>
      <c r="BM15" s="188"/>
      <c r="BN15" s="271" t="s">
        <v>252</v>
      </c>
      <c r="BO15" s="217"/>
    </row>
    <row r="16" spans="1:67" ht="279.95" customHeight="1" thickBot="1" x14ac:dyDescent="0.35">
      <c r="A16" s="319"/>
      <c r="B16" s="324"/>
      <c r="C16" s="53"/>
      <c r="D16" s="52"/>
      <c r="E16" s="300" t="s">
        <v>21</v>
      </c>
      <c r="F16" s="300"/>
      <c r="G16" s="301"/>
      <c r="H16" s="280"/>
      <c r="I16" s="281"/>
      <c r="J16" s="280"/>
      <c r="K16" s="281"/>
      <c r="L16" s="282"/>
      <c r="M16" s="282"/>
      <c r="N16" s="33"/>
      <c r="O16" s="328"/>
      <c r="P16" s="329"/>
      <c r="Q16" s="329"/>
      <c r="R16" s="329"/>
      <c r="S16" s="329"/>
      <c r="T16" s="329"/>
      <c r="U16" s="330"/>
      <c r="V16" s="34"/>
      <c r="W16" s="14"/>
      <c r="X16" s="40"/>
      <c r="Y16" s="40"/>
      <c r="Z16" s="35"/>
      <c r="AA16" s="220"/>
      <c r="AB16" s="189"/>
      <c r="AC16" s="189"/>
      <c r="AD16" s="189"/>
      <c r="AE16" s="189"/>
      <c r="AF16" s="189"/>
      <c r="AG16" s="189"/>
      <c r="AH16" s="189"/>
      <c r="AI16" s="189"/>
      <c r="AJ16" s="265"/>
      <c r="AK16" s="220"/>
      <c r="AL16" s="189"/>
      <c r="AM16" s="189"/>
      <c r="AN16" s="189"/>
      <c r="AO16" s="189"/>
      <c r="AP16" s="189"/>
      <c r="AQ16" s="189"/>
      <c r="AR16" s="189"/>
      <c r="AS16" s="189"/>
      <c r="AT16" s="265"/>
      <c r="AU16" s="220"/>
      <c r="AV16" s="233" t="s">
        <v>525</v>
      </c>
      <c r="AW16" s="233" t="s">
        <v>157</v>
      </c>
      <c r="AX16" s="189"/>
      <c r="AY16" s="207" t="s">
        <v>95</v>
      </c>
      <c r="AZ16" s="233" t="s">
        <v>371</v>
      </c>
      <c r="BA16" s="207" t="s">
        <v>96</v>
      </c>
      <c r="BB16" s="205" t="s">
        <v>609</v>
      </c>
      <c r="BC16" s="233" t="s">
        <v>97</v>
      </c>
      <c r="BD16" s="265"/>
      <c r="BE16" s="214"/>
      <c r="BF16" s="196" t="s">
        <v>52</v>
      </c>
      <c r="BG16" s="207" t="s">
        <v>628</v>
      </c>
      <c r="BH16" s="189"/>
      <c r="BI16" s="233" t="s">
        <v>369</v>
      </c>
      <c r="BJ16" s="233" t="s">
        <v>368</v>
      </c>
      <c r="BK16" s="205" t="s">
        <v>652</v>
      </c>
      <c r="BL16" s="207" t="s">
        <v>366</v>
      </c>
      <c r="BM16" s="207" t="s">
        <v>653</v>
      </c>
      <c r="BN16" s="271"/>
      <c r="BO16" s="217"/>
    </row>
    <row r="17" spans="1:67" ht="279.95" customHeight="1" thickBot="1" x14ac:dyDescent="0.35">
      <c r="A17" s="321"/>
      <c r="B17" s="322"/>
      <c r="C17" s="50"/>
      <c r="D17" s="55"/>
      <c r="E17" s="294"/>
      <c r="F17" s="294"/>
      <c r="G17" s="295"/>
      <c r="H17" s="280"/>
      <c r="I17" s="281"/>
      <c r="J17" s="280"/>
      <c r="K17" s="281"/>
      <c r="L17" s="282"/>
      <c r="M17" s="282"/>
      <c r="N17" s="33"/>
      <c r="O17" s="328"/>
      <c r="P17" s="329"/>
      <c r="Q17" s="329"/>
      <c r="R17" s="329"/>
      <c r="S17" s="329"/>
      <c r="T17" s="329"/>
      <c r="U17" s="330"/>
      <c r="V17" s="47"/>
      <c r="W17" s="44"/>
      <c r="X17" s="44"/>
      <c r="Y17" s="44"/>
      <c r="Z17" s="42"/>
      <c r="AA17" s="221" t="s">
        <v>245</v>
      </c>
      <c r="AB17" s="203"/>
      <c r="AC17" s="203"/>
      <c r="AD17" s="203"/>
      <c r="AE17" s="203"/>
      <c r="AF17" s="203"/>
      <c r="AG17" s="203"/>
      <c r="AH17" s="203"/>
      <c r="AI17" s="203"/>
      <c r="AJ17" s="266" t="s">
        <v>482</v>
      </c>
      <c r="AK17" s="221" t="s">
        <v>245</v>
      </c>
      <c r="AL17" s="203"/>
      <c r="AM17" s="203"/>
      <c r="AN17" s="203"/>
      <c r="AO17" s="203"/>
      <c r="AP17" s="203"/>
      <c r="AQ17" s="203"/>
      <c r="AR17" s="203"/>
      <c r="AS17" s="203"/>
      <c r="AT17" s="266" t="s">
        <v>307</v>
      </c>
      <c r="AU17" s="221" t="s">
        <v>245</v>
      </c>
      <c r="AV17" s="238"/>
      <c r="AW17" s="203"/>
      <c r="AX17" s="203"/>
      <c r="AY17" s="238"/>
      <c r="AZ17" s="206" t="s">
        <v>99</v>
      </c>
      <c r="BA17" s="206" t="s">
        <v>162</v>
      </c>
      <c r="BB17" s="238"/>
      <c r="BC17" s="203"/>
      <c r="BD17" s="266" t="s">
        <v>281</v>
      </c>
      <c r="BE17" s="215" t="s">
        <v>245</v>
      </c>
      <c r="BF17" s="203"/>
      <c r="BG17" s="203"/>
      <c r="BH17" s="203"/>
      <c r="BI17" s="203"/>
      <c r="BJ17" s="206" t="s">
        <v>60</v>
      </c>
      <c r="BK17" s="203"/>
      <c r="BL17" s="203"/>
      <c r="BM17" s="254" t="s">
        <v>627</v>
      </c>
      <c r="BN17" s="272" t="s">
        <v>253</v>
      </c>
      <c r="BO17" s="217"/>
    </row>
    <row r="18" spans="1:67" ht="279.95" customHeight="1" thickBot="1" x14ac:dyDescent="0.35">
      <c r="A18" s="317" t="s">
        <v>23</v>
      </c>
      <c r="B18" s="318"/>
      <c r="C18" s="19"/>
      <c r="D18" s="19"/>
      <c r="E18" s="293"/>
      <c r="F18" s="294"/>
      <c r="G18" s="295"/>
      <c r="H18" s="280"/>
      <c r="I18" s="281"/>
      <c r="J18" s="280"/>
      <c r="K18" s="281"/>
      <c r="L18" s="282"/>
      <c r="M18" s="282"/>
      <c r="N18" s="33"/>
      <c r="O18" s="331"/>
      <c r="P18" s="332"/>
      <c r="Q18" s="332"/>
      <c r="R18" s="332"/>
      <c r="S18" s="332"/>
      <c r="T18" s="332"/>
      <c r="U18" s="333"/>
      <c r="V18" s="47"/>
      <c r="Z18" s="42"/>
      <c r="AA18" s="221"/>
      <c r="AB18" s="202"/>
      <c r="AC18" s="205" t="s">
        <v>575</v>
      </c>
      <c r="AD18" s="202"/>
      <c r="AE18" s="202"/>
      <c r="AF18" s="202"/>
      <c r="AG18" s="202"/>
      <c r="AH18" s="202"/>
      <c r="AI18" s="202"/>
      <c r="AJ18" s="266"/>
      <c r="AK18" s="221"/>
      <c r="AL18" s="202"/>
      <c r="AM18" s="202"/>
      <c r="AN18" s="202"/>
      <c r="AO18" s="202"/>
      <c r="AP18" s="202"/>
      <c r="AQ18" s="202"/>
      <c r="AR18" s="202"/>
      <c r="AS18" s="202"/>
      <c r="AT18" s="266"/>
      <c r="AU18" s="221"/>
      <c r="AV18" s="207" t="s">
        <v>523</v>
      </c>
      <c r="AW18" s="196" t="s">
        <v>180</v>
      </c>
      <c r="AX18" s="202"/>
      <c r="AY18" s="233" t="s">
        <v>529</v>
      </c>
      <c r="AZ18" s="207" t="s">
        <v>160</v>
      </c>
      <c r="BA18" s="207" t="s">
        <v>161</v>
      </c>
      <c r="BB18" s="207" t="s">
        <v>521</v>
      </c>
      <c r="BC18" s="207" t="s">
        <v>98</v>
      </c>
      <c r="BD18" s="266"/>
      <c r="BE18" s="215"/>
      <c r="BF18" s="233" t="s">
        <v>376</v>
      </c>
      <c r="BG18" s="233" t="s">
        <v>383</v>
      </c>
      <c r="BH18" s="202"/>
      <c r="BI18" s="205" t="s">
        <v>638</v>
      </c>
      <c r="BJ18" s="233" t="s">
        <v>375</v>
      </c>
      <c r="BK18" s="196" t="s">
        <v>53</v>
      </c>
      <c r="BL18" s="228" t="s">
        <v>54</v>
      </c>
      <c r="BM18" s="205" t="s">
        <v>626</v>
      </c>
      <c r="BN18" s="272"/>
      <c r="BO18" s="217"/>
    </row>
    <row r="19" spans="1:67" ht="279.95" customHeight="1" thickBot="1" x14ac:dyDescent="0.35">
      <c r="A19" s="319"/>
      <c r="B19" s="320"/>
      <c r="C19" s="19"/>
      <c r="D19" s="56"/>
      <c r="E19" s="57"/>
      <c r="F19" s="58"/>
      <c r="G19" s="58"/>
      <c r="H19" s="280"/>
      <c r="I19" s="281"/>
      <c r="J19" s="280"/>
      <c r="K19" s="281"/>
      <c r="L19" s="282"/>
      <c r="M19" s="282"/>
      <c r="N19" s="33"/>
      <c r="O19" s="335" t="s">
        <v>24</v>
      </c>
      <c r="P19" s="336"/>
      <c r="Q19" s="336"/>
      <c r="R19" s="336"/>
      <c r="S19" s="336"/>
      <c r="T19" s="336"/>
      <c r="U19" s="337"/>
      <c r="Z19" s="42"/>
      <c r="AA19" s="220" t="s">
        <v>245</v>
      </c>
      <c r="AB19" s="188"/>
      <c r="AC19" s="188"/>
      <c r="AD19" s="188"/>
      <c r="AE19" s="188"/>
      <c r="AF19" s="188"/>
      <c r="AG19" s="188"/>
      <c r="AH19" s="188"/>
      <c r="AI19" s="188"/>
      <c r="AJ19" s="265" t="s">
        <v>483</v>
      </c>
      <c r="AK19" s="220" t="s">
        <v>245</v>
      </c>
      <c r="AL19" s="188"/>
      <c r="AM19" s="188"/>
      <c r="AN19" s="188"/>
      <c r="AO19" s="188"/>
      <c r="AP19" s="188"/>
      <c r="AQ19" s="188"/>
      <c r="AR19" s="188"/>
      <c r="AS19" s="188"/>
      <c r="AT19" s="265" t="s">
        <v>308</v>
      </c>
      <c r="AU19" s="220" t="s">
        <v>245</v>
      </c>
      <c r="AV19" s="236" t="s">
        <v>164</v>
      </c>
      <c r="AW19" s="236" t="s">
        <v>102</v>
      </c>
      <c r="AX19" s="188"/>
      <c r="AY19" s="188"/>
      <c r="AZ19" s="188"/>
      <c r="BA19" s="188"/>
      <c r="BB19" s="188"/>
      <c r="BC19" s="236" t="s">
        <v>165</v>
      </c>
      <c r="BD19" s="265" t="s">
        <v>282</v>
      </c>
      <c r="BE19" s="214" t="s">
        <v>245</v>
      </c>
      <c r="BF19" s="229"/>
      <c r="BH19" s="188"/>
      <c r="BI19" s="188"/>
      <c r="BJ19" s="188"/>
      <c r="BL19" s="197" t="s">
        <v>59</v>
      </c>
      <c r="BM19" s="197" t="s">
        <v>56</v>
      </c>
      <c r="BN19" s="271" t="s">
        <v>254</v>
      </c>
      <c r="BO19" s="217"/>
    </row>
    <row r="20" spans="1:67" ht="279.95" customHeight="1" thickBot="1" x14ac:dyDescent="0.35">
      <c r="A20" s="321"/>
      <c r="B20" s="334"/>
      <c r="E20" s="299" t="s">
        <v>25</v>
      </c>
      <c r="F20" s="300"/>
      <c r="G20" s="301"/>
      <c r="H20" s="280"/>
      <c r="I20" s="281"/>
      <c r="J20" s="280"/>
      <c r="K20" s="281"/>
      <c r="L20" s="282"/>
      <c r="M20" s="282"/>
      <c r="N20" s="33"/>
      <c r="O20" s="338"/>
      <c r="P20" s="339"/>
      <c r="Q20" s="339"/>
      <c r="R20" s="339"/>
      <c r="S20" s="339"/>
      <c r="T20" s="339"/>
      <c r="U20" s="340"/>
      <c r="V20" s="59"/>
      <c r="X20" s="41"/>
      <c r="Z20" s="42"/>
      <c r="AA20" s="220"/>
      <c r="AB20" s="189"/>
      <c r="AC20" s="205" t="s">
        <v>576</v>
      </c>
      <c r="AD20" s="189"/>
      <c r="AE20" s="189"/>
      <c r="AF20" s="189"/>
      <c r="AG20" s="189"/>
      <c r="AH20" s="189"/>
      <c r="AI20" s="189"/>
      <c r="AJ20" s="265"/>
      <c r="AK20" s="220"/>
      <c r="AL20" s="189"/>
      <c r="AM20" s="189"/>
      <c r="AN20" s="189"/>
      <c r="AO20" s="189"/>
      <c r="AP20" s="189"/>
      <c r="AQ20" s="189"/>
      <c r="AR20" s="189"/>
      <c r="AS20" s="189"/>
      <c r="AT20" s="265"/>
      <c r="AU20" s="220"/>
      <c r="AV20" s="233" t="s">
        <v>163</v>
      </c>
      <c r="AW20" s="233" t="s">
        <v>526</v>
      </c>
      <c r="AX20" s="189"/>
      <c r="AY20" s="207" t="s">
        <v>528</v>
      </c>
      <c r="AZ20" s="233" t="s">
        <v>372</v>
      </c>
      <c r="BA20" s="233" t="s">
        <v>373</v>
      </c>
      <c r="BB20" s="233" t="s">
        <v>101</v>
      </c>
      <c r="BC20" s="233" t="s">
        <v>166</v>
      </c>
      <c r="BD20" s="265"/>
      <c r="BE20" s="214"/>
      <c r="BF20" s="205" t="s">
        <v>662</v>
      </c>
      <c r="BG20" s="205" t="s">
        <v>679</v>
      </c>
      <c r="BH20" s="189"/>
      <c r="BI20" s="205" t="s">
        <v>583</v>
      </c>
      <c r="BJ20" s="205" t="s">
        <v>632</v>
      </c>
      <c r="BK20" s="233" t="s">
        <v>611</v>
      </c>
      <c r="BL20" s="228" t="s">
        <v>167</v>
      </c>
      <c r="BM20" s="228" t="s">
        <v>57</v>
      </c>
      <c r="BN20" s="271"/>
      <c r="BO20" s="217"/>
    </row>
    <row r="21" spans="1:67" ht="279.95" customHeight="1" x14ac:dyDescent="0.3">
      <c r="A21" s="40"/>
      <c r="B21" s="40"/>
      <c r="E21" s="293"/>
      <c r="F21" s="294"/>
      <c r="G21" s="295"/>
      <c r="H21" s="280"/>
      <c r="I21" s="281"/>
      <c r="J21" s="280"/>
      <c r="K21" s="281"/>
      <c r="L21" s="282"/>
      <c r="M21" s="282"/>
      <c r="N21" s="33"/>
      <c r="O21" s="338"/>
      <c r="P21" s="339"/>
      <c r="Q21" s="339"/>
      <c r="R21" s="339"/>
      <c r="S21" s="339"/>
      <c r="T21" s="339"/>
      <c r="U21" s="340"/>
      <c r="V21" s="37"/>
      <c r="W21" s="60"/>
      <c r="X21" s="41"/>
      <c r="Z21" s="42"/>
      <c r="AA21" s="221" t="s">
        <v>245</v>
      </c>
      <c r="AB21" s="203"/>
      <c r="AC21" s="203"/>
      <c r="AD21" s="203"/>
      <c r="AE21" s="203"/>
      <c r="AF21" s="203"/>
      <c r="AG21" s="203"/>
      <c r="AH21" s="203"/>
      <c r="AI21" s="203"/>
      <c r="AJ21" s="266" t="s">
        <v>484</v>
      </c>
      <c r="AK21" s="221" t="s">
        <v>245</v>
      </c>
      <c r="AL21" s="203"/>
      <c r="AM21" s="203"/>
      <c r="AN21" s="203"/>
      <c r="AO21" s="203"/>
      <c r="AP21" s="203"/>
      <c r="AQ21" s="203"/>
      <c r="AR21" s="203"/>
      <c r="AS21" s="203"/>
      <c r="AT21" s="266" t="s">
        <v>309</v>
      </c>
      <c r="AU21" s="221" t="s">
        <v>245</v>
      </c>
      <c r="AV21" s="236" t="s">
        <v>105</v>
      </c>
      <c r="AW21" s="203"/>
      <c r="AX21" s="203"/>
      <c r="AY21" s="203"/>
      <c r="AZ21" s="203"/>
      <c r="BA21" s="203"/>
      <c r="BB21" s="203"/>
      <c r="BC21" s="203"/>
      <c r="BD21" s="266" t="s">
        <v>283</v>
      </c>
      <c r="BE21" s="215" t="s">
        <v>245</v>
      </c>
      <c r="BF21" s="203"/>
      <c r="BG21" s="203"/>
      <c r="BH21" s="203"/>
      <c r="BI21" s="203"/>
      <c r="BJ21" s="254" t="s">
        <v>625</v>
      </c>
      <c r="BK21" s="203"/>
      <c r="BL21" s="203"/>
      <c r="BM21" s="203"/>
      <c r="BN21" s="272" t="s">
        <v>255</v>
      </c>
      <c r="BO21" s="217"/>
    </row>
    <row r="22" spans="1:67" ht="279.95" customHeight="1" thickBot="1" x14ac:dyDescent="0.35">
      <c r="A22" s="40"/>
      <c r="B22" s="40"/>
      <c r="E22" s="293"/>
      <c r="F22" s="294"/>
      <c r="G22" s="295"/>
      <c r="H22" s="280"/>
      <c r="I22" s="281"/>
      <c r="J22" s="280"/>
      <c r="K22" s="281"/>
      <c r="L22" s="282"/>
      <c r="M22" s="282"/>
      <c r="N22" s="33"/>
      <c r="O22" s="338"/>
      <c r="P22" s="339"/>
      <c r="Q22" s="339"/>
      <c r="R22" s="339"/>
      <c r="S22" s="339"/>
      <c r="T22" s="339"/>
      <c r="U22" s="340"/>
      <c r="V22" s="45"/>
      <c r="X22" s="9"/>
      <c r="Y22" s="23"/>
      <c r="Z22" s="42"/>
      <c r="AA22" s="221"/>
      <c r="AB22" s="202"/>
      <c r="AC22" s="202"/>
      <c r="AD22" s="202"/>
      <c r="AE22" s="202"/>
      <c r="AF22" s="202"/>
      <c r="AG22" s="202"/>
      <c r="AH22" s="202"/>
      <c r="AI22" s="202"/>
      <c r="AJ22" s="266"/>
      <c r="AK22" s="221"/>
      <c r="AL22" s="202"/>
      <c r="AM22" s="202"/>
      <c r="AN22" s="202"/>
      <c r="AO22" s="202"/>
      <c r="AP22" s="202"/>
      <c r="AQ22" s="202"/>
      <c r="AR22" s="202"/>
      <c r="AS22" s="202"/>
      <c r="AT22" s="266"/>
      <c r="AU22" s="221"/>
      <c r="AV22" s="207" t="s">
        <v>370</v>
      </c>
      <c r="AW22" s="205" t="s">
        <v>610</v>
      </c>
      <c r="AX22" s="202"/>
      <c r="AY22" s="196" t="s">
        <v>168</v>
      </c>
      <c r="AZ22" s="233" t="s">
        <v>390</v>
      </c>
      <c r="BA22" s="207" t="s">
        <v>378</v>
      </c>
      <c r="BB22" s="233" t="s">
        <v>527</v>
      </c>
      <c r="BC22" s="205" t="s">
        <v>608</v>
      </c>
      <c r="BD22" s="266"/>
      <c r="BE22" s="215"/>
      <c r="BF22" s="205" t="s">
        <v>663</v>
      </c>
      <c r="BG22" s="207" t="s">
        <v>664</v>
      </c>
      <c r="BH22" s="202"/>
      <c r="BI22" s="205" t="s">
        <v>584</v>
      </c>
      <c r="BJ22" s="205" t="s">
        <v>624</v>
      </c>
      <c r="BK22" s="205" t="s">
        <v>647</v>
      </c>
      <c r="BL22" s="205" t="s">
        <v>648</v>
      </c>
      <c r="BM22" s="196" t="s">
        <v>170</v>
      </c>
      <c r="BN22" s="272"/>
      <c r="BO22" s="217"/>
    </row>
    <row r="23" spans="1:67" ht="279.95" customHeight="1" x14ac:dyDescent="0.3">
      <c r="A23" s="40"/>
      <c r="B23" s="40"/>
      <c r="E23" s="293"/>
      <c r="F23" s="294"/>
      <c r="G23" s="295"/>
      <c r="H23" s="280"/>
      <c r="I23" s="281"/>
      <c r="J23" s="280"/>
      <c r="K23" s="281"/>
      <c r="L23" s="282"/>
      <c r="M23" s="282"/>
      <c r="N23" s="33"/>
      <c r="O23" s="338"/>
      <c r="P23" s="339"/>
      <c r="Q23" s="339"/>
      <c r="R23" s="339"/>
      <c r="S23" s="339"/>
      <c r="T23" s="339"/>
      <c r="U23" s="340"/>
      <c r="V23" s="61"/>
      <c r="Z23" s="42"/>
      <c r="AA23" s="220" t="s">
        <v>245</v>
      </c>
      <c r="AB23" s="188"/>
      <c r="AC23" s="188"/>
      <c r="AD23" s="188"/>
      <c r="AE23" s="188"/>
      <c r="AF23" s="188"/>
      <c r="AG23" s="188"/>
      <c r="AH23" s="188"/>
      <c r="AI23" s="188"/>
      <c r="AJ23" s="265" t="s">
        <v>485</v>
      </c>
      <c r="AK23" s="220" t="s">
        <v>245</v>
      </c>
      <c r="AL23" s="188"/>
      <c r="AM23" s="188"/>
      <c r="AN23" s="188"/>
      <c r="AO23" s="188"/>
      <c r="AP23" s="188"/>
      <c r="AQ23" s="188"/>
      <c r="AR23" s="188"/>
      <c r="AS23" s="188"/>
      <c r="AT23" s="265" t="s">
        <v>310</v>
      </c>
      <c r="AU23" s="220" t="s">
        <v>245</v>
      </c>
      <c r="AV23" s="188"/>
      <c r="AW23" s="236" t="s">
        <v>169</v>
      </c>
      <c r="AX23" s="188"/>
      <c r="AY23" s="206" t="s">
        <v>172</v>
      </c>
      <c r="AZ23" s="188"/>
      <c r="BA23" s="197" t="s">
        <v>103</v>
      </c>
      <c r="BB23" s="188"/>
      <c r="BC23" s="206" t="s">
        <v>106</v>
      </c>
      <c r="BD23" s="265" t="s">
        <v>284</v>
      </c>
      <c r="BE23" s="214" t="s">
        <v>245</v>
      </c>
      <c r="BF23" s="188"/>
      <c r="BH23" s="188"/>
      <c r="BI23" s="188"/>
      <c r="BJ23" s="197" t="s">
        <v>64</v>
      </c>
      <c r="BK23" s="197" t="s">
        <v>65</v>
      </c>
      <c r="BL23" s="188"/>
      <c r="BM23" s="254" t="s">
        <v>623</v>
      </c>
      <c r="BN23" s="271" t="s">
        <v>256</v>
      </c>
      <c r="BO23" s="217"/>
    </row>
    <row r="24" spans="1:67" ht="279.95" customHeight="1" thickBot="1" x14ac:dyDescent="0.35">
      <c r="A24" s="40"/>
      <c r="B24" s="40"/>
      <c r="E24" s="296"/>
      <c r="F24" s="297"/>
      <c r="G24" s="298"/>
      <c r="H24" s="280"/>
      <c r="I24" s="281"/>
      <c r="J24" s="280"/>
      <c r="K24" s="281"/>
      <c r="L24" s="282"/>
      <c r="M24" s="282"/>
      <c r="N24" s="33"/>
      <c r="O24" s="338"/>
      <c r="P24" s="339"/>
      <c r="Q24" s="339"/>
      <c r="R24" s="339"/>
      <c r="S24" s="339"/>
      <c r="T24" s="339"/>
      <c r="U24" s="340"/>
      <c r="V24" s="61"/>
      <c r="Z24" s="42"/>
      <c r="AA24" s="220"/>
      <c r="AB24" s="189"/>
      <c r="AC24" s="189"/>
      <c r="AD24" s="189"/>
      <c r="AE24" s="189"/>
      <c r="AF24" s="189"/>
      <c r="AG24" s="189"/>
      <c r="AH24" s="189"/>
      <c r="AI24" s="189"/>
      <c r="AJ24" s="265"/>
      <c r="AK24" s="220"/>
      <c r="AL24" s="189"/>
      <c r="AM24" s="189"/>
      <c r="AN24" s="189"/>
      <c r="AO24" s="189"/>
      <c r="AP24" s="189"/>
      <c r="AQ24" s="189"/>
      <c r="AR24" s="189"/>
      <c r="AS24" s="189"/>
      <c r="AT24" s="265"/>
      <c r="AU24" s="220"/>
      <c r="AV24" s="228" t="s">
        <v>171</v>
      </c>
      <c r="AW24" s="233" t="s">
        <v>104</v>
      </c>
      <c r="AX24" s="189"/>
      <c r="AY24" s="241" t="s">
        <v>381</v>
      </c>
      <c r="AZ24" s="233" t="s">
        <v>389</v>
      </c>
      <c r="BA24" s="228" t="s">
        <v>173</v>
      </c>
      <c r="BB24" s="207" t="s">
        <v>530</v>
      </c>
      <c r="BC24" s="233" t="s">
        <v>382</v>
      </c>
      <c r="BD24" s="265"/>
      <c r="BE24" s="220"/>
      <c r="BF24" s="205" t="s">
        <v>643</v>
      </c>
      <c r="BG24" s="233" t="s">
        <v>384</v>
      </c>
      <c r="BH24" s="189"/>
      <c r="BI24" s="205" t="s">
        <v>585</v>
      </c>
      <c r="BJ24" s="196" t="s">
        <v>62</v>
      </c>
      <c r="BK24" s="228" t="s">
        <v>63</v>
      </c>
      <c r="BL24" s="205" t="s">
        <v>586</v>
      </c>
      <c r="BM24" s="205" t="s">
        <v>618</v>
      </c>
      <c r="BN24" s="271"/>
      <c r="BO24" s="217"/>
    </row>
    <row r="25" spans="1:67" ht="279.95" customHeight="1" x14ac:dyDescent="0.3">
      <c r="A25" s="40"/>
      <c r="B25" s="40"/>
      <c r="E25" s="293" t="s">
        <v>26</v>
      </c>
      <c r="F25" s="294"/>
      <c r="G25" s="295"/>
      <c r="H25" s="280"/>
      <c r="I25" s="281"/>
      <c r="J25" s="280"/>
      <c r="K25" s="281"/>
      <c r="L25" s="282"/>
      <c r="M25" s="282"/>
      <c r="N25" s="33"/>
      <c r="O25" s="338"/>
      <c r="P25" s="339"/>
      <c r="Q25" s="339"/>
      <c r="R25" s="339"/>
      <c r="S25" s="339"/>
      <c r="T25" s="339"/>
      <c r="U25" s="340"/>
      <c r="V25" s="61"/>
      <c r="W25" s="38"/>
      <c r="X25" s="9"/>
      <c r="Y25" s="9"/>
      <c r="Z25" s="42"/>
      <c r="AA25" s="221" t="s">
        <v>245</v>
      </c>
      <c r="AB25" s="203"/>
      <c r="AC25" s="203"/>
      <c r="AD25" s="203"/>
      <c r="AE25" s="203"/>
      <c r="AF25" s="203"/>
      <c r="AG25" s="203"/>
      <c r="AH25" s="203"/>
      <c r="AI25" s="203"/>
      <c r="AJ25" s="266" t="s">
        <v>486</v>
      </c>
      <c r="AK25" s="221" t="s">
        <v>245</v>
      </c>
      <c r="AL25" s="203"/>
      <c r="AM25" s="203"/>
      <c r="AN25" s="203"/>
      <c r="AO25" s="203"/>
      <c r="AP25" s="203"/>
      <c r="AQ25" s="203"/>
      <c r="AR25" s="203"/>
      <c r="AS25" s="203"/>
      <c r="AT25" s="266" t="s">
        <v>311</v>
      </c>
      <c r="AU25" s="221" t="s">
        <v>245</v>
      </c>
      <c r="AV25" s="203"/>
      <c r="AW25" s="203"/>
      <c r="AX25" s="203"/>
      <c r="AY25" s="203"/>
      <c r="AZ25" s="238"/>
      <c r="BA25" s="203"/>
      <c r="BB25" s="203"/>
      <c r="BC25" s="236" t="s">
        <v>352</v>
      </c>
      <c r="BD25" s="266" t="s">
        <v>285</v>
      </c>
      <c r="BE25" s="215" t="s">
        <v>245</v>
      </c>
      <c r="BF25" s="203"/>
      <c r="BG25" s="203"/>
      <c r="BH25" s="203"/>
      <c r="BI25" s="203"/>
      <c r="BJ25" s="255" t="s">
        <v>177</v>
      </c>
      <c r="BK25" s="203"/>
      <c r="BL25" s="203"/>
      <c r="BM25" s="203"/>
      <c r="BN25" s="272" t="s">
        <v>257</v>
      </c>
      <c r="BO25" s="217"/>
    </row>
    <row r="26" spans="1:67" ht="279.95" customHeight="1" thickBot="1" x14ac:dyDescent="0.35">
      <c r="A26" s="40"/>
      <c r="B26" s="40"/>
      <c r="E26" s="293"/>
      <c r="F26" s="294"/>
      <c r="G26" s="295"/>
      <c r="H26" s="280"/>
      <c r="I26" s="281"/>
      <c r="J26" s="280"/>
      <c r="K26" s="281"/>
      <c r="L26" s="282"/>
      <c r="M26" s="282"/>
      <c r="N26" s="33"/>
      <c r="O26" s="338"/>
      <c r="P26" s="339"/>
      <c r="Q26" s="339"/>
      <c r="R26" s="339"/>
      <c r="S26" s="339"/>
      <c r="T26" s="339"/>
      <c r="U26" s="340"/>
      <c r="V26" s="62"/>
      <c r="W26" s="38"/>
      <c r="X26" s="9"/>
      <c r="Y26" s="9"/>
      <c r="Z26" s="63"/>
      <c r="AA26" s="221"/>
      <c r="AB26" s="202"/>
      <c r="AC26" s="202"/>
      <c r="AD26" s="202"/>
      <c r="AE26" s="202"/>
      <c r="AF26" s="202"/>
      <c r="AG26" s="202"/>
      <c r="AH26" s="202"/>
      <c r="AI26" s="202"/>
      <c r="AJ26" s="266"/>
      <c r="AK26" s="221"/>
      <c r="AL26" s="202"/>
      <c r="AM26" s="202"/>
      <c r="AN26" s="202"/>
      <c r="AO26" s="202"/>
      <c r="AP26" s="202"/>
      <c r="AQ26" s="202"/>
      <c r="AR26" s="202"/>
      <c r="AS26" s="207" t="s">
        <v>438</v>
      </c>
      <c r="AT26" s="266"/>
      <c r="AU26" s="221"/>
      <c r="AV26" s="207" t="s">
        <v>393</v>
      </c>
      <c r="AW26" s="233" t="s">
        <v>391</v>
      </c>
      <c r="AX26" s="202"/>
      <c r="AY26" s="207" t="s">
        <v>386</v>
      </c>
      <c r="AZ26" s="233" t="s">
        <v>174</v>
      </c>
      <c r="BA26" s="233" t="s">
        <v>392</v>
      </c>
      <c r="BB26" s="233" t="s">
        <v>175</v>
      </c>
      <c r="BC26" s="233" t="s">
        <v>107</v>
      </c>
      <c r="BD26" s="266"/>
      <c r="BE26" s="215"/>
      <c r="BF26" s="205" t="s">
        <v>669</v>
      </c>
      <c r="BG26" s="207" t="s">
        <v>531</v>
      </c>
      <c r="BH26" s="202"/>
      <c r="BI26" s="205" t="s">
        <v>587</v>
      </c>
      <c r="BJ26" s="228" t="s">
        <v>176</v>
      </c>
      <c r="BK26" s="205" t="s">
        <v>642</v>
      </c>
      <c r="BL26" s="205" t="s">
        <v>595</v>
      </c>
      <c r="BM26" s="205" t="s">
        <v>641</v>
      </c>
      <c r="BN26" s="272"/>
      <c r="BO26" s="217"/>
    </row>
    <row r="27" spans="1:67" ht="279.95" customHeight="1" x14ac:dyDescent="0.3">
      <c r="A27" s="40"/>
      <c r="B27" s="40"/>
      <c r="E27" s="293"/>
      <c r="F27" s="294"/>
      <c r="G27" s="295"/>
      <c r="H27" s="280"/>
      <c r="I27" s="281"/>
      <c r="J27" s="280"/>
      <c r="K27" s="281"/>
      <c r="L27" s="282"/>
      <c r="M27" s="282"/>
      <c r="N27" s="33"/>
      <c r="O27" s="338"/>
      <c r="P27" s="339"/>
      <c r="Q27" s="339"/>
      <c r="R27" s="339"/>
      <c r="S27" s="339"/>
      <c r="T27" s="339"/>
      <c r="U27" s="340"/>
      <c r="V27" s="62"/>
      <c r="W27" s="38"/>
      <c r="X27" s="9"/>
      <c r="Y27" s="9"/>
      <c r="Z27" s="63"/>
      <c r="AA27" s="220" t="s">
        <v>245</v>
      </c>
      <c r="AB27" s="188"/>
      <c r="AC27" s="188"/>
      <c r="AD27" s="188"/>
      <c r="AE27" s="188"/>
      <c r="AF27" s="188"/>
      <c r="AG27" s="188"/>
      <c r="AH27" s="188"/>
      <c r="AI27" s="188"/>
      <c r="AJ27" s="265" t="s">
        <v>487</v>
      </c>
      <c r="AK27" s="220" t="s">
        <v>245</v>
      </c>
      <c r="AL27" s="188"/>
      <c r="AM27" s="188"/>
      <c r="AN27" s="188"/>
      <c r="AO27" s="188"/>
      <c r="AP27" s="188"/>
      <c r="AQ27" s="188"/>
      <c r="AR27" s="188"/>
      <c r="AS27" s="188"/>
      <c r="AT27" s="265" t="s">
        <v>312</v>
      </c>
      <c r="AU27" s="220" t="s">
        <v>245</v>
      </c>
      <c r="AV27" s="236" t="s">
        <v>109</v>
      </c>
      <c r="AX27" s="188"/>
      <c r="AY27" s="188"/>
      <c r="BA27" s="206" t="s">
        <v>113</v>
      </c>
      <c r="BC27" s="188"/>
      <c r="BD27" s="265" t="s">
        <v>286</v>
      </c>
      <c r="BE27" s="214" t="s">
        <v>245</v>
      </c>
      <c r="BF27" s="255" t="s">
        <v>358</v>
      </c>
      <c r="BG27" s="188"/>
      <c r="BH27" s="188"/>
      <c r="BI27" s="188"/>
      <c r="BJ27" s="188"/>
      <c r="BK27" s="188"/>
      <c r="BL27" s="197" t="s">
        <v>183</v>
      </c>
      <c r="BM27" s="255" t="s">
        <v>67</v>
      </c>
      <c r="BN27" s="271" t="s">
        <v>258</v>
      </c>
      <c r="BO27" s="217"/>
    </row>
    <row r="28" spans="1:67" ht="279.95" customHeight="1" thickBot="1" x14ac:dyDescent="0.35">
      <c r="A28" s="9"/>
      <c r="B28" s="44"/>
      <c r="E28" s="293"/>
      <c r="F28" s="294"/>
      <c r="G28" s="295"/>
      <c r="H28" s="280"/>
      <c r="I28" s="281"/>
      <c r="J28" s="280"/>
      <c r="K28" s="281"/>
      <c r="L28" s="282"/>
      <c r="M28" s="282"/>
      <c r="N28" s="33"/>
      <c r="O28" s="338"/>
      <c r="P28" s="339"/>
      <c r="Q28" s="339"/>
      <c r="R28" s="339"/>
      <c r="S28" s="339"/>
      <c r="T28" s="339"/>
      <c r="U28" s="340"/>
      <c r="V28" s="62"/>
      <c r="W28" s="37"/>
      <c r="X28" s="37"/>
      <c r="Z28" s="65"/>
      <c r="AA28" s="220"/>
      <c r="AB28" s="189"/>
      <c r="AC28" s="189"/>
      <c r="AD28" s="189"/>
      <c r="AE28" s="189"/>
      <c r="AF28" s="189"/>
      <c r="AG28" s="189"/>
      <c r="AH28" s="189"/>
      <c r="AI28" s="189"/>
      <c r="AJ28" s="265"/>
      <c r="AK28" s="220"/>
      <c r="AL28" s="189"/>
      <c r="AM28" s="189"/>
      <c r="AN28" s="189"/>
      <c r="AO28" s="189"/>
      <c r="AP28" s="189"/>
      <c r="AQ28" s="189"/>
      <c r="AR28" s="189"/>
      <c r="AS28" s="207" t="s">
        <v>399</v>
      </c>
      <c r="AT28" s="265"/>
      <c r="AU28" s="220"/>
      <c r="AV28" s="233" t="s">
        <v>400</v>
      </c>
      <c r="AW28" s="207" t="s">
        <v>111</v>
      </c>
      <c r="AY28" s="233" t="s">
        <v>112</v>
      </c>
      <c r="AZ28" s="207" t="s">
        <v>518</v>
      </c>
      <c r="BA28" s="233" t="s">
        <v>182</v>
      </c>
      <c r="BB28" s="207" t="s">
        <v>114</v>
      </c>
      <c r="BC28" s="196" t="s">
        <v>115</v>
      </c>
      <c r="BD28" s="265"/>
      <c r="BE28" s="214"/>
      <c r="BF28" s="228" t="s">
        <v>66</v>
      </c>
      <c r="BG28" s="233" t="s">
        <v>401</v>
      </c>
      <c r="BH28" s="189"/>
      <c r="BI28" s="234" t="s">
        <v>665</v>
      </c>
      <c r="BJ28" s="234" t="s">
        <v>644</v>
      </c>
      <c r="BK28" s="205" t="s">
        <v>645</v>
      </c>
      <c r="BL28" s="228" t="s">
        <v>184</v>
      </c>
      <c r="BM28" s="228" t="s">
        <v>68</v>
      </c>
      <c r="BN28" s="271"/>
      <c r="BO28" s="217"/>
    </row>
    <row r="29" spans="1:67" ht="279.95" customHeight="1" thickBot="1" x14ac:dyDescent="0.35">
      <c r="A29" s="9"/>
      <c r="B29" s="44"/>
      <c r="E29" s="293"/>
      <c r="F29" s="294"/>
      <c r="G29" s="295"/>
      <c r="H29" s="280"/>
      <c r="I29" s="281"/>
      <c r="J29" s="280"/>
      <c r="K29" s="281"/>
      <c r="L29" s="282"/>
      <c r="M29" s="282"/>
      <c r="N29" s="33"/>
      <c r="O29" s="338"/>
      <c r="P29" s="339"/>
      <c r="Q29" s="339"/>
      <c r="R29" s="339"/>
      <c r="S29" s="339"/>
      <c r="T29" s="339"/>
      <c r="U29" s="340"/>
      <c r="V29" s="44"/>
      <c r="W29" s="37"/>
      <c r="X29" s="37"/>
      <c r="Z29" s="65"/>
      <c r="AA29" s="222"/>
      <c r="AB29" s="261" t="s">
        <v>47</v>
      </c>
      <c r="AC29" s="262"/>
      <c r="AD29" s="262"/>
      <c r="AE29" s="262"/>
      <c r="AF29" s="262"/>
      <c r="AG29" s="262"/>
      <c r="AH29" s="262"/>
      <c r="AI29" s="263"/>
      <c r="AJ29" s="210" t="s">
        <v>488</v>
      </c>
      <c r="AK29" s="222"/>
      <c r="AL29" s="261" t="s">
        <v>47</v>
      </c>
      <c r="AM29" s="262"/>
      <c r="AN29" s="262"/>
      <c r="AO29" s="262"/>
      <c r="AP29" s="262"/>
      <c r="AQ29" s="262"/>
      <c r="AR29" s="262"/>
      <c r="AS29" s="263"/>
      <c r="AT29" s="204" t="s">
        <v>313</v>
      </c>
      <c r="AU29" s="222"/>
      <c r="AV29" s="267" t="s">
        <v>47</v>
      </c>
      <c r="AW29" s="268"/>
      <c r="AX29" s="268"/>
      <c r="AY29" s="268"/>
      <c r="AZ29" s="268"/>
      <c r="BA29" s="268"/>
      <c r="BB29" s="268"/>
      <c r="BC29" s="269"/>
      <c r="BD29" s="204" t="s">
        <v>287</v>
      </c>
      <c r="BE29" s="216"/>
      <c r="BF29" s="267" t="s">
        <v>48</v>
      </c>
      <c r="BG29" s="268"/>
      <c r="BH29" s="268"/>
      <c r="BI29" s="268"/>
      <c r="BJ29" s="268"/>
      <c r="BK29" s="268"/>
      <c r="BL29" s="268"/>
      <c r="BM29" s="269"/>
      <c r="BN29" s="212" t="s">
        <v>259</v>
      </c>
      <c r="BO29" s="217"/>
    </row>
    <row r="30" spans="1:67" ht="279.95" customHeight="1" thickBot="1" x14ac:dyDescent="0.35">
      <c r="A30" s="9"/>
      <c r="B30" s="44"/>
      <c r="E30" s="296"/>
      <c r="F30" s="297"/>
      <c r="G30" s="298"/>
      <c r="H30" s="280"/>
      <c r="I30" s="281"/>
      <c r="J30" s="280"/>
      <c r="K30" s="281"/>
      <c r="L30" s="282"/>
      <c r="M30" s="282"/>
      <c r="N30" s="33"/>
      <c r="O30" s="338"/>
      <c r="P30" s="339"/>
      <c r="Q30" s="339"/>
      <c r="R30" s="339"/>
      <c r="S30" s="339"/>
      <c r="T30" s="339"/>
      <c r="U30" s="340"/>
      <c r="V30" s="44"/>
      <c r="W30" s="37"/>
      <c r="X30" s="37"/>
      <c r="Y30" s="66"/>
      <c r="Z30" s="65"/>
      <c r="AA30" s="220" t="s">
        <v>245</v>
      </c>
      <c r="AB30" s="188"/>
      <c r="AC30" s="188"/>
      <c r="AD30" s="188"/>
      <c r="AE30" s="188"/>
      <c r="AF30" s="188"/>
      <c r="AG30" s="188"/>
      <c r="AH30" s="188"/>
      <c r="AI30" s="188"/>
      <c r="AJ30" s="265" t="s">
        <v>497</v>
      </c>
      <c r="AK30" s="220" t="s">
        <v>245</v>
      </c>
      <c r="AL30" s="188"/>
      <c r="AM30" s="188"/>
      <c r="AN30" s="188"/>
      <c r="AO30" s="188"/>
      <c r="AP30" s="188"/>
      <c r="AQ30" s="188"/>
      <c r="AR30" s="188"/>
      <c r="AS30" s="188"/>
      <c r="AT30" s="265" t="s">
        <v>314</v>
      </c>
      <c r="AU30" s="220" t="s">
        <v>245</v>
      </c>
      <c r="AV30" s="206" t="s">
        <v>108</v>
      </c>
      <c r="AW30" s="188"/>
      <c r="AX30" s="188"/>
      <c r="AY30" s="188"/>
      <c r="AZ30" s="188"/>
      <c r="BA30" s="206" t="s">
        <v>181</v>
      </c>
      <c r="BB30" s="188"/>
      <c r="BC30" s="188"/>
      <c r="BD30" s="265" t="s">
        <v>288</v>
      </c>
      <c r="BE30" s="214" t="s">
        <v>245</v>
      </c>
      <c r="BF30" s="197" t="s">
        <v>75</v>
      </c>
      <c r="BG30" s="197" t="s">
        <v>515</v>
      </c>
      <c r="BH30" s="188"/>
      <c r="BI30" s="188"/>
      <c r="BJ30" s="188"/>
      <c r="BK30" s="188"/>
      <c r="BL30" s="188"/>
      <c r="BM30" s="254" t="s">
        <v>622</v>
      </c>
      <c r="BN30" s="271" t="s">
        <v>260</v>
      </c>
      <c r="BO30" s="217"/>
    </row>
    <row r="31" spans="1:67" ht="279.95" customHeight="1" thickTop="1" thickBot="1" x14ac:dyDescent="0.35">
      <c r="A31" s="9"/>
      <c r="B31" s="44"/>
      <c r="E31" s="299" t="s">
        <v>27</v>
      </c>
      <c r="F31" s="300"/>
      <c r="G31" s="301"/>
      <c r="H31" s="280"/>
      <c r="I31" s="281"/>
      <c r="J31" s="280"/>
      <c r="K31" s="281"/>
      <c r="L31" s="282"/>
      <c r="M31" s="282"/>
      <c r="N31" s="67"/>
      <c r="O31" s="338"/>
      <c r="P31" s="339"/>
      <c r="Q31" s="339"/>
      <c r="R31" s="339"/>
      <c r="S31" s="339"/>
      <c r="T31" s="339"/>
      <c r="U31" s="340"/>
      <c r="V31" s="44"/>
      <c r="W31" s="37"/>
      <c r="X31" s="37"/>
      <c r="Y31" s="66"/>
      <c r="Z31" s="68"/>
      <c r="AA31" s="220"/>
      <c r="AB31" s="189"/>
      <c r="AC31" s="189"/>
      <c r="AD31" s="189"/>
      <c r="AE31" s="189"/>
      <c r="AF31" s="189"/>
      <c r="AG31" s="189"/>
      <c r="AH31" s="189"/>
      <c r="AI31" s="189"/>
      <c r="AJ31" s="265"/>
      <c r="AK31" s="220"/>
      <c r="AL31" s="189"/>
      <c r="AM31" s="207" t="s">
        <v>598</v>
      </c>
      <c r="AN31" s="189"/>
      <c r="AO31" s="189"/>
      <c r="AP31" s="189"/>
      <c r="AQ31" s="189"/>
      <c r="AR31" s="207" t="s">
        <v>599</v>
      </c>
      <c r="AS31" s="189"/>
      <c r="AT31" s="265"/>
      <c r="AU31" s="220"/>
      <c r="AV31" s="207" t="s">
        <v>388</v>
      </c>
      <c r="AW31" s="207" t="s">
        <v>416</v>
      </c>
      <c r="AX31" s="189"/>
      <c r="AY31" s="189"/>
      <c r="AZ31" s="189"/>
      <c r="BA31" s="207" t="s">
        <v>406</v>
      </c>
      <c r="BB31" s="207" t="s">
        <v>407</v>
      </c>
      <c r="BC31" s="207" t="s">
        <v>408</v>
      </c>
      <c r="BD31" s="265"/>
      <c r="BE31" s="214"/>
      <c r="BF31" s="196" t="s">
        <v>71</v>
      </c>
      <c r="BG31" s="196" t="s">
        <v>514</v>
      </c>
      <c r="BH31" s="189"/>
      <c r="BI31" s="205" t="s">
        <v>661</v>
      </c>
      <c r="BJ31" s="189"/>
      <c r="BK31" s="205" t="s">
        <v>660</v>
      </c>
      <c r="BL31" s="196" t="s">
        <v>70</v>
      </c>
      <c r="BM31" s="205" t="s">
        <v>639</v>
      </c>
      <c r="BN31" s="271"/>
      <c r="BO31" s="217"/>
    </row>
    <row r="32" spans="1:67" ht="279.95" customHeight="1" thickTop="1" x14ac:dyDescent="0.3">
      <c r="A32" s="9"/>
      <c r="B32" s="44"/>
      <c r="E32" s="293"/>
      <c r="F32" s="294"/>
      <c r="G32" s="295"/>
      <c r="H32" s="280"/>
      <c r="I32" s="281"/>
      <c r="J32" s="280"/>
      <c r="K32" s="281"/>
      <c r="L32" s="282"/>
      <c r="M32" s="282"/>
      <c r="N32" s="33"/>
      <c r="O32" s="338"/>
      <c r="P32" s="339"/>
      <c r="Q32" s="339"/>
      <c r="R32" s="339"/>
      <c r="S32" s="339"/>
      <c r="T32" s="339"/>
      <c r="U32" s="340"/>
      <c r="W32" s="37"/>
      <c r="X32" s="37"/>
      <c r="Y32" s="66"/>
      <c r="Z32" s="69"/>
      <c r="AA32" s="221" t="s">
        <v>245</v>
      </c>
      <c r="AB32" s="203"/>
      <c r="AC32" s="203"/>
      <c r="AD32" s="203"/>
      <c r="AE32" s="203"/>
      <c r="AF32" s="203"/>
      <c r="AG32" s="203"/>
      <c r="AH32" s="203"/>
      <c r="AI32" s="203"/>
      <c r="AJ32" s="266" t="s">
        <v>498</v>
      </c>
      <c r="AK32" s="221" t="s">
        <v>245</v>
      </c>
      <c r="AL32" s="203"/>
      <c r="AM32" s="203"/>
      <c r="AN32" s="203"/>
      <c r="AO32" s="203"/>
      <c r="AP32" s="203"/>
      <c r="AQ32" s="203"/>
      <c r="AR32" s="203"/>
      <c r="AS32" s="203"/>
      <c r="AT32" s="266" t="s">
        <v>315</v>
      </c>
      <c r="AU32" s="221" t="s">
        <v>245</v>
      </c>
      <c r="AV32" s="206" t="s">
        <v>203</v>
      </c>
      <c r="AW32" s="203"/>
      <c r="AX32" s="203"/>
      <c r="AY32" s="236" t="s">
        <v>411</v>
      </c>
      <c r="AZ32" s="206" t="s">
        <v>209</v>
      </c>
      <c r="BA32" s="206" t="s">
        <v>125</v>
      </c>
      <c r="BB32" s="236" t="s">
        <v>404</v>
      </c>
      <c r="BC32" s="206" t="s">
        <v>405</v>
      </c>
      <c r="BD32" s="266" t="s">
        <v>289</v>
      </c>
      <c r="BE32" s="215" t="s">
        <v>245</v>
      </c>
      <c r="BF32" s="197" t="s">
        <v>72</v>
      </c>
      <c r="BG32" s="236" t="s">
        <v>402</v>
      </c>
      <c r="BH32" s="203"/>
      <c r="BI32" s="203"/>
      <c r="BJ32" s="203"/>
      <c r="BK32" s="203"/>
      <c r="BL32" s="203"/>
      <c r="BM32" s="203"/>
      <c r="BN32" s="272" t="s">
        <v>261</v>
      </c>
      <c r="BO32" s="217"/>
    </row>
    <row r="33" spans="1:67" ht="279.95" customHeight="1" thickBot="1" x14ac:dyDescent="0.35">
      <c r="A33" s="9"/>
      <c r="B33" s="44"/>
      <c r="E33" s="296"/>
      <c r="F33" s="297"/>
      <c r="G33" s="298"/>
      <c r="H33" s="280"/>
      <c r="I33" s="281"/>
      <c r="J33" s="280"/>
      <c r="K33" s="281"/>
      <c r="L33" s="282"/>
      <c r="M33" s="282"/>
      <c r="N33" s="33"/>
      <c r="O33" s="338"/>
      <c r="P33" s="339"/>
      <c r="Q33" s="339"/>
      <c r="R33" s="339"/>
      <c r="S33" s="339"/>
      <c r="T33" s="339"/>
      <c r="U33" s="340"/>
      <c r="W33" s="37"/>
      <c r="X33" s="37"/>
      <c r="Z33" s="69"/>
      <c r="AA33" s="221"/>
      <c r="AB33" s="202"/>
      <c r="AC33" s="202"/>
      <c r="AD33" s="202"/>
      <c r="AE33" s="202"/>
      <c r="AF33" s="202"/>
      <c r="AG33" s="202"/>
      <c r="AH33" s="202"/>
      <c r="AI33" s="202"/>
      <c r="AJ33" s="266"/>
      <c r="AK33" s="221"/>
      <c r="AL33" s="205" t="s">
        <v>439</v>
      </c>
      <c r="AM33" s="205" t="s">
        <v>440</v>
      </c>
      <c r="AN33" s="234" t="s">
        <v>441</v>
      </c>
      <c r="AO33" s="202"/>
      <c r="AP33" s="234" t="s">
        <v>442</v>
      </c>
      <c r="AQ33" s="234" t="s">
        <v>443</v>
      </c>
      <c r="AR33" s="234" t="s">
        <v>353</v>
      </c>
      <c r="AS33" s="234" t="s">
        <v>403</v>
      </c>
      <c r="AT33" s="266"/>
      <c r="AU33" s="221"/>
      <c r="AV33" s="233" t="s">
        <v>410</v>
      </c>
      <c r="AW33" s="205" t="s">
        <v>678</v>
      </c>
      <c r="AX33" s="202"/>
      <c r="AY33" s="233" t="s">
        <v>412</v>
      </c>
      <c r="AZ33" s="207" t="s">
        <v>118</v>
      </c>
      <c r="BA33" s="233" t="s">
        <v>413</v>
      </c>
      <c r="BB33" s="233" t="s">
        <v>414</v>
      </c>
      <c r="BC33" s="207" t="s">
        <v>188</v>
      </c>
      <c r="BD33" s="266"/>
      <c r="BE33" s="215"/>
      <c r="BF33" s="196" t="s">
        <v>516</v>
      </c>
      <c r="BG33" s="207" t="s">
        <v>589</v>
      </c>
      <c r="BH33" s="202"/>
      <c r="BI33" s="205" t="s">
        <v>656</v>
      </c>
      <c r="BJ33" s="233" t="s">
        <v>186</v>
      </c>
      <c r="BK33" s="259" t="s">
        <v>657</v>
      </c>
      <c r="BL33" s="205" t="s">
        <v>658</v>
      </c>
      <c r="BM33" s="205" t="s">
        <v>659</v>
      </c>
      <c r="BN33" s="272"/>
      <c r="BO33" s="217"/>
    </row>
    <row r="34" spans="1:67" ht="279.95" customHeight="1" x14ac:dyDescent="0.3">
      <c r="A34" s="9"/>
      <c r="B34" s="44"/>
      <c r="E34" s="299" t="s">
        <v>28</v>
      </c>
      <c r="F34" s="300"/>
      <c r="G34" s="301"/>
      <c r="H34" s="280"/>
      <c r="I34" s="281"/>
      <c r="J34" s="280"/>
      <c r="K34" s="281"/>
      <c r="L34" s="282"/>
      <c r="M34" s="282"/>
      <c r="N34" s="33"/>
      <c r="O34" s="338"/>
      <c r="P34" s="339"/>
      <c r="Q34" s="339"/>
      <c r="R34" s="339"/>
      <c r="S34" s="339"/>
      <c r="T34" s="339"/>
      <c r="U34" s="340"/>
      <c r="V34" s="41"/>
      <c r="W34" s="37"/>
      <c r="X34" s="37"/>
      <c r="Z34" s="68"/>
      <c r="AA34" s="220" t="s">
        <v>245</v>
      </c>
      <c r="AB34" s="188"/>
      <c r="AC34" s="188"/>
      <c r="AD34" s="188"/>
      <c r="AE34" s="188"/>
      <c r="AF34" s="188"/>
      <c r="AG34" s="188"/>
      <c r="AH34" s="188"/>
      <c r="AI34" s="188"/>
      <c r="AJ34" s="265" t="s">
        <v>499</v>
      </c>
      <c r="AK34" s="220" t="s">
        <v>245</v>
      </c>
      <c r="AL34" s="188"/>
      <c r="AM34" s="188"/>
      <c r="AN34" s="188"/>
      <c r="AO34" s="188"/>
      <c r="AP34" s="188"/>
      <c r="AQ34" s="188"/>
      <c r="AR34" s="188"/>
      <c r="AS34" s="188"/>
      <c r="AT34" s="265" t="s">
        <v>316</v>
      </c>
      <c r="AU34" s="220" t="s">
        <v>245</v>
      </c>
      <c r="AV34" s="188"/>
      <c r="AW34" s="188"/>
      <c r="AX34" s="188"/>
      <c r="AY34" s="206" t="s">
        <v>204</v>
      </c>
      <c r="AZ34" s="206" t="s">
        <v>190</v>
      </c>
      <c r="BA34" s="206" t="s">
        <v>124</v>
      </c>
      <c r="BB34" s="206" t="s">
        <v>178</v>
      </c>
      <c r="BC34" s="206" t="s">
        <v>116</v>
      </c>
      <c r="BD34" s="265" t="s">
        <v>290</v>
      </c>
      <c r="BE34" s="214" t="s">
        <v>245</v>
      </c>
      <c r="BF34" s="206" t="s">
        <v>431</v>
      </c>
      <c r="BG34" s="197" t="s">
        <v>73</v>
      </c>
      <c r="BH34" s="188"/>
      <c r="BI34" s="188"/>
      <c r="BJ34" s="188"/>
      <c r="BK34" s="206" t="s">
        <v>535</v>
      </c>
      <c r="BL34" s="206" t="s">
        <v>417</v>
      </c>
      <c r="BM34" s="206" t="s">
        <v>532</v>
      </c>
      <c r="BN34" s="271" t="s">
        <v>262</v>
      </c>
      <c r="BO34" s="217"/>
    </row>
    <row r="35" spans="1:67" s="73" customFormat="1" ht="279.95" customHeight="1" thickBot="1" x14ac:dyDescent="0.35">
      <c r="A35" s="9"/>
      <c r="B35" s="44"/>
      <c r="C35" s="4"/>
      <c r="D35" s="4"/>
      <c r="E35" s="296"/>
      <c r="F35" s="297"/>
      <c r="G35" s="298"/>
      <c r="H35" s="280"/>
      <c r="I35" s="281"/>
      <c r="J35" s="280"/>
      <c r="K35" s="281"/>
      <c r="L35" s="282"/>
      <c r="M35" s="282"/>
      <c r="N35" s="33"/>
      <c r="O35" s="338"/>
      <c r="P35" s="339"/>
      <c r="Q35" s="339"/>
      <c r="R35" s="339"/>
      <c r="S35" s="339"/>
      <c r="T35" s="339"/>
      <c r="U35" s="340"/>
      <c r="V35" s="70"/>
      <c r="W35" s="37"/>
      <c r="X35" s="37"/>
      <c r="Y35" s="71"/>
      <c r="Z35" s="4"/>
      <c r="AA35" s="220"/>
      <c r="AB35" s="189"/>
      <c r="AC35" s="189"/>
      <c r="AD35" s="189"/>
      <c r="AE35" s="189"/>
      <c r="AF35" s="189"/>
      <c r="AG35" s="189"/>
      <c r="AH35" s="189"/>
      <c r="AI35" s="189"/>
      <c r="AJ35" s="265"/>
      <c r="AK35" s="220"/>
      <c r="AL35" s="205" t="s">
        <v>444</v>
      </c>
      <c r="AM35" s="205" t="s">
        <v>445</v>
      </c>
      <c r="AN35" s="234" t="s">
        <v>446</v>
      </c>
      <c r="AO35" s="189"/>
      <c r="AP35" s="234" t="s">
        <v>447</v>
      </c>
      <c r="AQ35" s="207" t="s">
        <v>448</v>
      </c>
      <c r="AR35" s="234" t="s">
        <v>449</v>
      </c>
      <c r="AS35" s="234" t="s">
        <v>450</v>
      </c>
      <c r="AT35" s="265"/>
      <c r="AU35" s="220"/>
      <c r="AV35" s="205" t="s">
        <v>670</v>
      </c>
      <c r="AW35" s="205" t="s">
        <v>671</v>
      </c>
      <c r="AX35" s="189"/>
      <c r="AY35" s="207" t="s">
        <v>119</v>
      </c>
      <c r="AZ35" s="207" t="s">
        <v>120</v>
      </c>
      <c r="BA35" s="233" t="s">
        <v>415</v>
      </c>
      <c r="BB35" s="207" t="s">
        <v>200</v>
      </c>
      <c r="BC35" s="207" t="s">
        <v>130</v>
      </c>
      <c r="BD35" s="265"/>
      <c r="BE35" s="214"/>
      <c r="BF35" s="207" t="s">
        <v>591</v>
      </c>
      <c r="BG35" s="196" t="s">
        <v>76</v>
      </c>
      <c r="BH35" s="189"/>
      <c r="BI35" s="205" t="s">
        <v>655</v>
      </c>
      <c r="BJ35" s="249" t="s">
        <v>533</v>
      </c>
      <c r="BK35" s="233" t="s">
        <v>189</v>
      </c>
      <c r="BL35" s="233" t="s">
        <v>409</v>
      </c>
      <c r="BM35" s="233" t="s">
        <v>534</v>
      </c>
      <c r="BN35" s="271"/>
      <c r="BO35" s="218"/>
    </row>
    <row r="36" spans="1:67" s="73" customFormat="1" ht="279.95" customHeight="1" thickBot="1" x14ac:dyDescent="0.35">
      <c r="A36" s="9"/>
      <c r="B36" s="40"/>
      <c r="C36" s="4"/>
      <c r="D36" s="4"/>
      <c r="E36" s="296" t="s">
        <v>29</v>
      </c>
      <c r="F36" s="297"/>
      <c r="G36" s="298"/>
      <c r="H36" s="283"/>
      <c r="I36" s="284"/>
      <c r="J36" s="283"/>
      <c r="K36" s="284"/>
      <c r="L36" s="286"/>
      <c r="M36" s="286"/>
      <c r="N36" s="33"/>
      <c r="O36" s="338"/>
      <c r="P36" s="339"/>
      <c r="Q36" s="339"/>
      <c r="R36" s="339"/>
      <c r="S36" s="339"/>
      <c r="T36" s="339"/>
      <c r="U36" s="340"/>
      <c r="V36" s="9"/>
      <c r="W36" s="4"/>
      <c r="X36" s="71"/>
      <c r="Y36" s="71"/>
      <c r="Z36" s="4"/>
      <c r="AA36" s="221" t="s">
        <v>245</v>
      </c>
      <c r="AB36" s="203"/>
      <c r="AC36" s="203"/>
      <c r="AD36" s="203"/>
      <c r="AE36" s="203"/>
      <c r="AF36" s="203"/>
      <c r="AG36" s="203"/>
      <c r="AH36" s="203"/>
      <c r="AI36" s="203"/>
      <c r="AJ36" s="266" t="s">
        <v>500</v>
      </c>
      <c r="AK36" s="221" t="s">
        <v>245</v>
      </c>
      <c r="AL36" s="203"/>
      <c r="AM36" s="203"/>
      <c r="AN36" s="203"/>
      <c r="AO36" s="203"/>
      <c r="AP36" s="203"/>
      <c r="AQ36" s="203"/>
      <c r="AR36" s="203"/>
      <c r="AS36" s="203"/>
      <c r="AT36" s="266" t="s">
        <v>317</v>
      </c>
      <c r="AU36" s="221" t="s">
        <v>245</v>
      </c>
      <c r="AV36" s="203"/>
      <c r="AW36" s="203"/>
      <c r="AX36" s="203"/>
      <c r="AY36" s="206" t="s">
        <v>202</v>
      </c>
      <c r="AZ36" s="206" t="s">
        <v>193</v>
      </c>
      <c r="BA36" s="206" t="s">
        <v>121</v>
      </c>
      <c r="BB36" s="206" t="s">
        <v>126</v>
      </c>
      <c r="BC36" s="206" t="s">
        <v>133</v>
      </c>
      <c r="BD36" s="266" t="s">
        <v>291</v>
      </c>
      <c r="BE36" s="215" t="s">
        <v>245</v>
      </c>
      <c r="BF36" s="206" t="s">
        <v>89</v>
      </c>
      <c r="BG36" s="206" t="s">
        <v>590</v>
      </c>
      <c r="BH36" s="203"/>
      <c r="BI36" s="203"/>
      <c r="BJ36" s="203"/>
      <c r="BK36" s="203"/>
      <c r="BL36" s="203"/>
      <c r="BM36" s="203"/>
      <c r="BN36" s="272" t="s">
        <v>263</v>
      </c>
      <c r="BO36" s="218"/>
    </row>
    <row r="37" spans="1:67" s="73" customFormat="1" ht="279.95" customHeight="1" thickTop="1" thickBot="1" x14ac:dyDescent="0.35">
      <c r="A37" s="9"/>
      <c r="B37" s="40"/>
      <c r="E37" s="341" t="s">
        <v>30</v>
      </c>
      <c r="F37" s="341"/>
      <c r="G37" s="341"/>
      <c r="H37" s="341"/>
      <c r="I37" s="341"/>
      <c r="J37" s="341"/>
      <c r="K37" s="341"/>
      <c r="L37" s="341"/>
      <c r="M37" s="341"/>
      <c r="N37" s="74"/>
      <c r="O37" s="342" t="s">
        <v>30</v>
      </c>
      <c r="P37" s="343"/>
      <c r="Q37" s="343"/>
      <c r="R37" s="343"/>
      <c r="S37" s="343"/>
      <c r="T37" s="343"/>
      <c r="U37" s="343"/>
      <c r="V37" s="75"/>
      <c r="W37" s="76"/>
      <c r="X37" s="76"/>
      <c r="Y37" s="76"/>
      <c r="Z37" s="77"/>
      <c r="AA37" s="221"/>
      <c r="AB37" s="202"/>
      <c r="AC37" s="202"/>
      <c r="AD37" s="202"/>
      <c r="AE37" s="202"/>
      <c r="AF37" s="202"/>
      <c r="AG37" s="202"/>
      <c r="AH37" s="202"/>
      <c r="AI37" s="202"/>
      <c r="AJ37" s="266"/>
      <c r="AK37" s="221"/>
      <c r="AL37" s="205" t="s">
        <v>451</v>
      </c>
      <c r="AM37" s="205" t="s">
        <v>452</v>
      </c>
      <c r="AN37" s="234" t="s">
        <v>453</v>
      </c>
      <c r="AO37" s="202"/>
      <c r="AP37" s="234" t="s">
        <v>454</v>
      </c>
      <c r="AQ37" s="205" t="s">
        <v>455</v>
      </c>
      <c r="AR37" s="234" t="s">
        <v>456</v>
      </c>
      <c r="AS37" s="205" t="s">
        <v>457</v>
      </c>
      <c r="AT37" s="266"/>
      <c r="AU37" s="221"/>
      <c r="AV37" s="205" t="s">
        <v>637</v>
      </c>
      <c r="AW37" s="205" t="s">
        <v>634</v>
      </c>
      <c r="AX37" s="250"/>
      <c r="AY37" s="207" t="s">
        <v>423</v>
      </c>
      <c r="AZ37" s="207" t="s">
        <v>199</v>
      </c>
      <c r="BA37" s="207" t="s">
        <v>117</v>
      </c>
      <c r="BB37" s="207" t="s">
        <v>129</v>
      </c>
      <c r="BC37" s="207" t="s">
        <v>122</v>
      </c>
      <c r="BD37" s="266"/>
      <c r="BE37" s="215"/>
      <c r="BF37" s="207" t="s">
        <v>419</v>
      </c>
      <c r="BG37" s="207" t="s">
        <v>605</v>
      </c>
      <c r="BH37" s="202"/>
      <c r="BI37" s="207" t="s">
        <v>572</v>
      </c>
      <c r="BJ37" s="233" t="s">
        <v>192</v>
      </c>
      <c r="BK37" s="205" t="s">
        <v>672</v>
      </c>
      <c r="BL37" s="205" t="s">
        <v>654</v>
      </c>
      <c r="BM37" s="240"/>
      <c r="BN37" s="272"/>
      <c r="BO37" s="218"/>
    </row>
    <row r="38" spans="1:67" s="73" customFormat="1" ht="279.95" customHeight="1" thickTop="1" x14ac:dyDescent="0.3">
      <c r="A38" s="78"/>
      <c r="B38" s="78"/>
      <c r="C38" s="79"/>
      <c r="E38" s="24"/>
      <c r="F38" s="25"/>
      <c r="G38" s="80"/>
      <c r="H38" s="25" t="s">
        <v>31</v>
      </c>
      <c r="I38" s="25"/>
      <c r="J38" s="24" t="s">
        <v>32</v>
      </c>
      <c r="K38" s="80"/>
      <c r="L38" s="25" t="s">
        <v>33</v>
      </c>
      <c r="M38" s="25"/>
      <c r="N38" s="81"/>
      <c r="O38" s="344"/>
      <c r="P38" s="14"/>
      <c r="Q38" s="14"/>
      <c r="R38" s="14"/>
      <c r="S38" s="14"/>
      <c r="V38" s="34"/>
      <c r="W38" s="14"/>
      <c r="X38" s="14"/>
      <c r="Y38" s="14"/>
      <c r="Z38" s="35"/>
      <c r="AA38" s="220" t="s">
        <v>245</v>
      </c>
      <c r="AB38" s="188"/>
      <c r="AC38" s="188"/>
      <c r="AD38" s="188"/>
      <c r="AE38" s="188"/>
      <c r="AF38" s="188"/>
      <c r="AG38" s="188"/>
      <c r="AH38" s="188"/>
      <c r="AI38" s="188"/>
      <c r="AJ38" s="265" t="s">
        <v>501</v>
      </c>
      <c r="AK38" s="220" t="s">
        <v>245</v>
      </c>
      <c r="AL38" s="188"/>
      <c r="AM38" s="188"/>
      <c r="AN38" s="188"/>
      <c r="AO38" s="188"/>
      <c r="AP38" s="188"/>
      <c r="AQ38" s="188"/>
      <c r="AR38" s="188"/>
      <c r="AS38" s="188"/>
      <c r="AT38" s="265" t="s">
        <v>318</v>
      </c>
      <c r="AU38" s="220" t="s">
        <v>245</v>
      </c>
      <c r="AV38" s="188"/>
      <c r="AW38" s="188"/>
      <c r="AX38" s="188"/>
      <c r="AY38" s="188"/>
      <c r="AZ38" s="188"/>
      <c r="BA38" s="188"/>
      <c r="BB38" s="188"/>
      <c r="BC38" s="188"/>
      <c r="BD38" s="265" t="s">
        <v>292</v>
      </c>
      <c r="BE38" s="214" t="s">
        <v>245</v>
      </c>
      <c r="BF38" s="206" t="s">
        <v>221</v>
      </c>
      <c r="BG38" s="236" t="s">
        <v>377</v>
      </c>
      <c r="BH38" s="188"/>
      <c r="BI38" s="188"/>
      <c r="BJ38" s="188"/>
      <c r="BK38" s="188"/>
      <c r="BL38" s="206" t="s">
        <v>427</v>
      </c>
      <c r="BM38" s="236" t="s">
        <v>348</v>
      </c>
      <c r="BN38" s="271" t="s">
        <v>264</v>
      </c>
      <c r="BO38" s="218"/>
    </row>
    <row r="39" spans="1:67" s="73" customFormat="1" ht="279.95" customHeight="1" thickBot="1" x14ac:dyDescent="0.35">
      <c r="A39" s="78"/>
      <c r="B39" s="78"/>
      <c r="C39" s="79"/>
      <c r="E39" s="30"/>
      <c r="F39" s="31"/>
      <c r="G39" s="82"/>
      <c r="H39" s="31"/>
      <c r="I39" s="31"/>
      <c r="J39" s="30"/>
      <c r="K39" s="82"/>
      <c r="L39" s="31"/>
      <c r="M39" s="31"/>
      <c r="N39" s="81"/>
      <c r="O39" s="345"/>
      <c r="P39" s="14"/>
      <c r="Q39" s="14"/>
      <c r="R39" s="14"/>
      <c r="S39" s="14"/>
      <c r="T39" s="84"/>
      <c r="V39" s="85"/>
      <c r="W39" s="14"/>
      <c r="X39" s="14"/>
      <c r="Y39" s="14"/>
      <c r="Z39" s="35"/>
      <c r="AA39" s="220"/>
      <c r="AB39" s="189"/>
      <c r="AC39" s="189"/>
      <c r="AD39" s="189"/>
      <c r="AE39" s="189"/>
      <c r="AF39" s="189"/>
      <c r="AG39" s="189"/>
      <c r="AH39" s="189"/>
      <c r="AI39" s="189"/>
      <c r="AJ39" s="265"/>
      <c r="AK39" s="220"/>
      <c r="AL39" s="196" t="s">
        <v>226</v>
      </c>
      <c r="AM39" s="196" t="s">
        <v>123</v>
      </c>
      <c r="AN39" s="234" t="s">
        <v>458</v>
      </c>
      <c r="AO39" s="189"/>
      <c r="AP39" s="234" t="s">
        <v>459</v>
      </c>
      <c r="AQ39" s="205" t="s">
        <v>460</v>
      </c>
      <c r="AR39" s="205" t="s">
        <v>461</v>
      </c>
      <c r="AS39" s="205" t="s">
        <v>462</v>
      </c>
      <c r="AT39" s="265"/>
      <c r="AU39" s="220"/>
      <c r="AV39" s="205" t="s">
        <v>666</v>
      </c>
      <c r="AW39" s="189"/>
      <c r="AY39" s="233" t="s">
        <v>420</v>
      </c>
      <c r="AZ39" s="207" t="s">
        <v>537</v>
      </c>
      <c r="BA39" s="207" t="s">
        <v>395</v>
      </c>
      <c r="BB39" s="207" t="s">
        <v>633</v>
      </c>
      <c r="BC39" s="196" t="s">
        <v>197</v>
      </c>
      <c r="BD39" s="265"/>
      <c r="BE39" s="214"/>
      <c r="BF39" s="207" t="s">
        <v>425</v>
      </c>
      <c r="BG39" s="207" t="s">
        <v>426</v>
      </c>
      <c r="BH39" s="189"/>
      <c r="BI39" s="207" t="s">
        <v>604</v>
      </c>
      <c r="BJ39" s="207" t="s">
        <v>418</v>
      </c>
      <c r="BK39" s="233" t="s">
        <v>421</v>
      </c>
      <c r="BL39" s="207" t="s">
        <v>422</v>
      </c>
      <c r="BM39" s="233" t="s">
        <v>236</v>
      </c>
      <c r="BN39" s="271"/>
      <c r="BO39" s="218"/>
    </row>
    <row r="40" spans="1:67" s="73" customFormat="1" ht="279.95" customHeight="1" thickBot="1" x14ac:dyDescent="0.35">
      <c r="A40" s="78"/>
      <c r="B40" s="78"/>
      <c r="C40" s="79"/>
      <c r="E40" s="30"/>
      <c r="F40" s="31"/>
      <c r="G40" s="82"/>
      <c r="H40" s="31"/>
      <c r="I40" s="31"/>
      <c r="J40" s="30"/>
      <c r="K40" s="82"/>
      <c r="L40" s="31"/>
      <c r="M40" s="31"/>
      <c r="N40" s="81"/>
      <c r="O40" s="34"/>
      <c r="P40" s="14"/>
      <c r="Q40" s="14"/>
      <c r="R40" s="14"/>
      <c r="S40" s="14"/>
      <c r="V40" s="85"/>
      <c r="W40" s="51"/>
      <c r="X40" s="14"/>
      <c r="Y40" s="14"/>
      <c r="Z40" s="87"/>
      <c r="AA40" s="221" t="s">
        <v>245</v>
      </c>
      <c r="AB40" s="203"/>
      <c r="AC40" s="203"/>
      <c r="AD40" s="203"/>
      <c r="AE40" s="203"/>
      <c r="AF40" s="203"/>
      <c r="AG40" s="203"/>
      <c r="AH40" s="203"/>
      <c r="AI40" s="203"/>
      <c r="AJ40" s="266" t="s">
        <v>502</v>
      </c>
      <c r="AK40" s="221" t="s">
        <v>245</v>
      </c>
      <c r="AL40" s="203"/>
      <c r="AM40" s="203"/>
      <c r="AN40" s="203"/>
      <c r="AO40" s="203"/>
      <c r="AP40" s="203"/>
      <c r="AQ40" s="203"/>
      <c r="AR40" s="203"/>
      <c r="AS40" s="203"/>
      <c r="AT40" s="266" t="s">
        <v>319</v>
      </c>
      <c r="AU40" s="221" t="s">
        <v>245</v>
      </c>
      <c r="AV40" s="203"/>
      <c r="AW40" s="203"/>
      <c r="AX40" s="203"/>
      <c r="AY40" s="203"/>
      <c r="AZ40" s="203"/>
      <c r="BA40" s="203"/>
      <c r="BB40" s="203"/>
      <c r="BC40" s="203"/>
      <c r="BD40" s="266" t="s">
        <v>293</v>
      </c>
      <c r="BE40" s="215" t="s">
        <v>245</v>
      </c>
      <c r="BF40" s="236" t="s">
        <v>432</v>
      </c>
      <c r="BG40" s="206" t="s">
        <v>592</v>
      </c>
      <c r="BH40" s="203"/>
      <c r="BI40" s="203"/>
      <c r="BJ40" s="203"/>
      <c r="BK40" s="203"/>
      <c r="BL40" s="197" t="s">
        <v>350</v>
      </c>
      <c r="BM40" s="197" t="s">
        <v>198</v>
      </c>
      <c r="BN40" s="272" t="s">
        <v>265</v>
      </c>
      <c r="BO40" s="218"/>
    </row>
    <row r="41" spans="1:67" s="73" customFormat="1" ht="279.95" customHeight="1" thickBot="1" x14ac:dyDescent="0.35">
      <c r="A41" s="78"/>
      <c r="B41" s="78"/>
      <c r="E41" s="48"/>
      <c r="F41" s="48"/>
      <c r="G41" s="88"/>
      <c r="H41" s="31"/>
      <c r="I41" s="31"/>
      <c r="J41" s="30"/>
      <c r="K41" s="82"/>
      <c r="L41" s="31"/>
      <c r="M41" s="31"/>
      <c r="N41" s="81"/>
      <c r="O41" s="34"/>
      <c r="P41" s="14"/>
      <c r="Q41" s="14"/>
      <c r="R41" s="14"/>
      <c r="S41" s="14"/>
      <c r="V41" s="85"/>
      <c r="W41" s="51"/>
      <c r="X41" s="14"/>
      <c r="Y41" s="14"/>
      <c r="Z41" s="87"/>
      <c r="AA41" s="221"/>
      <c r="AB41" s="202"/>
      <c r="AC41" s="202"/>
      <c r="AD41" s="202"/>
      <c r="AE41" s="202"/>
      <c r="AF41" s="202"/>
      <c r="AG41" s="202"/>
      <c r="AH41" s="202"/>
      <c r="AI41" s="202"/>
      <c r="AJ41" s="266"/>
      <c r="AK41" s="221"/>
      <c r="AL41" s="234" t="s">
        <v>463</v>
      </c>
      <c r="AM41" s="234" t="s">
        <v>464</v>
      </c>
      <c r="AN41" s="234" t="s">
        <v>465</v>
      </c>
      <c r="AO41" s="202"/>
      <c r="AP41" s="234" t="s">
        <v>466</v>
      </c>
      <c r="AQ41" s="234" t="s">
        <v>467</v>
      </c>
      <c r="AR41" s="234" t="s">
        <v>547</v>
      </c>
      <c r="AS41" s="202"/>
      <c r="AT41" s="266"/>
      <c r="AU41" s="221"/>
      <c r="AV41" s="205" t="s">
        <v>667</v>
      </c>
      <c r="AW41" s="205" t="s">
        <v>668</v>
      </c>
      <c r="AX41" s="237"/>
      <c r="AY41" s="196" t="s">
        <v>195</v>
      </c>
      <c r="AZ41" s="196" t="s">
        <v>349</v>
      </c>
      <c r="BA41" s="196" t="s">
        <v>194</v>
      </c>
      <c r="BB41" s="196" t="s">
        <v>201</v>
      </c>
      <c r="BC41" s="207" t="s">
        <v>396</v>
      </c>
      <c r="BD41" s="266"/>
      <c r="BE41" s="215"/>
      <c r="BF41" s="207" t="s">
        <v>424</v>
      </c>
      <c r="BG41" s="233" t="s">
        <v>380</v>
      </c>
      <c r="BH41" s="202"/>
      <c r="BI41" s="207" t="s">
        <v>538</v>
      </c>
      <c r="BJ41" s="196" t="s">
        <v>187</v>
      </c>
      <c r="BK41" s="196" t="s">
        <v>81</v>
      </c>
      <c r="BL41" s="196" t="s">
        <v>235</v>
      </c>
      <c r="BM41" s="196" t="s">
        <v>234</v>
      </c>
      <c r="BN41" s="272"/>
      <c r="BO41" s="218"/>
    </row>
    <row r="42" spans="1:67" s="73" customFormat="1" ht="279.95" customHeight="1" thickBot="1" x14ac:dyDescent="0.35">
      <c r="A42" s="78"/>
      <c r="B42" s="78"/>
      <c r="E42" s="30"/>
      <c r="F42" s="31"/>
      <c r="G42" s="82"/>
      <c r="H42" s="31"/>
      <c r="I42" s="31"/>
      <c r="J42" s="30"/>
      <c r="K42" s="82"/>
      <c r="L42" s="31"/>
      <c r="M42" s="31"/>
      <c r="N42" s="81"/>
      <c r="O42" s="353"/>
      <c r="P42" s="345"/>
      <c r="Q42" s="89"/>
      <c r="R42" s="89"/>
      <c r="S42" s="89"/>
      <c r="V42" s="85"/>
      <c r="W42" s="51"/>
      <c r="X42" s="14"/>
      <c r="Y42" s="14"/>
      <c r="Z42" s="35"/>
      <c r="AA42" s="220" t="s">
        <v>245</v>
      </c>
      <c r="AB42" s="188"/>
      <c r="AC42" s="188"/>
      <c r="AD42" s="188"/>
      <c r="AE42" s="188"/>
      <c r="AF42" s="188"/>
      <c r="AG42" s="188"/>
      <c r="AH42" s="188"/>
      <c r="AI42" s="188"/>
      <c r="AJ42" s="265" t="s">
        <v>503</v>
      </c>
      <c r="AK42" s="220" t="s">
        <v>245</v>
      </c>
      <c r="AL42" s="188"/>
      <c r="AM42" s="188"/>
      <c r="AN42" s="188"/>
      <c r="AO42" s="188"/>
      <c r="AP42" s="188"/>
      <c r="AQ42" s="188"/>
      <c r="AR42" s="188"/>
      <c r="AS42" s="188"/>
      <c r="AT42" s="265" t="s">
        <v>320</v>
      </c>
      <c r="AU42" s="220" t="s">
        <v>245</v>
      </c>
      <c r="AV42" s="206" t="s">
        <v>205</v>
      </c>
      <c r="AW42" s="188"/>
      <c r="AX42" s="188"/>
      <c r="AY42" s="188"/>
      <c r="AZ42" s="188"/>
      <c r="BA42" s="188"/>
      <c r="BB42" s="229"/>
      <c r="BC42" s="188"/>
      <c r="BD42" s="265" t="s">
        <v>294</v>
      </c>
      <c r="BE42" s="214" t="s">
        <v>245</v>
      </c>
      <c r="BF42" s="206" t="s">
        <v>222</v>
      </c>
      <c r="BG42" s="206" t="s">
        <v>588</v>
      </c>
      <c r="BH42" s="188"/>
      <c r="BI42" s="188"/>
      <c r="BJ42" s="188"/>
      <c r="BK42" s="188"/>
      <c r="BL42" s="188"/>
      <c r="BM42" s="197" t="s">
        <v>85</v>
      </c>
      <c r="BN42" s="271" t="s">
        <v>266</v>
      </c>
      <c r="BO42" s="218"/>
    </row>
    <row r="43" spans="1:67" s="73" customFormat="1" ht="279.95" customHeight="1" thickBot="1" x14ac:dyDescent="0.35">
      <c r="A43" s="78"/>
      <c r="B43" s="78"/>
      <c r="E43" s="48"/>
      <c r="F43" s="48"/>
      <c r="G43" s="88"/>
      <c r="H43" s="31"/>
      <c r="I43" s="31"/>
      <c r="J43" s="30"/>
      <c r="K43" s="82"/>
      <c r="L43" s="31"/>
      <c r="M43" s="31"/>
      <c r="N43" s="81"/>
      <c r="O43" s="353"/>
      <c r="P43" s="345"/>
      <c r="Q43" s="89"/>
      <c r="R43" s="89"/>
      <c r="S43" s="89"/>
      <c r="V43" s="85"/>
      <c r="W43" s="51"/>
      <c r="X43" s="14"/>
      <c r="Y43" s="14"/>
      <c r="Z43" s="35"/>
      <c r="AA43" s="220"/>
      <c r="AB43" s="189"/>
      <c r="AC43" s="189"/>
      <c r="AD43" s="189"/>
      <c r="AE43" s="189"/>
      <c r="AF43" s="189"/>
      <c r="AG43" s="189"/>
      <c r="AH43" s="189"/>
      <c r="AI43" s="189"/>
      <c r="AJ43" s="265"/>
      <c r="AK43" s="220"/>
      <c r="AL43" s="234" t="s">
        <v>544</v>
      </c>
      <c r="AM43" s="234" t="s">
        <v>545</v>
      </c>
      <c r="AN43" s="207" t="s">
        <v>615</v>
      </c>
      <c r="AO43" s="189"/>
      <c r="AP43" s="234" t="s">
        <v>546</v>
      </c>
      <c r="AQ43" s="234" t="s">
        <v>468</v>
      </c>
      <c r="AR43" s="234" t="s">
        <v>469</v>
      </c>
      <c r="AS43" s="234" t="s">
        <v>470</v>
      </c>
      <c r="AT43" s="265"/>
      <c r="AU43" s="220"/>
      <c r="AV43" s="207" t="s">
        <v>128</v>
      </c>
      <c r="AW43" s="205" t="s">
        <v>650</v>
      </c>
      <c r="AX43" s="189"/>
      <c r="AY43" s="207" t="s">
        <v>636</v>
      </c>
      <c r="AZ43" s="196" t="s">
        <v>191</v>
      </c>
      <c r="BA43" s="205" t="s">
        <v>621</v>
      </c>
      <c r="BB43" s="196" t="s">
        <v>185</v>
      </c>
      <c r="BC43" s="207" t="s">
        <v>619</v>
      </c>
      <c r="BD43" s="265"/>
      <c r="BE43" s="214"/>
      <c r="BF43" s="207" t="s">
        <v>429</v>
      </c>
      <c r="BG43" s="207" t="s">
        <v>593</v>
      </c>
      <c r="BH43" s="189"/>
      <c r="BI43" s="207" t="s">
        <v>428</v>
      </c>
      <c r="BJ43" s="196" t="s">
        <v>82</v>
      </c>
      <c r="BK43" s="196" t="s">
        <v>233</v>
      </c>
      <c r="BL43" s="205" t="s">
        <v>673</v>
      </c>
      <c r="BM43" s="196" t="s">
        <v>79</v>
      </c>
      <c r="BN43" s="271"/>
      <c r="BO43" s="218"/>
    </row>
    <row r="44" spans="1:67" s="73" customFormat="1" ht="279.95" customHeight="1" x14ac:dyDescent="0.3">
      <c r="A44" s="78"/>
      <c r="B44" s="78"/>
      <c r="E44" s="346" t="s">
        <v>34</v>
      </c>
      <c r="F44" s="347"/>
      <c r="G44" s="350" t="s">
        <v>35</v>
      </c>
      <c r="H44" s="31"/>
      <c r="I44" s="31"/>
      <c r="J44" s="30"/>
      <c r="K44" s="82"/>
      <c r="L44" s="31"/>
      <c r="M44" s="31"/>
      <c r="N44" s="81"/>
      <c r="O44" s="353"/>
      <c r="P44" s="345"/>
      <c r="Q44" s="89"/>
      <c r="R44" s="89"/>
      <c r="S44" s="89"/>
      <c r="U44" s="40"/>
      <c r="V44" s="85"/>
      <c r="W44" s="51"/>
      <c r="X44" s="14"/>
      <c r="Y44" s="14"/>
      <c r="Z44" s="35"/>
      <c r="AA44" s="221" t="s">
        <v>245</v>
      </c>
      <c r="AB44" s="203"/>
      <c r="AC44" s="203"/>
      <c r="AD44" s="203"/>
      <c r="AE44" s="203"/>
      <c r="AF44" s="203"/>
      <c r="AG44" s="203"/>
      <c r="AH44" s="203"/>
      <c r="AI44" s="203"/>
      <c r="AJ44" s="266" t="s">
        <v>504</v>
      </c>
      <c r="AK44" s="221" t="s">
        <v>245</v>
      </c>
      <c r="AL44" s="203"/>
      <c r="AM44" s="203"/>
      <c r="AN44" s="203"/>
      <c r="AO44" s="203"/>
      <c r="AP44" s="203"/>
      <c r="AQ44" s="203"/>
      <c r="AR44" s="203"/>
      <c r="AS44" s="203"/>
      <c r="AT44" s="266" t="s">
        <v>321</v>
      </c>
      <c r="AU44" s="221" t="s">
        <v>245</v>
      </c>
      <c r="AV44" s="206" t="s">
        <v>179</v>
      </c>
      <c r="AW44" s="203"/>
      <c r="AX44" s="203"/>
      <c r="AY44" s="203"/>
      <c r="AZ44" s="203"/>
      <c r="BA44" s="203"/>
      <c r="BB44" s="203"/>
      <c r="BC44" s="203"/>
      <c r="BD44" s="266" t="s">
        <v>295</v>
      </c>
      <c r="BE44" s="215" t="s">
        <v>245</v>
      </c>
      <c r="BF44" s="206" t="s">
        <v>238</v>
      </c>
      <c r="BG44" s="203"/>
      <c r="BH44" s="203"/>
      <c r="BI44" s="203"/>
      <c r="BJ44" s="197" t="s">
        <v>69</v>
      </c>
      <c r="BK44" s="197" t="s">
        <v>512</v>
      </c>
      <c r="BL44" s="203"/>
      <c r="BM44" s="197" t="s">
        <v>360</v>
      </c>
      <c r="BN44" s="272" t="s">
        <v>267</v>
      </c>
      <c r="BO44" s="218"/>
    </row>
    <row r="45" spans="1:67" s="73" customFormat="1" ht="279.95" customHeight="1" thickBot="1" x14ac:dyDescent="0.35">
      <c r="A45" s="78"/>
      <c r="B45" s="78"/>
      <c r="E45" s="348"/>
      <c r="F45" s="349"/>
      <c r="G45" s="351"/>
      <c r="H45" s="31"/>
      <c r="I45" s="31"/>
      <c r="J45" s="30"/>
      <c r="K45" s="82"/>
      <c r="L45" s="31"/>
      <c r="M45" s="31"/>
      <c r="N45" s="81"/>
      <c r="O45" s="90"/>
      <c r="P45" s="13"/>
      <c r="Q45" s="13"/>
      <c r="R45" s="13"/>
      <c r="S45" s="13"/>
      <c r="U45" s="40"/>
      <c r="V45" s="85"/>
      <c r="X45" s="14"/>
      <c r="Y45" s="14"/>
      <c r="Z45" s="35"/>
      <c r="AA45" s="221"/>
      <c r="AB45" s="202"/>
      <c r="AC45" s="202"/>
      <c r="AD45" s="202"/>
      <c r="AE45" s="202"/>
      <c r="AF45" s="202"/>
      <c r="AG45" s="202"/>
      <c r="AH45" s="202"/>
      <c r="AI45" s="202"/>
      <c r="AJ45" s="266"/>
      <c r="AK45" s="221"/>
      <c r="AL45" s="234" t="s">
        <v>541</v>
      </c>
      <c r="AM45" s="234" t="s">
        <v>542</v>
      </c>
      <c r="AN45" s="205" t="s">
        <v>543</v>
      </c>
      <c r="AO45" s="202"/>
      <c r="AP45" s="205" t="s">
        <v>597</v>
      </c>
      <c r="AQ45" s="234" t="s">
        <v>471</v>
      </c>
      <c r="AR45" s="234" t="s">
        <v>472</v>
      </c>
      <c r="AS45" s="202"/>
      <c r="AT45" s="266"/>
      <c r="AU45" s="221"/>
      <c r="AV45" s="207" t="s">
        <v>536</v>
      </c>
      <c r="AW45" s="205" t="s">
        <v>646</v>
      </c>
      <c r="AX45" s="202"/>
      <c r="AY45" s="196" t="s">
        <v>131</v>
      </c>
      <c r="AZ45" s="207" t="s">
        <v>206</v>
      </c>
      <c r="BA45" s="196" t="s">
        <v>132</v>
      </c>
      <c r="BB45" s="207" t="s">
        <v>620</v>
      </c>
      <c r="BC45" s="233" t="s">
        <v>635</v>
      </c>
      <c r="BD45" s="266"/>
      <c r="BE45" s="215"/>
      <c r="BF45" s="233" t="s">
        <v>435</v>
      </c>
      <c r="BG45" s="233" t="s">
        <v>434</v>
      </c>
      <c r="BH45" s="202"/>
      <c r="BI45" s="205" t="s">
        <v>680</v>
      </c>
      <c r="BJ45" s="196" t="s">
        <v>513</v>
      </c>
      <c r="BK45" s="228" t="s">
        <v>196</v>
      </c>
      <c r="BL45" s="196" t="s">
        <v>77</v>
      </c>
      <c r="BM45" s="196" t="s">
        <v>359</v>
      </c>
      <c r="BN45" s="272"/>
      <c r="BO45" s="218"/>
    </row>
    <row r="46" spans="1:67" s="73" customFormat="1" ht="279.95" customHeight="1" x14ac:dyDescent="0.3">
      <c r="A46" s="78"/>
      <c r="B46" s="78"/>
      <c r="E46" s="30"/>
      <c r="F46" s="31"/>
      <c r="G46" s="82"/>
      <c r="H46" s="31"/>
      <c r="I46" s="31"/>
      <c r="J46" s="30"/>
      <c r="K46" s="82"/>
      <c r="L46" s="31"/>
      <c r="M46" s="31"/>
      <c r="N46" s="81"/>
      <c r="O46" s="90"/>
      <c r="P46" s="13"/>
      <c r="Q46" s="13"/>
      <c r="R46" s="13"/>
      <c r="S46" s="13"/>
      <c r="T46" s="14"/>
      <c r="U46" s="84"/>
      <c r="V46" s="85"/>
      <c r="W46" s="51"/>
      <c r="X46" s="14"/>
      <c r="Y46" s="14"/>
      <c r="Z46" s="35"/>
      <c r="AA46" s="220" t="s">
        <v>245</v>
      </c>
      <c r="AB46" s="188"/>
      <c r="AC46" s="188"/>
      <c r="AD46" s="188"/>
      <c r="AE46" s="188"/>
      <c r="AF46" s="188"/>
      <c r="AG46" s="188"/>
      <c r="AH46" s="188"/>
      <c r="AI46" s="188"/>
      <c r="AJ46" s="265" t="s">
        <v>505</v>
      </c>
      <c r="AK46" s="220" t="s">
        <v>245</v>
      </c>
      <c r="AL46" s="188"/>
      <c r="AM46" s="188"/>
      <c r="AN46" s="188"/>
      <c r="AO46" s="188"/>
      <c r="AP46" s="188"/>
      <c r="AQ46" s="188"/>
      <c r="AR46" s="188"/>
      <c r="AS46" s="188"/>
      <c r="AT46" s="265" t="s">
        <v>322</v>
      </c>
      <c r="AU46" s="220" t="s">
        <v>245</v>
      </c>
      <c r="AV46" s="188"/>
      <c r="AW46" s="188"/>
      <c r="AX46" s="188"/>
      <c r="AY46" s="188"/>
      <c r="AZ46" s="188"/>
      <c r="BA46" s="188"/>
      <c r="BB46" s="188"/>
      <c r="BC46" s="188"/>
      <c r="BD46" s="265" t="s">
        <v>296</v>
      </c>
      <c r="BE46" s="214" t="s">
        <v>245</v>
      </c>
      <c r="BF46" s="188"/>
      <c r="BH46" s="188"/>
      <c r="BI46" s="188"/>
      <c r="BJ46" s="197" t="s">
        <v>84</v>
      </c>
      <c r="BK46" s="188"/>
      <c r="BL46" s="188"/>
      <c r="BM46" s="197" t="s">
        <v>78</v>
      </c>
      <c r="BN46" s="271" t="s">
        <v>268</v>
      </c>
      <c r="BO46" s="218"/>
    </row>
    <row r="47" spans="1:67" ht="279.95" customHeight="1" thickBot="1" x14ac:dyDescent="0.35">
      <c r="A47" s="78"/>
      <c r="B47" s="78"/>
      <c r="C47" s="73"/>
      <c r="D47" s="73"/>
      <c r="E47" s="30"/>
      <c r="F47" s="31"/>
      <c r="G47" s="82"/>
      <c r="H47" s="31"/>
      <c r="I47" s="31"/>
      <c r="J47" s="30"/>
      <c r="K47" s="82"/>
      <c r="L47" s="31"/>
      <c r="M47" s="31"/>
      <c r="N47" s="81"/>
      <c r="O47" s="30"/>
      <c r="P47" s="92"/>
      <c r="Q47" s="92"/>
      <c r="R47" s="92"/>
      <c r="S47" s="92"/>
      <c r="T47" s="44"/>
      <c r="U47" s="93"/>
      <c r="V47" s="36"/>
      <c r="W47" s="51"/>
      <c r="X47" s="14"/>
      <c r="Y47" s="14"/>
      <c r="Z47" s="35"/>
      <c r="AA47" s="220"/>
      <c r="AB47" s="189"/>
      <c r="AC47" s="189"/>
      <c r="AD47" s="189"/>
      <c r="AE47" s="189"/>
      <c r="AF47" s="189"/>
      <c r="AG47" s="189"/>
      <c r="AH47" s="189"/>
      <c r="AI47" s="189"/>
      <c r="AJ47" s="265"/>
      <c r="AK47" s="220"/>
      <c r="AL47" s="189"/>
      <c r="AM47" s="234" t="s">
        <v>540</v>
      </c>
      <c r="AN47" s="189"/>
      <c r="AO47" s="189"/>
      <c r="AP47" s="189"/>
      <c r="AQ47" s="189"/>
      <c r="AR47" s="189"/>
      <c r="AS47" s="189"/>
      <c r="AT47" s="265"/>
      <c r="AU47" s="220"/>
      <c r="AV47" s="233" t="s">
        <v>394</v>
      </c>
      <c r="AW47" s="207" t="s">
        <v>387</v>
      </c>
      <c r="AX47" s="189"/>
      <c r="AY47" s="207" t="s">
        <v>207</v>
      </c>
      <c r="AZ47" s="196" t="s">
        <v>134</v>
      </c>
      <c r="BA47" s="189"/>
      <c r="BB47" s="207" t="s">
        <v>397</v>
      </c>
      <c r="BC47" s="196" t="s">
        <v>135</v>
      </c>
      <c r="BD47" s="265"/>
      <c r="BE47" s="214"/>
      <c r="BF47" s="207" t="s">
        <v>430</v>
      </c>
      <c r="BG47" s="207" t="s">
        <v>223</v>
      </c>
      <c r="BH47" s="189"/>
      <c r="BI47" s="189"/>
      <c r="BJ47" s="228" t="s">
        <v>110</v>
      </c>
      <c r="BK47" s="258"/>
      <c r="BL47" s="189" t="s">
        <v>80</v>
      </c>
      <c r="BM47" s="228" t="s">
        <v>232</v>
      </c>
      <c r="BN47" s="271"/>
      <c r="BO47" s="217"/>
    </row>
    <row r="48" spans="1:67" ht="279.95" customHeight="1" x14ac:dyDescent="0.3">
      <c r="A48" s="78"/>
      <c r="B48" s="78"/>
      <c r="C48" s="73"/>
      <c r="D48" s="73"/>
      <c r="E48" s="30"/>
      <c r="F48" s="31"/>
      <c r="G48" s="82"/>
      <c r="H48" s="31"/>
      <c r="I48" s="31"/>
      <c r="J48" s="30"/>
      <c r="K48" s="82"/>
      <c r="L48" s="31"/>
      <c r="M48" s="31"/>
      <c r="N48" s="81"/>
      <c r="O48" s="358" t="s">
        <v>36</v>
      </c>
      <c r="P48" s="358"/>
      <c r="Q48" s="358"/>
      <c r="R48" s="358"/>
      <c r="S48" s="358"/>
      <c r="T48" s="358"/>
      <c r="U48" s="359"/>
      <c r="V48" s="36"/>
      <c r="W48" s="51"/>
      <c r="X48" s="14"/>
      <c r="Y48" s="14"/>
      <c r="Z48" s="35"/>
      <c r="AA48" s="221" t="s">
        <v>245</v>
      </c>
      <c r="AB48" s="203"/>
      <c r="AC48" s="203"/>
      <c r="AD48" s="203"/>
      <c r="AE48" s="203"/>
      <c r="AF48" s="203"/>
      <c r="AG48" s="203"/>
      <c r="AH48" s="203"/>
      <c r="AI48" s="203"/>
      <c r="AJ48" s="266" t="s">
        <v>506</v>
      </c>
      <c r="AK48" s="221" t="s">
        <v>245</v>
      </c>
      <c r="AL48" s="203"/>
      <c r="AM48" s="203"/>
      <c r="AN48" s="203"/>
      <c r="AO48" s="203"/>
      <c r="AP48" s="203"/>
      <c r="AQ48" s="203"/>
      <c r="AR48" s="203"/>
      <c r="AS48" s="203"/>
      <c r="AT48" s="266" t="s">
        <v>323</v>
      </c>
      <c r="AU48" s="221" t="s">
        <v>245</v>
      </c>
      <c r="AV48" s="197" t="s">
        <v>473</v>
      </c>
      <c r="AW48" s="203"/>
      <c r="AX48" s="203"/>
      <c r="AY48" s="203"/>
      <c r="AZ48" s="203"/>
      <c r="BA48" s="203"/>
      <c r="BB48" s="203"/>
      <c r="BC48" s="203"/>
      <c r="BD48" s="266" t="s">
        <v>297</v>
      </c>
      <c r="BE48" s="215" t="s">
        <v>245</v>
      </c>
      <c r="BF48" s="203"/>
      <c r="BG48" s="203"/>
      <c r="BH48" s="203"/>
      <c r="BI48" s="203"/>
      <c r="BJ48" s="203"/>
      <c r="BK48" s="197" t="s">
        <v>74</v>
      </c>
      <c r="BL48" s="203"/>
      <c r="BM48" s="197" t="s">
        <v>357</v>
      </c>
      <c r="BN48" s="272" t="s">
        <v>269</v>
      </c>
      <c r="BO48" s="217"/>
    </row>
    <row r="49" spans="1:77" ht="279.95" customHeight="1" thickBot="1" x14ac:dyDescent="0.35">
      <c r="A49" s="78"/>
      <c r="B49" s="78"/>
      <c r="E49" s="30"/>
      <c r="F49" s="31"/>
      <c r="G49" s="82"/>
      <c r="H49" s="31"/>
      <c r="I49" s="31"/>
      <c r="J49" s="30"/>
      <c r="K49" s="82"/>
      <c r="L49" s="31"/>
      <c r="M49" s="31"/>
      <c r="N49" s="33"/>
      <c r="O49" s="360"/>
      <c r="P49" s="360"/>
      <c r="Q49" s="360"/>
      <c r="R49" s="360"/>
      <c r="S49" s="360"/>
      <c r="T49" s="360"/>
      <c r="U49" s="361"/>
      <c r="V49" s="36"/>
      <c r="W49" s="14"/>
      <c r="X49" s="14"/>
      <c r="Y49" s="14"/>
      <c r="Z49" s="35"/>
      <c r="AA49" s="221"/>
      <c r="AB49" s="202"/>
      <c r="AC49" s="202"/>
      <c r="AD49" s="202"/>
      <c r="AE49" s="202"/>
      <c r="AF49" s="202"/>
      <c r="AG49" s="202"/>
      <c r="AH49" s="202"/>
      <c r="AI49" s="202"/>
      <c r="AJ49" s="266"/>
      <c r="AK49" s="221"/>
      <c r="AL49" s="202"/>
      <c r="AM49" s="234" t="s">
        <v>539</v>
      </c>
      <c r="AN49" s="202"/>
      <c r="AO49" s="202"/>
      <c r="AP49" s="202"/>
      <c r="AQ49" s="202"/>
      <c r="AR49" s="202"/>
      <c r="AS49" s="202"/>
      <c r="AT49" s="266"/>
      <c r="AU49" s="221"/>
      <c r="AV49" s="196" t="s">
        <v>474</v>
      </c>
      <c r="AW49" s="196" t="s">
        <v>127</v>
      </c>
      <c r="AX49" s="202"/>
      <c r="AY49" s="205" t="s">
        <v>651</v>
      </c>
      <c r="AZ49" s="196" t="s">
        <v>210</v>
      </c>
      <c r="BA49" s="202"/>
      <c r="BB49" s="196" t="s">
        <v>211</v>
      </c>
      <c r="BC49" s="196" t="s">
        <v>212</v>
      </c>
      <c r="BD49" s="266"/>
      <c r="BE49" s="215"/>
      <c r="BF49" s="207" t="s">
        <v>606</v>
      </c>
      <c r="BG49" s="207" t="s">
        <v>607</v>
      </c>
      <c r="BH49" s="202"/>
      <c r="BI49" s="202"/>
      <c r="BJ49" s="205" t="s">
        <v>613</v>
      </c>
      <c r="BK49" s="196" t="s">
        <v>83</v>
      </c>
      <c r="BL49" s="202"/>
      <c r="BM49" s="228" t="s">
        <v>231</v>
      </c>
      <c r="BN49" s="272"/>
      <c r="BO49" s="217"/>
    </row>
    <row r="50" spans="1:77" ht="279.95" customHeight="1" thickBot="1" x14ac:dyDescent="0.35">
      <c r="A50" s="79"/>
      <c r="B50" s="79"/>
      <c r="E50" s="280" t="s">
        <v>37</v>
      </c>
      <c r="F50" s="282"/>
      <c r="G50" s="281"/>
      <c r="H50" s="31"/>
      <c r="I50" s="31"/>
      <c r="J50" s="30"/>
      <c r="K50" s="82"/>
      <c r="L50" s="31"/>
      <c r="M50" s="31"/>
      <c r="N50" s="33"/>
      <c r="O50" s="360"/>
      <c r="P50" s="360"/>
      <c r="Q50" s="360"/>
      <c r="R50" s="360"/>
      <c r="S50" s="360"/>
      <c r="T50" s="360"/>
      <c r="U50" s="361"/>
      <c r="V50" s="36"/>
      <c r="W50" s="14"/>
      <c r="X50" s="14"/>
      <c r="Y50" s="14"/>
      <c r="Z50" s="14"/>
      <c r="AA50" s="10"/>
      <c r="AB50" s="5" t="s">
        <v>489</v>
      </c>
      <c r="AC50" s="5" t="s">
        <v>490</v>
      </c>
      <c r="AD50" s="5" t="s">
        <v>491</v>
      </c>
      <c r="AE50" s="5" t="s">
        <v>492</v>
      </c>
      <c r="AF50" s="5" t="s">
        <v>493</v>
      </c>
      <c r="AG50" s="5" t="s">
        <v>496</v>
      </c>
      <c r="AH50" s="5" t="s">
        <v>494</v>
      </c>
      <c r="AI50" s="5" t="s">
        <v>495</v>
      </c>
      <c r="AJ50" s="17"/>
      <c r="AK50" s="220" t="s">
        <v>245</v>
      </c>
      <c r="AL50" s="188"/>
      <c r="AM50" s="188"/>
      <c r="AN50" s="188"/>
      <c r="AO50" s="188"/>
      <c r="AP50" s="188"/>
      <c r="AQ50" s="188"/>
      <c r="AR50" s="188"/>
      <c r="AS50" s="188"/>
      <c r="AT50" s="265" t="s">
        <v>596</v>
      </c>
      <c r="AU50" s="220" t="s">
        <v>245</v>
      </c>
      <c r="AV50" s="188"/>
      <c r="AW50" s="188"/>
      <c r="AX50" s="188"/>
      <c r="AY50" s="197" t="s">
        <v>617</v>
      </c>
      <c r="AZ50" s="188"/>
      <c r="BA50" s="188"/>
      <c r="BB50" s="188"/>
      <c r="BC50" s="188"/>
      <c r="BD50" s="265" t="s">
        <v>298</v>
      </c>
      <c r="BE50" s="214" t="s">
        <v>245</v>
      </c>
      <c r="BF50" s="188"/>
      <c r="BG50" s="188"/>
      <c r="BH50" s="188"/>
      <c r="BI50" s="188"/>
      <c r="BJ50" s="188"/>
      <c r="BK50" s="188"/>
      <c r="BL50" s="197" t="s">
        <v>86</v>
      </c>
      <c r="BM50" s="188"/>
      <c r="BN50" s="271" t="s">
        <v>270</v>
      </c>
      <c r="BO50" s="217"/>
    </row>
    <row r="51" spans="1:77" ht="279.95" customHeight="1" thickBot="1" x14ac:dyDescent="0.35">
      <c r="A51" s="79"/>
      <c r="B51" s="79"/>
      <c r="E51" s="280"/>
      <c r="F51" s="282"/>
      <c r="G51" s="281"/>
      <c r="H51" s="31"/>
      <c r="I51" s="31"/>
      <c r="J51" s="30"/>
      <c r="K51" s="82"/>
      <c r="L51" s="31"/>
      <c r="M51" s="31"/>
      <c r="N51" s="33"/>
      <c r="O51" s="360"/>
      <c r="P51" s="360"/>
      <c r="Q51" s="360"/>
      <c r="R51" s="360"/>
      <c r="S51" s="360"/>
      <c r="T51" s="360"/>
      <c r="U51" s="361"/>
      <c r="V51" s="95"/>
      <c r="W51" s="14"/>
      <c r="X51" s="14"/>
      <c r="Y51" s="14"/>
      <c r="Z51" s="60"/>
      <c r="AA51" s="251" t="s">
        <v>240</v>
      </c>
      <c r="AB51" s="198" t="s">
        <v>509</v>
      </c>
      <c r="AC51" s="198" t="s">
        <v>241</v>
      </c>
      <c r="AD51" s="198" t="s">
        <v>242</v>
      </c>
      <c r="AE51" s="198" t="s">
        <v>243</v>
      </c>
      <c r="AF51" s="252" t="s">
        <v>239</v>
      </c>
      <c r="AG51" s="246" t="s">
        <v>354</v>
      </c>
      <c r="AH51" s="247" t="s">
        <v>355</v>
      </c>
      <c r="AI51" s="248" t="s">
        <v>356</v>
      </c>
      <c r="AJ51" s="231" t="s">
        <v>553</v>
      </c>
      <c r="AK51" s="220"/>
      <c r="AL51" s="189"/>
      <c r="AM51" s="205" t="s">
        <v>630</v>
      </c>
      <c r="AN51" s="207" t="s">
        <v>601</v>
      </c>
      <c r="AO51" s="205" t="s">
        <v>600</v>
      </c>
      <c r="AP51" s="189"/>
      <c r="AQ51" s="189"/>
      <c r="AR51" s="189"/>
      <c r="AS51" s="189"/>
      <c r="AT51" s="265"/>
      <c r="AU51" s="230"/>
      <c r="AV51" s="196" t="s">
        <v>208</v>
      </c>
      <c r="AW51" s="189"/>
      <c r="AX51" s="189"/>
      <c r="AY51" s="196" t="s">
        <v>137</v>
      </c>
      <c r="AZ51" s="207" t="s">
        <v>602</v>
      </c>
      <c r="BA51" s="189"/>
      <c r="BB51" s="196" t="s">
        <v>138</v>
      </c>
      <c r="BC51" s="189"/>
      <c r="BD51" s="265"/>
      <c r="BE51" s="214"/>
      <c r="BF51" s="207" t="s">
        <v>631</v>
      </c>
      <c r="BG51" s="207" t="s">
        <v>676</v>
      </c>
      <c r="BH51" s="189"/>
      <c r="BI51" s="189"/>
      <c r="BJ51" s="205" t="s">
        <v>677</v>
      </c>
      <c r="BK51" s="189"/>
      <c r="BL51" s="228" t="s">
        <v>87</v>
      </c>
      <c r="BM51" s="196" t="s">
        <v>230</v>
      </c>
      <c r="BN51" s="271"/>
      <c r="BO51" s="217"/>
    </row>
    <row r="52" spans="1:77" ht="279.95" customHeight="1" thickBot="1" x14ac:dyDescent="0.35">
      <c r="A52" s="79"/>
      <c r="B52" s="79"/>
      <c r="E52" s="280"/>
      <c r="F52" s="282"/>
      <c r="G52" s="281"/>
      <c r="H52" s="31"/>
      <c r="I52" s="31"/>
      <c r="J52" s="30"/>
      <c r="K52" s="82"/>
      <c r="L52" s="31"/>
      <c r="M52" s="31"/>
      <c r="N52" s="33"/>
      <c r="O52" s="360"/>
      <c r="P52" s="360"/>
      <c r="Q52" s="360"/>
      <c r="R52" s="360"/>
      <c r="S52" s="360"/>
      <c r="T52" s="360"/>
      <c r="U52" s="361"/>
      <c r="V52" s="36"/>
      <c r="W52" s="14"/>
      <c r="X52" s="14"/>
      <c r="Y52" s="14"/>
      <c r="Z52" s="51"/>
      <c r="AA52" s="253">
        <f>COUNTA(AV55:BE55)</f>
        <v>3</v>
      </c>
      <c r="AB52" s="195">
        <f>COUNTA(AB30:AI49,AB3:AI28)</f>
        <v>41</v>
      </c>
      <c r="AC52" s="195">
        <f>COUNTA(AL30:AS51,AL3:AS28)</f>
        <v>56</v>
      </c>
      <c r="AD52" s="195">
        <f>COUNTA(AV30:BC53,AV3:BC28)</f>
        <v>176</v>
      </c>
      <c r="AE52" s="195">
        <f>COUNTA(BF30:BM57,BF3:BM28)</f>
        <v>208</v>
      </c>
      <c r="AF52" s="232">
        <f>SUM(AA52:AE52)+AJ52</f>
        <v>613</v>
      </c>
      <c r="AG52" s="245">
        <f>COUNTIF( $AV$3:$BC$53,"*401*") + COUNTIF($AB$3:$AS$51,"*401*")+ COUNTIF($AV$55:$BD$55,"*401*") +COUNTIF($BF$3:$BM$57,"*401*") -1</f>
        <v>124</v>
      </c>
      <c r="AH52" s="244">
        <f>COUNTIF( $AV$3:$BC$53,"*402*") + COUNTIF($AB$3:$AS$51,"*402*")+ COUNTIF($AV$55:$BD$55,"*402*") +COUNTIF($BF$3:$BM$57,"*402*") -1</f>
        <v>136</v>
      </c>
      <c r="AI52" s="243">
        <f>COUNTIF( $AV$3:$BC$53,"*403*") + COUNTIF($AB$3:$AS$51,"*403*")+ COUNTIF($AV$55:$BD$55,"*403*") +COUNTIF($BF$3:$BM$57,"*403*") -1</f>
        <v>224</v>
      </c>
      <c r="AJ52" s="232">
        <f>14*9+3</f>
        <v>129</v>
      </c>
      <c r="AL52" s="5" t="s">
        <v>340</v>
      </c>
      <c r="AM52" s="5" t="s">
        <v>341</v>
      </c>
      <c r="AN52" s="5" t="s">
        <v>342</v>
      </c>
      <c r="AO52" s="5" t="s">
        <v>343</v>
      </c>
      <c r="AP52" s="5" t="s">
        <v>344</v>
      </c>
      <c r="AQ52" s="5" t="s">
        <v>345</v>
      </c>
      <c r="AR52" s="5" t="s">
        <v>346</v>
      </c>
      <c r="AS52" s="5" t="s">
        <v>347</v>
      </c>
      <c r="AU52" s="227" t="s">
        <v>245</v>
      </c>
      <c r="AV52" s="203"/>
      <c r="AW52" s="203"/>
      <c r="AX52" s="203"/>
      <c r="AY52" s="203"/>
      <c r="AZ52" s="203"/>
      <c r="BA52" s="203"/>
      <c r="BB52" s="203"/>
      <c r="BC52" s="203"/>
      <c r="BD52" s="266" t="s">
        <v>299</v>
      </c>
      <c r="BE52" s="215" t="s">
        <v>245</v>
      </c>
      <c r="BF52" s="206" t="s">
        <v>219</v>
      </c>
      <c r="BG52" s="206" t="s">
        <v>218</v>
      </c>
      <c r="BH52" s="203"/>
      <c r="BI52" s="203"/>
      <c r="BJ52" s="203"/>
      <c r="BK52" s="203"/>
      <c r="BL52" s="203"/>
      <c r="BM52" s="203"/>
      <c r="BN52" s="272" t="s">
        <v>271</v>
      </c>
      <c r="BO52" s="217"/>
    </row>
    <row r="53" spans="1:77" ht="279.95" customHeight="1" thickBot="1" x14ac:dyDescent="0.35">
      <c r="A53" s="96"/>
      <c r="B53" s="96"/>
      <c r="E53" s="280"/>
      <c r="F53" s="282"/>
      <c r="G53" s="281"/>
      <c r="H53" s="31"/>
      <c r="I53" s="31"/>
      <c r="J53" s="30"/>
      <c r="K53" s="82"/>
      <c r="L53" s="31"/>
      <c r="M53" s="31"/>
      <c r="N53" s="33"/>
      <c r="O53" s="360"/>
      <c r="P53" s="360"/>
      <c r="Q53" s="360"/>
      <c r="R53" s="360"/>
      <c r="S53" s="360"/>
      <c r="T53" s="360"/>
      <c r="U53" s="361"/>
      <c r="V53" s="36"/>
      <c r="W53" s="14"/>
      <c r="X53" s="14"/>
      <c r="Y53" s="14"/>
      <c r="Z53" s="14"/>
      <c r="AS53" s="4"/>
      <c r="AT53" s="4"/>
      <c r="AU53" s="227"/>
      <c r="AV53" s="202"/>
      <c r="AW53" s="202"/>
      <c r="AX53" s="202"/>
      <c r="AY53" s="202"/>
      <c r="AZ53" s="202"/>
      <c r="BA53" s="202"/>
      <c r="BB53" s="202"/>
      <c r="BC53" s="196" t="s">
        <v>217</v>
      </c>
      <c r="BD53" s="266"/>
      <c r="BE53" s="215"/>
      <c r="BF53" s="207" t="s">
        <v>213</v>
      </c>
      <c r="BG53" s="207" t="s">
        <v>214</v>
      </c>
      <c r="BH53" s="205" t="s">
        <v>674</v>
      </c>
      <c r="BI53" s="202"/>
      <c r="BJ53" s="202"/>
      <c r="BK53" s="207" t="s">
        <v>228</v>
      </c>
      <c r="BL53" s="196" t="s">
        <v>229</v>
      </c>
      <c r="BM53" s="205" t="s">
        <v>681</v>
      </c>
      <c r="BN53" s="272"/>
      <c r="BO53" s="217"/>
    </row>
    <row r="54" spans="1:77" ht="279.95" customHeight="1" thickBot="1" x14ac:dyDescent="0.35">
      <c r="A54" s="96"/>
      <c r="B54" s="96"/>
      <c r="E54" s="280"/>
      <c r="F54" s="282"/>
      <c r="G54" s="281"/>
      <c r="H54" s="31"/>
      <c r="I54" s="31"/>
      <c r="J54" s="30"/>
      <c r="K54" s="82"/>
      <c r="L54" s="31"/>
      <c r="M54" s="31"/>
      <c r="N54" s="33"/>
      <c r="O54" s="360"/>
      <c r="P54" s="360"/>
      <c r="Q54" s="360"/>
      <c r="R54" s="360"/>
      <c r="S54" s="360"/>
      <c r="T54" s="360"/>
      <c r="U54" s="361"/>
      <c r="V54" s="36"/>
      <c r="W54" s="14"/>
      <c r="X54" s="14"/>
      <c r="Y54" s="14"/>
      <c r="Z54" s="14"/>
      <c r="AK54" s="5"/>
      <c r="AL54" s="5"/>
      <c r="AM54" s="5"/>
      <c r="AN54" s="5"/>
      <c r="AP54" s="5"/>
      <c r="AQ54" s="5"/>
      <c r="AR54" s="226"/>
      <c r="AS54" s="226"/>
      <c r="AT54" s="226"/>
      <c r="AU54" s="191"/>
      <c r="AV54" s="5" t="s">
        <v>332</v>
      </c>
      <c r="AW54" s="5" t="s">
        <v>333</v>
      </c>
      <c r="AX54" s="5" t="s">
        <v>334</v>
      </c>
      <c r="AY54" s="5" t="s">
        <v>335</v>
      </c>
      <c r="AZ54" s="5" t="s">
        <v>336</v>
      </c>
      <c r="BA54" s="5" t="s">
        <v>337</v>
      </c>
      <c r="BB54" s="5" t="s">
        <v>338</v>
      </c>
      <c r="BC54" s="5" t="s">
        <v>339</v>
      </c>
      <c r="BD54" s="211"/>
      <c r="BE54" s="214" t="s">
        <v>46</v>
      </c>
      <c r="BF54" s="206" t="s">
        <v>215</v>
      </c>
      <c r="BG54" s="206" t="s">
        <v>220</v>
      </c>
      <c r="BH54" s="188"/>
      <c r="BI54" s="188"/>
      <c r="BJ54" s="188"/>
      <c r="BK54" s="188"/>
      <c r="BL54" s="188"/>
      <c r="BM54" s="188"/>
      <c r="BN54" s="271" t="s">
        <v>272</v>
      </c>
      <c r="BO54" s="218"/>
      <c r="BP54" s="73"/>
      <c r="BQ54" s="73"/>
      <c r="BR54" s="73"/>
      <c r="BS54" s="73"/>
      <c r="BT54" s="73"/>
      <c r="BU54" s="73"/>
      <c r="BV54" s="73"/>
      <c r="BW54" s="73"/>
      <c r="BX54" s="73"/>
      <c r="BY54" s="73"/>
    </row>
    <row r="55" spans="1:77" ht="279.95" customHeight="1" thickBot="1" x14ac:dyDescent="0.35">
      <c r="A55" s="96"/>
      <c r="B55" s="96"/>
      <c r="E55" s="280"/>
      <c r="F55" s="282"/>
      <c r="G55" s="281"/>
      <c r="H55" s="31"/>
      <c r="I55" s="31"/>
      <c r="J55" s="30"/>
      <c r="K55" s="82"/>
      <c r="L55" s="31"/>
      <c r="M55" s="31"/>
      <c r="N55" s="33"/>
      <c r="O55" s="360"/>
      <c r="P55" s="360"/>
      <c r="Q55" s="360"/>
      <c r="R55" s="360"/>
      <c r="S55" s="360"/>
      <c r="T55" s="360"/>
      <c r="U55" s="361"/>
      <c r="V55" s="36"/>
      <c r="W55" s="14"/>
      <c r="X55" s="14"/>
      <c r="Y55" s="14" t="s">
        <v>2</v>
      </c>
      <c r="Z55" s="14"/>
      <c r="AS55" s="4"/>
      <c r="AT55" s="190"/>
      <c r="AU55" s="192" t="s">
        <v>244</v>
      </c>
      <c r="AV55" s="260" t="s">
        <v>237</v>
      </c>
      <c r="AW55" s="242" t="s">
        <v>225</v>
      </c>
      <c r="AX55" s="257" t="s">
        <v>616</v>
      </c>
      <c r="AY55" s="193"/>
      <c r="AZ55" s="193"/>
      <c r="BA55" s="193"/>
      <c r="BB55" s="193"/>
      <c r="BC55" s="194"/>
      <c r="BD55" s="4"/>
      <c r="BE55" s="214"/>
      <c r="BF55" s="207" t="s">
        <v>216</v>
      </c>
      <c r="BG55" s="207" t="s">
        <v>433</v>
      </c>
      <c r="BH55" s="189"/>
      <c r="BI55" s="189"/>
      <c r="BJ55" s="189"/>
      <c r="BK55" s="189"/>
      <c r="BL55" s="189"/>
      <c r="BM55" s="189"/>
      <c r="BN55" s="271"/>
      <c r="BO55" s="217"/>
    </row>
    <row r="56" spans="1:77" ht="279.95" customHeight="1" x14ac:dyDescent="0.3">
      <c r="A56" s="96"/>
      <c r="B56" s="96"/>
      <c r="E56" s="280"/>
      <c r="F56" s="282"/>
      <c r="G56" s="281"/>
      <c r="H56" s="31"/>
      <c r="I56" s="31"/>
      <c r="J56" s="30"/>
      <c r="K56" s="82"/>
      <c r="L56" s="31"/>
      <c r="M56" s="31"/>
      <c r="N56" s="33"/>
      <c r="O56" s="360"/>
      <c r="P56" s="360"/>
      <c r="Q56" s="360"/>
      <c r="R56" s="360"/>
      <c r="S56" s="360"/>
      <c r="T56" s="360"/>
      <c r="U56" s="361"/>
      <c r="V56" s="36"/>
      <c r="W56" s="14"/>
      <c r="X56" s="14"/>
      <c r="Y56" s="14"/>
      <c r="Z56" s="14"/>
      <c r="AS56" s="4"/>
      <c r="AT56" s="190"/>
      <c r="BE56" s="215" t="s">
        <v>46</v>
      </c>
      <c r="BF56" s="206" t="s">
        <v>437</v>
      </c>
      <c r="BG56" s="203"/>
      <c r="BH56" s="203"/>
      <c r="BI56" s="203"/>
      <c r="BJ56" s="203"/>
      <c r="BK56" s="203"/>
      <c r="BL56" s="203"/>
      <c r="BM56" s="203"/>
      <c r="BN56" s="354" t="s">
        <v>273</v>
      </c>
      <c r="BO56" s="217"/>
    </row>
    <row r="57" spans="1:77" ht="279.95" customHeight="1" thickBot="1" x14ac:dyDescent="0.35">
      <c r="A57" s="96"/>
      <c r="B57" s="96"/>
      <c r="E57" s="283"/>
      <c r="F57" s="286"/>
      <c r="G57" s="284"/>
      <c r="H57" s="31"/>
      <c r="I57" s="31"/>
      <c r="J57" s="30"/>
      <c r="K57" s="82"/>
      <c r="L57" s="31"/>
      <c r="M57" s="31"/>
      <c r="N57" s="33"/>
      <c r="O57" s="362"/>
      <c r="P57" s="362"/>
      <c r="Q57" s="362"/>
      <c r="R57" s="362"/>
      <c r="S57" s="362"/>
      <c r="T57" s="362"/>
      <c r="U57" s="363"/>
      <c r="V57" s="36"/>
      <c r="W57" s="14"/>
      <c r="X57" s="14"/>
      <c r="Y57" s="14"/>
      <c r="Z57" s="14"/>
      <c r="AS57" s="4"/>
      <c r="AT57" s="190"/>
      <c r="BE57" s="215"/>
      <c r="BF57" s="207" t="s">
        <v>436</v>
      </c>
      <c r="BG57" s="202"/>
      <c r="BH57" s="202"/>
      <c r="BI57" s="202"/>
      <c r="BJ57" s="202"/>
      <c r="BK57" s="202"/>
      <c r="BL57" s="202"/>
      <c r="BM57" s="202"/>
      <c r="BN57" s="354"/>
      <c r="BO57" s="217"/>
    </row>
    <row r="58" spans="1:77" ht="279.75" customHeight="1" thickBot="1" x14ac:dyDescent="0.35">
      <c r="A58" s="96"/>
      <c r="B58" s="96"/>
      <c r="E58" s="24" t="s">
        <v>38</v>
      </c>
      <c r="F58" s="25"/>
      <c r="G58" s="80"/>
      <c r="H58" s="31"/>
      <c r="I58" s="31"/>
      <c r="J58" s="30"/>
      <c r="K58" s="82"/>
      <c r="L58" s="31"/>
      <c r="M58" s="31"/>
      <c r="N58" s="33"/>
      <c r="O58" s="420" t="s">
        <v>39</v>
      </c>
      <c r="P58" s="358"/>
      <c r="Q58" s="358"/>
      <c r="R58" s="358"/>
      <c r="S58" s="358"/>
      <c r="T58" s="358"/>
      <c r="U58" s="359"/>
      <c r="V58" s="36"/>
      <c r="W58" s="14"/>
      <c r="X58" s="14"/>
      <c r="Y58" s="14"/>
      <c r="Z58" s="14"/>
      <c r="AB58" s="37"/>
      <c r="AC58" s="37"/>
      <c r="AD58" s="37"/>
      <c r="AE58" s="100"/>
      <c r="AF58" s="100"/>
      <c r="AG58" s="37"/>
      <c r="AH58" s="37"/>
      <c r="AI58" s="104"/>
      <c r="AJ58" s="104"/>
      <c r="AK58" s="302" t="s">
        <v>8</v>
      </c>
      <c r="AL58" s="364"/>
      <c r="AM58" s="364"/>
      <c r="AN58" s="303"/>
      <c r="AO58" s="105"/>
      <c r="AP58" s="105"/>
      <c r="AQ58" s="105"/>
      <c r="AR58" s="105"/>
      <c r="BF58" s="5" t="s">
        <v>331</v>
      </c>
      <c r="BG58" s="5" t="s">
        <v>330</v>
      </c>
      <c r="BH58" s="5" t="s">
        <v>329</v>
      </c>
      <c r="BI58" s="5" t="s">
        <v>328</v>
      </c>
      <c r="BJ58" s="5" t="s">
        <v>327</v>
      </c>
      <c r="BK58" s="5" t="s">
        <v>326</v>
      </c>
      <c r="BL58" s="5" t="s">
        <v>325</v>
      </c>
      <c r="BM58" s="5" t="s">
        <v>324</v>
      </c>
    </row>
    <row r="59" spans="1:77" ht="137.25" customHeight="1" thickBot="1" x14ac:dyDescent="0.35">
      <c r="A59" s="97"/>
      <c r="B59" s="40"/>
      <c r="E59" s="30"/>
      <c r="F59" s="31"/>
      <c r="G59" s="82"/>
      <c r="H59" s="31"/>
      <c r="I59" s="31"/>
      <c r="J59" s="30"/>
      <c r="K59" s="82"/>
      <c r="L59" s="31"/>
      <c r="M59" s="31"/>
      <c r="N59" s="33"/>
      <c r="O59" s="421"/>
      <c r="P59" s="360"/>
      <c r="Q59" s="360"/>
      <c r="R59" s="360"/>
      <c r="S59" s="360"/>
      <c r="T59" s="360"/>
      <c r="U59" s="361"/>
      <c r="V59" s="36"/>
      <c r="W59" s="14"/>
      <c r="X59" s="14"/>
      <c r="Y59" s="14"/>
      <c r="Z59" s="35"/>
      <c r="AA59" s="11"/>
      <c r="AB59" s="37"/>
      <c r="AC59" s="37"/>
      <c r="AD59" s="37"/>
      <c r="AE59" s="94"/>
      <c r="AF59" s="94"/>
      <c r="AG59" s="94"/>
      <c r="AH59" s="98"/>
      <c r="AI59" s="94"/>
      <c r="AJ59" s="94"/>
      <c r="AK59" s="176"/>
      <c r="AL59" s="177"/>
      <c r="AM59" s="177"/>
      <c r="AN59" s="178"/>
      <c r="AO59" s="105"/>
      <c r="AP59" s="105"/>
      <c r="AQ59" s="184"/>
      <c r="AR59" s="182">
        <v>1</v>
      </c>
      <c r="AS59" s="182">
        <v>2</v>
      </c>
      <c r="AT59" s="182">
        <v>3</v>
      </c>
      <c r="AU59" s="183">
        <v>4</v>
      </c>
      <c r="AV59" s="183">
        <v>5</v>
      </c>
      <c r="AW59" s="183">
        <v>6</v>
      </c>
      <c r="AX59" s="182">
        <v>7</v>
      </c>
      <c r="AY59" s="182">
        <v>8</v>
      </c>
      <c r="AZ59" s="182">
        <v>9</v>
      </c>
      <c r="BA59" s="183">
        <v>10</v>
      </c>
      <c r="BB59" s="183">
        <v>11</v>
      </c>
      <c r="BC59" s="183">
        <v>12</v>
      </c>
      <c r="BD59" s="182">
        <v>13</v>
      </c>
      <c r="BE59" s="182">
        <v>14</v>
      </c>
      <c r="BF59" s="182">
        <v>15</v>
      </c>
      <c r="BG59" s="182">
        <v>16</v>
      </c>
      <c r="BH59" s="182">
        <v>17</v>
      </c>
      <c r="BI59" s="183">
        <v>18</v>
      </c>
      <c r="BJ59" s="183">
        <v>19</v>
      </c>
      <c r="BK59" s="183">
        <v>20</v>
      </c>
      <c r="BL59" s="182">
        <v>21</v>
      </c>
      <c r="BM59" s="182">
        <v>22</v>
      </c>
      <c r="BN59" s="185" t="s">
        <v>351</v>
      </c>
      <c r="BX59" s="4" t="s">
        <v>511</v>
      </c>
    </row>
    <row r="60" spans="1:77" ht="279.95" customHeight="1" thickBot="1" x14ac:dyDescent="0.35">
      <c r="A60" s="97"/>
      <c r="B60" s="40"/>
      <c r="E60" s="30"/>
      <c r="F60" s="31"/>
      <c r="G60" s="82"/>
      <c r="H60" s="31"/>
      <c r="I60" s="31"/>
      <c r="J60" s="30"/>
      <c r="K60" s="82"/>
      <c r="L60" s="31"/>
      <c r="M60" s="31"/>
      <c r="N60" s="33"/>
      <c r="O60" s="421"/>
      <c r="P60" s="360"/>
      <c r="Q60" s="360"/>
      <c r="R60" s="360"/>
      <c r="S60" s="360"/>
      <c r="T60" s="360"/>
      <c r="U60" s="361"/>
      <c r="V60" s="36"/>
      <c r="W60" s="14"/>
      <c r="X60" s="14"/>
      <c r="Y60" s="14"/>
      <c r="Z60" s="35"/>
      <c r="AA60" s="94"/>
      <c r="AB60" s="94"/>
      <c r="AC60" s="94"/>
      <c r="AD60" s="94"/>
      <c r="AE60" s="94"/>
      <c r="AF60" s="94"/>
      <c r="AG60" s="94"/>
      <c r="AH60" s="98"/>
      <c r="AI60" s="94"/>
      <c r="AJ60" s="94"/>
      <c r="AK60" s="179"/>
      <c r="AL60" s="180"/>
      <c r="AM60" s="180"/>
      <c r="AN60" s="181"/>
      <c r="AO60" s="105"/>
      <c r="AP60" s="105"/>
      <c r="AQ60" s="182">
        <v>401</v>
      </c>
      <c r="AR60" s="224">
        <f>COUNTIF($AB$3:$BC$55,"*401-1-*") + COUNTIF($BF$3:$BM$57,"*401-1-*")</f>
        <v>0</v>
      </c>
      <c r="AS60" s="224">
        <f>COUNTIF($AB$3:$BC$55,"*401-2-*") + COUNTIF($BF$3:$BM$57,"*401-2-*")</f>
        <v>0</v>
      </c>
      <c r="AT60" s="224">
        <f>COUNTIF($AB$3:$BC$55,"*401-3-*") + COUNTIF($BF$3:$BM$57,"*401-3-*")</f>
        <v>0</v>
      </c>
      <c r="AU60" s="224">
        <f>COUNTIF($AB$3:$BC$55,"*401-4-*") + COUNTIF($BF$3:$BM$57,"*401-4-*")</f>
        <v>0</v>
      </c>
      <c r="AV60" s="224">
        <f>COUNTIF($AB$3:$BC$55,"*401-5-*") + COUNTIF($BF$3:$BM$57,"*401-5-*")</f>
        <v>0</v>
      </c>
      <c r="AW60" s="224">
        <f>COUNTIF($AB$3:$BC$55,"*401-6-*") + COUNTIF($BF$3:$BM$57,"*401-6-*")</f>
        <v>0</v>
      </c>
      <c r="AX60" s="224">
        <f>COUNTIF($AB$3:$BC$55,"*401-7-*") + COUNTIF($BF$3:$BM$57,"*401-7-*")</f>
        <v>0</v>
      </c>
      <c r="AY60" s="224">
        <f>COUNTIF($AB$3:$BC$55,"*401-8-*") + COUNTIF($BF$3:$BM$57,"*401-8-*")</f>
        <v>0</v>
      </c>
      <c r="AZ60" s="224">
        <f>COUNTIF($AB$3:$BC$55,"*401-9-*") + COUNTIF($BF$3:$BM$57,"*401-9-*")</f>
        <v>0</v>
      </c>
      <c r="BA60" s="224">
        <f>COUNTIF($AB$3:$BC$55,"*401-10-*") + COUNTIF($BF$3:$BM$57,"*401-10-*")</f>
        <v>12</v>
      </c>
      <c r="BB60" s="224">
        <f>COUNTIF($AB$3:$BC$55,"*401-11-*") + COUNTIF($BF$3:$BM$57,"*401-11-*")</f>
        <v>14</v>
      </c>
      <c r="BC60" s="224">
        <f>COUNTIF($AB$3:$BC$55,"*401-12-*") + COUNTIF($BF$3:$BM$57,"*401-12-*")</f>
        <v>14</v>
      </c>
      <c r="BD60" s="224">
        <f>COUNTIF($AB$3:$BC$55,"*401-13-*") + COUNTIF($BF$3:$BM$57,"*401-13-*")</f>
        <v>14</v>
      </c>
      <c r="BE60" s="224">
        <f>COUNTIF($AB$3:$BC$55,"*401-14-*") + COUNTIF($BF$3:$BM$57,"*401-14-*")</f>
        <v>14</v>
      </c>
      <c r="BF60" s="224">
        <f>COUNTIF($AB$3:$BC$55,"*401-15-*") + COUNTIF($BF$3:$BM$57,"*401-15-*")</f>
        <v>14</v>
      </c>
      <c r="BG60" s="224">
        <f>COUNTIF($AB$3:$BC$55,"*401-16-*") + COUNTIF($BF$3:$BM$57,"*401-16-*")</f>
        <v>14</v>
      </c>
      <c r="BH60" s="224">
        <f>COUNTIF($AB$3:$BC$55,"*401-17-*") + COUNTIF($BF$3:$BM$57,"*401-17-*")</f>
        <v>14</v>
      </c>
      <c r="BI60" s="224">
        <f>COUNTIF($AB$3:$BC$55,"*401-18-*") + COUNTIF($BF$3:$BM$57,"*401-18-*")</f>
        <v>14</v>
      </c>
      <c r="BJ60" s="225">
        <f>COUNTIF($AB$3:$BC$55,"*401-19-*") + COUNTIF($BF$3:$BM$57,"*401-19-*")</f>
        <v>0</v>
      </c>
      <c r="BK60" s="225">
        <f>COUNTIF($AB$3:$BC$55,"*401-20-*") + COUNTIF($BF$3:$BM$57,"*401-20-*")</f>
        <v>0</v>
      </c>
      <c r="BL60" s="225">
        <f>COUNTIF($AB$3:$BC$55,"*401-21-*") + COUNTIF($BF$3:$BM$57,"*401-21-*")</f>
        <v>0</v>
      </c>
      <c r="BM60" s="225">
        <f>COUNTIF($AB$3:$BC$55,"*401-22-*") + COUNTIF($BF$3:$BM$57,"*401-22-*")</f>
        <v>0</v>
      </c>
      <c r="BN60" s="186">
        <f>SUM(AR60:BM60)/(14*18)</f>
        <v>0.49206349206349204</v>
      </c>
    </row>
    <row r="61" spans="1:77" ht="279.95" customHeight="1" x14ac:dyDescent="0.3">
      <c r="A61" s="97"/>
      <c r="B61" s="23"/>
      <c r="E61" s="30"/>
      <c r="F61" s="31"/>
      <c r="G61" s="82"/>
      <c r="H61" s="31"/>
      <c r="I61" s="31"/>
      <c r="J61" s="30"/>
      <c r="K61" s="82"/>
      <c r="L61" s="31"/>
      <c r="M61" s="31"/>
      <c r="N61" s="33"/>
      <c r="O61" s="421"/>
      <c r="P61" s="360"/>
      <c r="Q61" s="360"/>
      <c r="R61" s="360"/>
      <c r="S61" s="360"/>
      <c r="T61" s="360"/>
      <c r="U61" s="361"/>
      <c r="V61" s="36"/>
      <c r="W61" s="14"/>
      <c r="X61" s="14"/>
      <c r="Y61" s="14"/>
      <c r="Z61" s="35"/>
      <c r="AA61" s="94"/>
      <c r="AB61" s="70"/>
      <c r="AC61" s="106"/>
      <c r="AD61" s="94"/>
      <c r="AE61" s="94"/>
      <c r="AF61" s="94"/>
      <c r="AG61" s="94"/>
      <c r="AH61" s="98"/>
      <c r="AI61" s="107"/>
      <c r="AJ61" s="152"/>
      <c r="AK61" s="402" t="s">
        <v>9</v>
      </c>
      <c r="AL61" s="403"/>
      <c r="AM61" s="403"/>
      <c r="AN61" s="404"/>
      <c r="AO61" s="105"/>
      <c r="AP61" s="105"/>
      <c r="AQ61" s="182">
        <v>402</v>
      </c>
      <c r="AR61" s="209">
        <f>COUNTIF($AB$3:$BC$55,"*402-1-*") + COUNTIF($BF$3:$BM$57,"*402-1-*")</f>
        <v>14</v>
      </c>
      <c r="AS61" s="209">
        <f>COUNTIF($AB$3:$BC$55,"*402-2-*") + COUNTIF($BF$3:$BM$57,"*402-2-*")</f>
        <v>14</v>
      </c>
      <c r="AT61" s="209">
        <f>COUNTIF($AB$3:$BC$55,"*402-3-*") + COUNTIF($BF$3:$BM$57,"*402-3-*")</f>
        <v>14</v>
      </c>
      <c r="AU61" s="209">
        <f>COUNTIF($AB$3:$BC$55,"*402-4-*") + COUNTIF($BF$3:$BM$57,"*402-4-*")</f>
        <v>14</v>
      </c>
      <c r="AV61" s="209">
        <f>COUNTIF($AB$3:$BC$55,"*402-5-*") + COUNTIF($BF$3:$BM$57,"*402-5-*")</f>
        <v>14</v>
      </c>
      <c r="AW61" s="209">
        <f>COUNTIF($AB$3:$BC$55,"*402-6-*") + COUNTIF($BF$3:$BM$57,"*402-6-*")</f>
        <v>12</v>
      </c>
      <c r="AX61" s="209">
        <f>COUNTIF($AB$3:$BC$55,"*402-7-*") + COUNTIF($BF$3:$BM$57,"*402-7-*")</f>
        <v>6</v>
      </c>
      <c r="AY61" s="209">
        <f>COUNTIF($AB$3:$BC$55,"*402-8-*") + COUNTIF($BF$3:$BM$57,"*402-8-*")</f>
        <v>9</v>
      </c>
      <c r="AZ61" s="209">
        <f>COUNTIF($AB$3:$BC$55,"*402-9-*") + COUNTIF($BF$3:$BM$57,"*402-9-*")</f>
        <v>10</v>
      </c>
      <c r="BA61" s="209">
        <f>COUNTIF($AB$3:$BC$55,"*402-10-*") + COUNTIF($BF$3:$BM$57,"*402-10-*")</f>
        <v>11</v>
      </c>
      <c r="BB61" s="209">
        <f>COUNTIF($AB$3:$BC$55,"*402-11-*") + COUNTIF($BF$3:$BM$57,"*402-11-*")</f>
        <v>6</v>
      </c>
      <c r="BC61" s="209">
        <f>COUNTIF($AB$3:$BC$55,"*402-12-*") + COUNTIF($BF$3:$BM$57,"*402-12-*")</f>
        <v>4</v>
      </c>
      <c r="BD61" s="209">
        <f>COUNTIF($AB$3:$BC$55,"*402-13-*") + COUNTIF($BF$3:$BM$57,"*402-13-*")</f>
        <v>2</v>
      </c>
      <c r="BE61" s="209">
        <f>COUNTIF($AB$3:$BC$55,"*402-14-*") + COUNTIF($BF$3:$BM$57,"*402-14-*")</f>
        <v>3</v>
      </c>
      <c r="BF61" s="209">
        <f>COUNTIF($AB$3:$BC$55,"*402-15-*") + COUNTIF($BF$3:$BM$57,"*402-15-*")</f>
        <v>1</v>
      </c>
      <c r="BG61" s="209">
        <f>COUNTIF($AB$3:$BC$55,"*402-16-*") + COUNTIF($BF$3:$BM$57,"*402-16-*")</f>
        <v>1</v>
      </c>
      <c r="BH61" s="209">
        <f>COUNTIF($AB$3:$BC$55,"*402-17-*") + COUNTIF($BF$3:$BM$57,"*402-17-*")</f>
        <v>1</v>
      </c>
      <c r="BI61" s="209">
        <f>COUNTIF($AB$3:$BC$55,"*402-18-*") + COUNTIF($BF$3:$BM$57,"*402-18-*")</f>
        <v>0</v>
      </c>
      <c r="BJ61" s="209">
        <f>COUNTIF($AB$3:$BC$55,"*402-19-*") + COUNTIF($BF$3:$BM$57,"*402-19-*")</f>
        <v>0</v>
      </c>
      <c r="BK61" s="209">
        <f>COUNTIF($AB$3:$BC$55,"*402-20-*") + COUNTIF($BF$3:$BM$57,"*402-20-*")</f>
        <v>0</v>
      </c>
      <c r="BL61" s="209">
        <f>COUNTIF($AB$3:$BC$55,"*402-21-*") + COUNTIF($BF$3:$BM$57,"*402-21-*")</f>
        <v>0</v>
      </c>
      <c r="BM61" s="209">
        <f>COUNTIF($AB$3:$BC$55,"*402-22-*") + COUNTIF($BF$3:$BM$57,"*402-22-*")</f>
        <v>0</v>
      </c>
      <c r="BN61" s="186">
        <f>SUM(AR61:BM61)/(14*22)</f>
        <v>0.44155844155844154</v>
      </c>
    </row>
    <row r="62" spans="1:77" ht="279.95" customHeight="1" x14ac:dyDescent="0.3">
      <c r="A62" s="97"/>
      <c r="B62" s="23"/>
      <c r="E62" s="30"/>
      <c r="F62" s="31"/>
      <c r="G62" s="82"/>
      <c r="H62" s="31"/>
      <c r="I62" s="31"/>
      <c r="J62" s="30"/>
      <c r="K62" s="82"/>
      <c r="L62" s="31"/>
      <c r="M62" s="31"/>
      <c r="N62" s="33"/>
      <c r="O62" s="421"/>
      <c r="P62" s="360"/>
      <c r="Q62" s="360"/>
      <c r="R62" s="360"/>
      <c r="S62" s="360"/>
      <c r="T62" s="360"/>
      <c r="U62" s="361"/>
      <c r="V62" s="95"/>
      <c r="W62" s="14"/>
      <c r="X62" s="14"/>
      <c r="Y62" s="14"/>
      <c r="Z62" s="35"/>
      <c r="AA62" s="94"/>
      <c r="AG62" s="94"/>
      <c r="AH62" s="98"/>
      <c r="AI62" s="107"/>
      <c r="AJ62" s="152"/>
      <c r="AK62" s="405"/>
      <c r="AL62" s="406"/>
      <c r="AM62" s="406"/>
      <c r="AN62" s="407"/>
      <c r="AO62" s="105"/>
      <c r="AP62" s="105"/>
      <c r="AQ62" s="183">
        <v>403</v>
      </c>
      <c r="AR62" s="208">
        <f>COUNTIF($AB$3:$BC$55,"*403-1-*") + COUNTIF($BF$3:$BM$57,"*403-1-*")</f>
        <v>14</v>
      </c>
      <c r="AS62" s="208">
        <f>COUNTIF($AB$3:$BC$55,"*403-2-*") + COUNTIF($BF$3:$BM$57,"*403-2-*")</f>
        <v>14</v>
      </c>
      <c r="AT62" s="208">
        <f>COUNTIF($AB$3:$BC$55,"*403-3-*") + COUNTIF($BF$3:$BM$57,"*403-3-*")</f>
        <v>14</v>
      </c>
      <c r="AU62" s="208">
        <f>COUNTIF($AB$3:$BC$55,"*403-4-*") + COUNTIF($BF$3:$BM$57,"*403-4-*")</f>
        <v>14</v>
      </c>
      <c r="AV62" s="208">
        <f>COUNTIF($AB$3:$BC$55,"*403-5-*") + COUNTIF($BF$3:$BM$57,"*403-5-*")</f>
        <v>14</v>
      </c>
      <c r="AW62" s="208">
        <f>COUNTIF($AB$3:$BC$55,"*403-6-*") + COUNTIF($BF$3:$BM$57,"*403-6-*")</f>
        <v>14</v>
      </c>
      <c r="AX62" s="208">
        <f>COUNTIF($AB$3:$BC$55,"*403-7-*") + COUNTIF($BF$3:$BM$57,"*403-7-*")</f>
        <v>14</v>
      </c>
      <c r="AY62" s="208">
        <f>COUNTIF($AB$3:$BC$55,"*403-8-*") + COUNTIF($BF$3:$BM$57,"*403-8-*")</f>
        <v>14</v>
      </c>
      <c r="AZ62" s="208">
        <f>COUNTIF($AB$3:$BC$55,"*403-9-*") + COUNTIF($BF$3:$BM$57,"*403-9-*")</f>
        <v>14</v>
      </c>
      <c r="BA62" s="208">
        <f>COUNTIF($AB$3:$BC$55,"*403-10-*") + COUNTIF($BF$3:$BM$57,"*403-10-*")</f>
        <v>14</v>
      </c>
      <c r="BB62" s="208">
        <f>COUNTIF($AB$3:$BC$55,"*403-11-*") + COUNTIF($BF$3:$BM$57,"*403-11-*")</f>
        <v>14</v>
      </c>
      <c r="BC62" s="208">
        <f>COUNTIF($AB$3:$BC$55,"*403-12-*") + COUNTIF($BF$3:$BM$57,"*403-12-*")</f>
        <v>14</v>
      </c>
      <c r="BD62" s="208">
        <f>COUNTIF($AB$3:$BC$55,"*403-13-*") + COUNTIF($BF$3:$BM$57,"*403-13-*")</f>
        <v>14</v>
      </c>
      <c r="BE62" s="208">
        <f>COUNTIF($AB$3:$BC$55,"*403-14-*") + COUNTIF($BF$3:$BM$57,"*403-14-*")</f>
        <v>14</v>
      </c>
      <c r="BF62" s="208">
        <f>COUNTIF($AB$3:$BC$55,"*403-15-*") + COUNTIF($BF$3:$BM$57,"*403-15-*")</f>
        <v>14</v>
      </c>
      <c r="BG62" s="208">
        <f>COUNTIF($AB$3:$BC$55,"*403-16-*") + COUNTIF($BF$3:$BM$57,"*403-16-*")</f>
        <v>14</v>
      </c>
      <c r="BH62" s="225">
        <f>COUNTIF($AB$3:$BC$55,"*403-17-*") + COUNTIF($BF$3:$BM$57,"*403-17-*")</f>
        <v>0</v>
      </c>
      <c r="BI62" s="225">
        <f>COUNTIF($AB$3:$BC$55,"*403-18-*") + COUNTIF($BF$3:$BM$57,"*403-18-*")</f>
        <v>0</v>
      </c>
      <c r="BJ62" s="225">
        <f>COUNTIF($AB$3:$BC$55,"*403-19-*") + COUNTIF($BF$3:$BM$57,"*403-19-*")</f>
        <v>0</v>
      </c>
      <c r="BK62" s="225">
        <f>COUNTIF($AB$3:$BC$55,"*403-20-*") + COUNTIF($BF$3:$BM$57,"*403-20-*")</f>
        <v>0</v>
      </c>
      <c r="BL62" s="225">
        <f>COUNTIF($AB$3:$BC$55,"*403-21-*") + COUNTIF($BF$3:$BM$57,"*403-21-*")</f>
        <v>0</v>
      </c>
      <c r="BM62" s="225">
        <f>COUNTIF($AB$3:$BC$55,"*403-22-*") + COUNTIF($BF$3:$BM$57,"*403-22-*")</f>
        <v>0</v>
      </c>
      <c r="BN62" s="186">
        <f>SUM(AR62:BM62)/(14*16)</f>
        <v>1</v>
      </c>
    </row>
    <row r="63" spans="1:77" ht="279.95" customHeight="1" thickBot="1" x14ac:dyDescent="0.35">
      <c r="A63" s="97"/>
      <c r="B63" s="9"/>
      <c r="E63" s="30"/>
      <c r="F63" s="31"/>
      <c r="G63" s="82"/>
      <c r="H63" s="31"/>
      <c r="I63" s="31"/>
      <c r="J63" s="30"/>
      <c r="K63" s="82"/>
      <c r="L63" s="31"/>
      <c r="M63" s="31"/>
      <c r="N63" s="33"/>
      <c r="O63" s="421"/>
      <c r="P63" s="360"/>
      <c r="Q63" s="360"/>
      <c r="R63" s="360"/>
      <c r="S63" s="360"/>
      <c r="T63" s="360"/>
      <c r="U63" s="361"/>
      <c r="V63" s="95"/>
      <c r="W63" s="14"/>
      <c r="X63" s="14"/>
      <c r="Y63" s="14"/>
      <c r="Z63" s="35"/>
      <c r="AA63" s="94"/>
      <c r="AG63" s="94"/>
      <c r="AH63" s="98"/>
      <c r="AI63" s="107"/>
      <c r="AJ63" s="152"/>
      <c r="AK63" s="408"/>
      <c r="AL63" s="409"/>
      <c r="AM63" s="409"/>
      <c r="AN63" s="410"/>
      <c r="AO63" s="105"/>
      <c r="AP63" s="105"/>
      <c r="AQ63" s="105"/>
      <c r="AR63" s="94"/>
      <c r="AY63" s="168"/>
      <c r="BO63" s="10"/>
    </row>
    <row r="64" spans="1:77" ht="279.95" customHeight="1" x14ac:dyDescent="0.3">
      <c r="A64" s="97"/>
      <c r="B64" s="9"/>
      <c r="E64" s="30"/>
      <c r="F64" s="31"/>
      <c r="G64" s="82"/>
      <c r="H64" s="31"/>
      <c r="I64" s="31"/>
      <c r="J64" s="30"/>
      <c r="K64" s="82"/>
      <c r="L64" s="31"/>
      <c r="M64" s="31"/>
      <c r="N64" s="33"/>
      <c r="O64" s="421"/>
      <c r="P64" s="360"/>
      <c r="Q64" s="360"/>
      <c r="R64" s="360"/>
      <c r="S64" s="360"/>
      <c r="T64" s="360"/>
      <c r="U64" s="361"/>
      <c r="V64" s="95"/>
      <c r="W64" s="14"/>
      <c r="X64" s="14"/>
      <c r="Y64" s="14"/>
      <c r="Z64" s="14"/>
      <c r="AA64" s="40"/>
      <c r="AG64" s="94"/>
      <c r="AH64" s="98"/>
      <c r="AI64" s="98"/>
      <c r="AJ64" s="98"/>
      <c r="AK64" s="95"/>
      <c r="AL64" s="105"/>
      <c r="AM64" s="105"/>
      <c r="AN64" s="105"/>
      <c r="AO64" s="105"/>
      <c r="AP64" s="105"/>
      <c r="AQ64" s="105"/>
      <c r="AR64" s="9"/>
      <c r="AW64" s="168"/>
      <c r="AX64" s="168"/>
      <c r="AY64" s="169"/>
      <c r="AZ64" s="4"/>
      <c r="BA64" s="4"/>
      <c r="BB64" s="4"/>
      <c r="BC64" s="4"/>
      <c r="BD64" s="172"/>
      <c r="BE64" s="4"/>
      <c r="BF64" s="4"/>
      <c r="BG64" s="187"/>
      <c r="BH64" s="98"/>
      <c r="BI64" s="4"/>
      <c r="BJ64" s="4"/>
      <c r="BK64" s="4"/>
      <c r="BL64" s="4"/>
      <c r="BM64" s="4"/>
    </row>
    <row r="65" spans="1:65" ht="279.95" customHeight="1" thickBot="1" x14ac:dyDescent="0.35">
      <c r="A65" s="97"/>
      <c r="B65" s="44"/>
      <c r="E65" s="30"/>
      <c r="F65" s="31"/>
      <c r="G65" s="82"/>
      <c r="H65" s="31"/>
      <c r="I65" s="31"/>
      <c r="J65" s="30"/>
      <c r="K65" s="82"/>
      <c r="L65" s="31"/>
      <c r="M65" s="31"/>
      <c r="N65" s="33"/>
      <c r="O65" s="421"/>
      <c r="P65" s="360"/>
      <c r="Q65" s="360"/>
      <c r="R65" s="360"/>
      <c r="S65" s="360"/>
      <c r="T65" s="360"/>
      <c r="U65" s="361"/>
      <c r="V65" s="95"/>
      <c r="W65" s="14"/>
      <c r="X65" s="14"/>
      <c r="Y65" s="14"/>
      <c r="Z65" s="14"/>
      <c r="AG65" s="94"/>
      <c r="AH65" s="98"/>
      <c r="AI65" s="98"/>
      <c r="AJ65" s="98"/>
      <c r="AK65" s="95"/>
      <c r="AL65" s="105"/>
      <c r="AM65" s="105"/>
      <c r="AN65" s="105"/>
      <c r="AO65" s="105"/>
      <c r="AP65" s="105"/>
      <c r="AQ65" s="105"/>
      <c r="AR65" s="9"/>
      <c r="AW65" s="4"/>
      <c r="AX65" s="4"/>
      <c r="AY65" s="4"/>
      <c r="AZ65" s="4"/>
      <c r="BA65" s="4"/>
      <c r="BB65" s="4"/>
      <c r="BC65" s="4"/>
      <c r="BD65" s="172"/>
      <c r="BE65" s="4"/>
      <c r="BF65" s="4"/>
      <c r="BG65" s="4"/>
      <c r="BH65" s="4"/>
      <c r="BI65" s="4"/>
      <c r="BJ65" s="4"/>
      <c r="BK65" s="4"/>
      <c r="BL65" s="4"/>
      <c r="BM65" s="4"/>
    </row>
    <row r="66" spans="1:65" ht="279.95" customHeight="1" thickBot="1" x14ac:dyDescent="0.35">
      <c r="A66" s="9"/>
      <c r="B66" s="44"/>
      <c r="E66" s="30"/>
      <c r="F66" s="31"/>
      <c r="G66" s="82"/>
      <c r="H66" s="31"/>
      <c r="I66" s="31"/>
      <c r="J66" s="30"/>
      <c r="K66" s="82"/>
      <c r="L66" s="31"/>
      <c r="M66" s="31"/>
      <c r="N66" s="33"/>
      <c r="O66" s="421"/>
      <c r="P66" s="360"/>
      <c r="Q66" s="360"/>
      <c r="R66" s="360"/>
      <c r="S66" s="360"/>
      <c r="T66" s="360"/>
      <c r="U66" s="361"/>
      <c r="V66" s="102"/>
      <c r="W66" s="103"/>
      <c r="X66" s="14"/>
      <c r="Y66" s="14"/>
      <c r="Z66" s="14"/>
      <c r="AA66" s="37"/>
      <c r="AG66" s="94"/>
      <c r="AH66" s="98"/>
      <c r="AI66" s="98"/>
      <c r="AJ66" s="98"/>
      <c r="AK66" s="411" t="s">
        <v>10</v>
      </c>
      <c r="AL66" s="412"/>
      <c r="AM66" s="412"/>
      <c r="AN66" s="412"/>
      <c r="AO66" s="412"/>
      <c r="AP66" s="413"/>
      <c r="AQ66" s="105"/>
      <c r="AR66" s="40"/>
      <c r="AS66" s="355" t="s">
        <v>0</v>
      </c>
      <c r="AT66" s="173"/>
      <c r="AU66" s="355" t="s">
        <v>1</v>
      </c>
      <c r="AW66" s="170"/>
      <c r="AX66" s="170"/>
      <c r="AY66" s="171"/>
      <c r="AZ66" s="4"/>
      <c r="BA66" s="4"/>
      <c r="BB66" s="4"/>
      <c r="BC66" s="4"/>
      <c r="BD66" s="172"/>
      <c r="BE66" s="4"/>
      <c r="BF66" s="4"/>
      <c r="BG66" s="4"/>
      <c r="BH66" s="4"/>
      <c r="BI66" s="4"/>
      <c r="BJ66" s="4"/>
      <c r="BK66" s="4"/>
      <c r="BL66" s="4"/>
      <c r="BM66" s="4"/>
    </row>
    <row r="67" spans="1:65" ht="279.95" customHeight="1" x14ac:dyDescent="0.3">
      <c r="A67" s="9"/>
      <c r="B67" s="44"/>
      <c r="E67" s="30"/>
      <c r="F67" s="31"/>
      <c r="G67" s="82"/>
      <c r="H67" s="31"/>
      <c r="I67" s="31"/>
      <c r="J67" s="30"/>
      <c r="K67" s="82"/>
      <c r="L67" s="31"/>
      <c r="M67" s="31"/>
      <c r="N67" s="33"/>
      <c r="O67" s="421"/>
      <c r="P67" s="360"/>
      <c r="Q67" s="360"/>
      <c r="R67" s="360"/>
      <c r="S67" s="360"/>
      <c r="T67" s="360"/>
      <c r="U67" s="361"/>
      <c r="V67" s="95"/>
      <c r="W67" s="103"/>
      <c r="X67" s="14"/>
      <c r="Z67" s="14"/>
      <c r="AA67" s="37"/>
      <c r="AG67" s="9"/>
      <c r="AH67" s="9"/>
      <c r="AI67" s="98"/>
      <c r="AJ67" s="98"/>
      <c r="AK67" s="414"/>
      <c r="AL67" s="415"/>
      <c r="AM67" s="415"/>
      <c r="AN67" s="415"/>
      <c r="AO67" s="415"/>
      <c r="AP67" s="416"/>
      <c r="AQ67" s="44"/>
      <c r="AR67" s="44"/>
      <c r="AS67" s="356"/>
      <c r="AT67" s="174"/>
      <c r="AU67" s="356"/>
      <c r="BC67" s="39"/>
      <c r="BE67" s="4"/>
      <c r="BF67" s="4"/>
      <c r="BG67" s="4"/>
      <c r="BH67" s="4"/>
      <c r="BI67" s="4"/>
      <c r="BJ67" s="4"/>
      <c r="BK67" s="4"/>
      <c r="BL67" s="4"/>
      <c r="BM67" s="4"/>
    </row>
    <row r="68" spans="1:65" ht="350.1" customHeight="1" thickBot="1" x14ac:dyDescent="0.35">
      <c r="A68" s="9"/>
      <c r="B68" s="44"/>
      <c r="E68" s="30"/>
      <c r="F68" s="31"/>
      <c r="G68" s="82"/>
      <c r="H68" s="31"/>
      <c r="I68" s="31"/>
      <c r="J68" s="30"/>
      <c r="K68" s="82"/>
      <c r="L68" s="31"/>
      <c r="M68" s="31"/>
      <c r="N68" s="33"/>
      <c r="O68" s="421"/>
      <c r="P68" s="360"/>
      <c r="Q68" s="360"/>
      <c r="R68" s="360"/>
      <c r="S68" s="360"/>
      <c r="T68" s="360"/>
      <c r="U68" s="361"/>
      <c r="V68" s="95"/>
      <c r="W68" s="103"/>
      <c r="X68" s="14"/>
      <c r="Y68" s="14"/>
      <c r="Z68" s="14"/>
      <c r="AA68" s="94"/>
      <c r="AB68" s="117"/>
      <c r="AC68" s="117"/>
      <c r="AE68" s="124"/>
      <c r="AF68" s="124"/>
      <c r="AG68" s="124"/>
      <c r="AH68" s="124"/>
      <c r="AI68" s="101"/>
      <c r="AJ68" s="101"/>
      <c r="AK68" s="417"/>
      <c r="AL68" s="418"/>
      <c r="AM68" s="418"/>
      <c r="AN68" s="418"/>
      <c r="AO68" s="418"/>
      <c r="AP68" s="419"/>
      <c r="AQ68" s="101"/>
      <c r="AR68" s="101"/>
      <c r="AS68" s="357"/>
      <c r="AT68" s="175"/>
      <c r="AU68" s="357"/>
      <c r="AV68" s="125"/>
      <c r="AW68" s="125"/>
      <c r="AX68" s="125"/>
      <c r="AY68" s="125"/>
      <c r="BA68" s="125"/>
      <c r="BB68" s="125"/>
      <c r="BC68" s="126"/>
    </row>
    <row r="69" spans="1:65" ht="350.1" customHeight="1" thickTop="1" x14ac:dyDescent="0.3">
      <c r="A69" s="9"/>
      <c r="B69" s="44"/>
      <c r="E69" s="30"/>
      <c r="F69" s="31"/>
      <c r="G69" s="82"/>
      <c r="H69" s="31"/>
      <c r="I69" s="31"/>
      <c r="J69" s="30"/>
      <c r="K69" s="82"/>
      <c r="L69" s="31"/>
      <c r="M69" s="31"/>
      <c r="N69" s="33"/>
      <c r="O69" s="421"/>
      <c r="P69" s="360"/>
      <c r="Q69" s="360"/>
      <c r="R69" s="360"/>
      <c r="S69" s="360"/>
      <c r="T69" s="360"/>
      <c r="U69" s="361"/>
      <c r="V69" s="95"/>
      <c r="W69" s="103"/>
      <c r="X69" s="14"/>
      <c r="Y69" s="13"/>
      <c r="Z69" s="14"/>
      <c r="AA69" s="94"/>
      <c r="AB69" s="117"/>
      <c r="AC69" s="117"/>
      <c r="AD69" s="396" t="s">
        <v>3</v>
      </c>
      <c r="AE69" s="397"/>
      <c r="AF69" s="397"/>
      <c r="AG69" s="397"/>
      <c r="AH69" s="398"/>
      <c r="AI69" s="129"/>
      <c r="AZ69" s="130"/>
    </row>
    <row r="70" spans="1:65" ht="350.1" customHeight="1" thickBot="1" x14ac:dyDescent="0.35">
      <c r="A70" s="9"/>
      <c r="B70" s="44"/>
      <c r="E70" s="46"/>
      <c r="F70" s="49"/>
      <c r="G70" s="108"/>
      <c r="H70" s="49"/>
      <c r="I70" s="49"/>
      <c r="J70" s="46"/>
      <c r="K70" s="108"/>
      <c r="L70" s="49"/>
      <c r="M70" s="49"/>
      <c r="N70" s="109"/>
      <c r="O70" s="422"/>
      <c r="P70" s="362"/>
      <c r="Q70" s="362"/>
      <c r="R70" s="362"/>
      <c r="S70" s="362"/>
      <c r="T70" s="362"/>
      <c r="U70" s="363"/>
      <c r="V70" s="95"/>
      <c r="W70" s="103"/>
      <c r="X70" s="14"/>
      <c r="AB70" s="117"/>
      <c r="AC70" s="117"/>
      <c r="AD70" s="399"/>
      <c r="AE70" s="400"/>
      <c r="AF70" s="400"/>
      <c r="AG70" s="400"/>
      <c r="AH70" s="401"/>
      <c r="AL70" s="134"/>
      <c r="AM70" s="134"/>
      <c r="AN70" s="134"/>
      <c r="AO70" s="134"/>
      <c r="AP70" s="134"/>
      <c r="AQ70" s="134"/>
      <c r="AR70" s="134"/>
    </row>
    <row r="71" spans="1:65" ht="350.1" customHeight="1" x14ac:dyDescent="0.3">
      <c r="A71" s="9"/>
      <c r="B71" s="44"/>
      <c r="E71" s="32"/>
      <c r="F71" s="32"/>
      <c r="G71" s="32"/>
      <c r="H71" s="32"/>
      <c r="I71" s="32"/>
      <c r="J71" s="40"/>
      <c r="K71" s="40"/>
      <c r="L71" s="40"/>
      <c r="M71" s="40"/>
      <c r="N71" s="110"/>
      <c r="O71" s="111"/>
      <c r="P71" s="111"/>
      <c r="Q71" s="112"/>
      <c r="S71" s="9"/>
      <c r="T71" s="9"/>
      <c r="U71" s="113"/>
      <c r="V71" s="9"/>
      <c r="W71" s="114"/>
      <c r="X71" s="9"/>
      <c r="AB71" s="140"/>
      <c r="AC71" s="140"/>
      <c r="AH71" s="141"/>
      <c r="AI71" s="142"/>
      <c r="AJ71" s="142"/>
      <c r="AK71" s="142"/>
      <c r="AL71" s="143"/>
      <c r="AM71" s="143"/>
      <c r="AN71" s="143"/>
      <c r="AO71" s="143"/>
      <c r="AP71" s="143"/>
      <c r="AQ71" s="143"/>
      <c r="AR71" s="143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</row>
    <row r="72" spans="1:65" ht="350.1" customHeight="1" x14ac:dyDescent="0.3">
      <c r="A72" s="9"/>
      <c r="B72" s="44"/>
      <c r="E72" s="32"/>
      <c r="F72" s="32"/>
      <c r="G72" s="32"/>
      <c r="H72" s="32"/>
      <c r="I72" s="32"/>
      <c r="J72" s="40"/>
      <c r="K72" s="40"/>
      <c r="L72" s="40"/>
      <c r="M72" s="40"/>
      <c r="N72" s="110"/>
      <c r="O72" s="115"/>
      <c r="P72" s="115"/>
      <c r="Q72" s="9"/>
      <c r="R72" s="9"/>
      <c r="S72" s="9"/>
      <c r="T72" s="9"/>
      <c r="U72" s="72"/>
      <c r="V72" s="72"/>
      <c r="W72" s="72"/>
      <c r="X72" s="72"/>
      <c r="Y72" s="116"/>
      <c r="Z72" s="116"/>
      <c r="AA72" s="94"/>
      <c r="AH72" s="145"/>
      <c r="AI72" s="145"/>
      <c r="AJ72" s="145"/>
      <c r="AK72" s="146"/>
      <c r="AL72" s="143"/>
      <c r="AM72" s="143"/>
      <c r="AN72" s="143"/>
      <c r="AO72" s="143"/>
      <c r="AP72" s="143"/>
      <c r="AQ72" s="143"/>
      <c r="AR72" s="143"/>
      <c r="AS72" s="144"/>
      <c r="AT72" s="144"/>
      <c r="AU72" s="144"/>
      <c r="AV72" s="147"/>
      <c r="AW72" s="147"/>
      <c r="AX72" s="147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</row>
    <row r="73" spans="1:65" ht="350.1" customHeight="1" x14ac:dyDescent="0.3">
      <c r="A73" s="9"/>
      <c r="B73" s="44"/>
      <c r="E73" s="32"/>
      <c r="F73" s="32"/>
      <c r="G73" s="32"/>
      <c r="H73" s="32"/>
      <c r="I73" s="32"/>
      <c r="J73" s="40"/>
      <c r="K73" s="40"/>
      <c r="L73" s="40"/>
      <c r="M73" s="40"/>
      <c r="N73" s="110"/>
      <c r="O73" s="115"/>
      <c r="P73" s="115"/>
      <c r="Q73" s="9"/>
      <c r="R73" s="22"/>
      <c r="S73" s="9"/>
      <c r="T73" s="9"/>
      <c r="U73" s="72"/>
      <c r="V73" s="72"/>
      <c r="W73" s="72"/>
      <c r="X73" s="72"/>
      <c r="Z73" s="116"/>
      <c r="AA73" s="94"/>
      <c r="AG73" s="70"/>
      <c r="AH73" s="145"/>
      <c r="AI73" s="145"/>
      <c r="AJ73" s="145"/>
      <c r="AK73" s="146"/>
      <c r="AL73" s="143"/>
      <c r="AM73" s="143"/>
      <c r="AN73" s="143"/>
      <c r="AO73" s="143"/>
      <c r="AP73" s="143"/>
      <c r="AQ73" s="143"/>
      <c r="AR73" s="143"/>
      <c r="AS73" s="144"/>
      <c r="AT73" s="144"/>
      <c r="AU73" s="144"/>
      <c r="AV73" s="147"/>
      <c r="AW73" s="147"/>
      <c r="AX73" s="147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</row>
    <row r="74" spans="1:65" ht="350.1" customHeight="1" thickBot="1" x14ac:dyDescent="0.35">
      <c r="A74" s="9"/>
      <c r="B74" s="44"/>
      <c r="E74" s="32"/>
      <c r="F74" s="32"/>
      <c r="G74" s="32"/>
      <c r="H74" s="32"/>
      <c r="I74" s="32"/>
      <c r="J74" s="40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86"/>
      <c r="Z74" s="54"/>
      <c r="AA74" s="117"/>
      <c r="AG74" s="70"/>
      <c r="AH74" s="141"/>
      <c r="AI74" s="142"/>
      <c r="AJ74" s="142"/>
      <c r="AK74" s="146"/>
      <c r="AL74" s="143"/>
      <c r="AM74" s="149"/>
      <c r="AN74" s="143"/>
      <c r="AO74" s="143"/>
      <c r="AP74" s="143"/>
      <c r="AQ74" s="143"/>
      <c r="AR74" s="143"/>
      <c r="AS74" s="144"/>
      <c r="AT74" s="144"/>
      <c r="AU74" s="144"/>
      <c r="AV74" s="147"/>
      <c r="AW74" s="147"/>
      <c r="AX74" s="147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</row>
    <row r="75" spans="1:65" ht="350.1" customHeight="1" thickBot="1" x14ac:dyDescent="0.35">
      <c r="A75" s="9"/>
      <c r="B75" s="118"/>
      <c r="C75" s="118"/>
      <c r="D75" s="118"/>
      <c r="E75" s="119"/>
      <c r="F75" s="119"/>
      <c r="G75" s="120"/>
      <c r="H75" s="120"/>
      <c r="I75" s="121"/>
      <c r="J75" s="122"/>
      <c r="K75" s="369" t="s">
        <v>40</v>
      </c>
      <c r="L75" s="370"/>
      <c r="M75" s="370"/>
      <c r="N75" s="370"/>
      <c r="O75" s="371"/>
      <c r="P75" s="115"/>
      <c r="Q75" s="115"/>
      <c r="R75" s="115"/>
      <c r="S75" s="115"/>
      <c r="T75" s="115"/>
      <c r="U75" s="115"/>
      <c r="V75" s="115"/>
      <c r="W75" s="115"/>
      <c r="X75" s="115"/>
      <c r="Y75" s="86"/>
      <c r="Z75" s="54"/>
      <c r="AA75" s="117"/>
      <c r="AG75" s="70"/>
      <c r="AH75" s="141"/>
      <c r="AI75" s="142"/>
      <c r="AJ75" s="142"/>
      <c r="AK75" s="146"/>
      <c r="AL75" s="143"/>
      <c r="AM75" s="150"/>
      <c r="AN75" s="143"/>
      <c r="AO75" s="143"/>
      <c r="AP75" s="143"/>
      <c r="AQ75" s="143"/>
      <c r="AR75" s="143"/>
      <c r="AS75" s="144"/>
      <c r="AT75" s="144"/>
      <c r="AU75" s="144"/>
      <c r="AV75" s="147"/>
      <c r="AW75" s="147"/>
      <c r="AX75" s="147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</row>
    <row r="76" spans="1:65" ht="186" customHeight="1" thickBot="1" x14ac:dyDescent="0.35">
      <c r="A76" s="9"/>
      <c r="B76" s="319" t="s">
        <v>41</v>
      </c>
      <c r="C76" s="378"/>
      <c r="D76" s="379"/>
      <c r="E76" s="367" t="s">
        <v>42</v>
      </c>
      <c r="F76" s="368"/>
      <c r="G76" s="321" t="s">
        <v>42</v>
      </c>
      <c r="H76" s="334"/>
      <c r="I76" s="384" t="s">
        <v>43</v>
      </c>
      <c r="J76" s="385"/>
      <c r="K76" s="372"/>
      <c r="L76" s="373"/>
      <c r="M76" s="373"/>
      <c r="N76" s="373"/>
      <c r="O76" s="374"/>
      <c r="P76" s="115"/>
      <c r="Q76" s="115"/>
      <c r="R76" s="115"/>
      <c r="S76" s="115"/>
      <c r="T76" s="115"/>
      <c r="U76" s="91"/>
      <c r="V76" s="91"/>
      <c r="W76" s="115"/>
      <c r="X76" s="115"/>
      <c r="Y76" s="123"/>
      <c r="Z76" s="54"/>
      <c r="AA76" s="117"/>
      <c r="AG76" s="41"/>
      <c r="AH76" s="141"/>
      <c r="AI76" s="142"/>
      <c r="AJ76" s="142"/>
      <c r="AK76" s="146"/>
      <c r="AL76" s="143"/>
      <c r="AM76" s="149"/>
      <c r="AN76" s="149"/>
      <c r="AO76" s="143"/>
      <c r="AP76" s="143"/>
      <c r="AQ76" s="143"/>
      <c r="AR76" s="143"/>
      <c r="AS76" s="144"/>
      <c r="AT76" s="144"/>
      <c r="AU76" s="144"/>
      <c r="AV76" s="147"/>
      <c r="AW76" s="147"/>
      <c r="AX76" s="147"/>
      <c r="AY76" s="147"/>
      <c r="AZ76" s="147"/>
      <c r="BA76" s="147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352"/>
    </row>
    <row r="77" spans="1:65" ht="186" customHeight="1" thickBot="1" x14ac:dyDescent="0.35">
      <c r="B77" s="380"/>
      <c r="C77" s="378"/>
      <c r="D77" s="379"/>
      <c r="E77" s="367" t="s">
        <v>42</v>
      </c>
      <c r="F77" s="388"/>
      <c r="G77" s="367" t="s">
        <v>42</v>
      </c>
      <c r="H77" s="388"/>
      <c r="I77" s="384"/>
      <c r="J77" s="385"/>
      <c r="K77" s="372"/>
      <c r="L77" s="373"/>
      <c r="M77" s="373"/>
      <c r="N77" s="373"/>
      <c r="O77" s="374"/>
      <c r="P77" s="115"/>
      <c r="Q77" s="115"/>
      <c r="R77" s="115"/>
      <c r="S77" s="115"/>
      <c r="T77" s="115"/>
      <c r="U77" s="64"/>
      <c r="V77" s="64"/>
      <c r="W77" s="115"/>
      <c r="X77" s="127"/>
      <c r="Y77" s="102"/>
      <c r="Z77" s="128"/>
      <c r="AA77" s="117"/>
      <c r="AG77" s="117"/>
      <c r="AH77" s="145"/>
      <c r="AI77" s="145"/>
      <c r="AJ77" s="145"/>
      <c r="AK77" s="146"/>
      <c r="AL77" s="143"/>
      <c r="AM77" s="150"/>
      <c r="AN77" s="149"/>
      <c r="AO77" s="143"/>
      <c r="AP77" s="143"/>
      <c r="AQ77" s="143"/>
      <c r="AR77" s="143"/>
      <c r="AS77" s="144"/>
      <c r="AT77" s="144"/>
      <c r="AU77" s="144"/>
      <c r="AV77" s="147"/>
      <c r="AW77" s="147"/>
      <c r="AX77" s="147"/>
      <c r="AY77" s="147"/>
      <c r="AZ77" s="147"/>
      <c r="BA77" s="147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352"/>
    </row>
    <row r="78" spans="1:65" ht="186" customHeight="1" thickBot="1" x14ac:dyDescent="0.35">
      <c r="A78" s="9"/>
      <c r="B78" s="381"/>
      <c r="C78" s="382"/>
      <c r="D78" s="383"/>
      <c r="E78" s="367" t="s">
        <v>44</v>
      </c>
      <c r="F78" s="368"/>
      <c r="G78" s="367" t="s">
        <v>45</v>
      </c>
      <c r="H78" s="368"/>
      <c r="I78" s="386"/>
      <c r="J78" s="387"/>
      <c r="K78" s="375"/>
      <c r="L78" s="376"/>
      <c r="M78" s="376"/>
      <c r="N78" s="376"/>
      <c r="O78" s="377"/>
      <c r="P78" s="131"/>
      <c r="Q78" s="131"/>
      <c r="R78" s="131"/>
      <c r="S78" s="131"/>
      <c r="T78" s="131"/>
      <c r="U78" s="132"/>
      <c r="V78" s="132"/>
      <c r="W78" s="131"/>
      <c r="X78" s="133"/>
      <c r="Y78" s="11"/>
      <c r="Z78" s="11"/>
      <c r="AA78" s="117"/>
      <c r="AG78" s="117"/>
      <c r="AH78" s="141"/>
      <c r="AI78" s="142"/>
      <c r="AJ78" s="142"/>
      <c r="AK78" s="146"/>
      <c r="AL78" s="143"/>
      <c r="AM78" s="143"/>
      <c r="AN78" s="143"/>
      <c r="AO78" s="143"/>
      <c r="AP78" s="143"/>
      <c r="AQ78" s="143"/>
      <c r="AR78" s="143"/>
      <c r="AS78" s="144"/>
      <c r="AT78" s="144"/>
      <c r="AU78" s="144"/>
      <c r="AV78" s="147"/>
      <c r="AW78" s="147"/>
      <c r="AX78" s="147"/>
      <c r="AY78" s="147"/>
      <c r="AZ78" s="147"/>
      <c r="BA78" s="147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352"/>
    </row>
    <row r="79" spans="1:65" ht="186" customHeight="1" thickBot="1" x14ac:dyDescent="0.35">
      <c r="A79" s="135"/>
      <c r="B79" s="136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8"/>
      <c r="S79" s="137"/>
      <c r="T79" s="137"/>
      <c r="U79" s="137"/>
      <c r="V79" s="137"/>
      <c r="W79" s="137"/>
      <c r="X79" s="137"/>
      <c r="Y79" s="137"/>
      <c r="Z79" s="137"/>
      <c r="AA79" s="139"/>
      <c r="AH79" s="145"/>
      <c r="AI79" s="145"/>
      <c r="AJ79" s="145"/>
      <c r="AK79" s="156"/>
      <c r="AL79" s="157"/>
      <c r="AM79" s="157"/>
      <c r="AN79" s="157"/>
      <c r="AO79" s="157"/>
      <c r="AP79" s="157"/>
      <c r="AQ79" s="157"/>
      <c r="AR79" s="157"/>
      <c r="AS79" s="144"/>
      <c r="AT79" s="144"/>
      <c r="AU79" s="144"/>
      <c r="AV79" s="147"/>
      <c r="AW79" s="147"/>
      <c r="AX79" s="147"/>
      <c r="AY79" s="147"/>
      <c r="AZ79" s="147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</row>
    <row r="80" spans="1:65" ht="186" customHeight="1" thickBot="1" x14ac:dyDescent="0.35">
      <c r="A80" s="345"/>
      <c r="B80" s="9"/>
      <c r="C80" s="9"/>
      <c r="D80" s="9"/>
      <c r="E80" s="9"/>
      <c r="F80" s="9"/>
      <c r="G80" s="43"/>
      <c r="K80" s="41"/>
      <c r="R80" s="394"/>
      <c r="S80" s="394"/>
      <c r="T80" s="394"/>
      <c r="U80" s="394"/>
      <c r="V80" s="394"/>
      <c r="W80" s="394"/>
      <c r="X80" s="394"/>
      <c r="Y80" s="394"/>
      <c r="Z80" s="394"/>
      <c r="AB80" s="101"/>
      <c r="AC80" s="101"/>
      <c r="AH80" s="145"/>
      <c r="AI80" s="145"/>
      <c r="AJ80" s="145"/>
      <c r="AK80" s="156"/>
      <c r="AL80" s="156"/>
      <c r="AM80" s="156"/>
      <c r="AN80" s="156"/>
      <c r="AO80" s="158"/>
      <c r="AP80" s="158"/>
      <c r="AQ80" s="159"/>
      <c r="AR80" s="146"/>
      <c r="AS80" s="144"/>
      <c r="AT80" s="144"/>
      <c r="AU80" s="144"/>
      <c r="AV80" s="147"/>
      <c r="AW80" s="147"/>
      <c r="AX80" s="147"/>
      <c r="AY80" s="147"/>
      <c r="AZ80" s="147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</row>
    <row r="81" spans="1:64" ht="186" customHeight="1" thickBot="1" x14ac:dyDescent="0.35">
      <c r="A81" s="345"/>
      <c r="B81" s="9"/>
      <c r="C81" s="9"/>
      <c r="D81" s="9"/>
      <c r="E81" s="9"/>
      <c r="F81" s="9"/>
      <c r="G81" s="43"/>
      <c r="K81" s="41"/>
      <c r="R81" s="395"/>
      <c r="S81" s="395"/>
      <c r="T81" s="395"/>
      <c r="U81" s="395"/>
      <c r="V81" s="395"/>
      <c r="W81" s="395"/>
      <c r="X81" s="395"/>
      <c r="Y81" s="395"/>
      <c r="Z81" s="395"/>
      <c r="AB81" s="163"/>
      <c r="AC81" s="161"/>
      <c r="AD81" s="161"/>
      <c r="AE81" s="161"/>
      <c r="AF81" s="161"/>
      <c r="AG81" s="162"/>
      <c r="AH81" s="146"/>
      <c r="AI81" s="145"/>
      <c r="AJ81" s="145"/>
      <c r="AK81" s="156"/>
      <c r="AL81" s="156"/>
      <c r="AM81" s="156"/>
      <c r="AN81" s="156"/>
      <c r="AO81" s="157"/>
      <c r="AP81" s="157"/>
      <c r="AQ81" s="159"/>
      <c r="AR81" s="159"/>
      <c r="AS81" s="144"/>
      <c r="AT81" s="144"/>
      <c r="AU81" s="144"/>
      <c r="AV81" s="147"/>
      <c r="AW81" s="147"/>
      <c r="AX81" s="147"/>
      <c r="AY81" s="147"/>
      <c r="AZ81" s="147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</row>
    <row r="82" spans="1:64" ht="186" customHeight="1" thickBot="1" x14ac:dyDescent="0.35">
      <c r="A82" s="345"/>
      <c r="H82" s="148"/>
      <c r="I82" s="148"/>
      <c r="J82" s="148"/>
      <c r="K82" s="92"/>
      <c r="L82" s="92"/>
      <c r="R82" s="390"/>
      <c r="S82" s="391"/>
      <c r="T82" s="392"/>
      <c r="U82" s="393"/>
      <c r="V82" s="392"/>
      <c r="W82" s="393"/>
      <c r="AB82" s="167"/>
      <c r="AC82" s="165"/>
      <c r="AD82" s="165"/>
      <c r="AE82" s="165"/>
      <c r="AF82" s="165"/>
      <c r="AG82" s="166"/>
      <c r="AH82" s="146"/>
      <c r="AI82" s="146"/>
      <c r="AJ82" s="146"/>
      <c r="AK82" s="157"/>
      <c r="AL82" s="157"/>
      <c r="AM82" s="157"/>
      <c r="AN82" s="157"/>
      <c r="AO82" s="157"/>
      <c r="AP82" s="157"/>
      <c r="AQ82" s="159"/>
      <c r="AR82" s="159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</row>
    <row r="83" spans="1:64" ht="186" customHeight="1" thickBot="1" x14ac:dyDescent="0.35">
      <c r="B83" s="92"/>
      <c r="C83" s="92"/>
      <c r="D83" s="92"/>
      <c r="E83" s="92"/>
      <c r="F83" s="92"/>
      <c r="G83" s="92"/>
      <c r="H83" s="92"/>
      <c r="I83" s="92"/>
      <c r="J83" s="92"/>
      <c r="K83" s="23"/>
      <c r="L83" s="23"/>
      <c r="R83" s="365"/>
      <c r="S83" s="366"/>
      <c r="T83" s="365"/>
      <c r="U83" s="366"/>
      <c r="V83" s="389"/>
      <c r="W83" s="423"/>
      <c r="X83" s="3"/>
    </row>
    <row r="84" spans="1:64" ht="186" customHeight="1" thickBot="1" x14ac:dyDescent="0.35">
      <c r="A84" s="345"/>
      <c r="B84" s="92"/>
      <c r="C84" s="92"/>
      <c r="D84" s="92"/>
      <c r="E84" s="92"/>
      <c r="F84" s="92"/>
      <c r="G84" s="92"/>
      <c r="H84" s="92"/>
      <c r="I84" s="92"/>
      <c r="J84" s="92"/>
      <c r="K84" s="23"/>
      <c r="L84" s="115"/>
      <c r="M84" s="151"/>
      <c r="N84" s="115"/>
      <c r="O84" s="151"/>
      <c r="P84" s="115"/>
      <c r="Q84" s="23"/>
      <c r="R84" s="365"/>
      <c r="S84" s="366"/>
      <c r="T84" s="365"/>
      <c r="U84" s="366"/>
      <c r="V84" s="365"/>
      <c r="W84" s="366"/>
      <c r="X84" s="11"/>
      <c r="Y84" s="365"/>
      <c r="Z84" s="366"/>
    </row>
    <row r="85" spans="1:64" ht="186" customHeight="1" thickBot="1" x14ac:dyDescent="0.35">
      <c r="A85" s="345"/>
      <c r="B85" s="44"/>
      <c r="C85" s="44"/>
      <c r="D85" s="44"/>
      <c r="E85" s="44"/>
      <c r="F85" s="44"/>
      <c r="G85" s="44"/>
      <c r="H85" s="44"/>
      <c r="I85" s="44"/>
      <c r="J85" s="44"/>
      <c r="K85" s="9"/>
      <c r="L85" s="9"/>
      <c r="M85" s="23"/>
      <c r="N85" s="23"/>
      <c r="O85" s="23"/>
      <c r="P85" s="23"/>
      <c r="Q85" s="23"/>
      <c r="R85" s="153"/>
      <c r="S85" s="365"/>
      <c r="T85" s="366"/>
      <c r="U85" s="154"/>
      <c r="V85" s="389"/>
      <c r="W85" s="389"/>
      <c r="X85" s="389"/>
      <c r="Y85" s="389"/>
      <c r="Z85" s="155"/>
    </row>
    <row r="86" spans="1:64" ht="186" customHeight="1" x14ac:dyDescent="0.3">
      <c r="A86" s="345"/>
      <c r="B86" s="44"/>
      <c r="C86" s="44"/>
      <c r="D86" s="44"/>
      <c r="E86" s="44"/>
      <c r="F86" s="44"/>
      <c r="G86" s="44"/>
      <c r="H86" s="44"/>
      <c r="I86" s="44"/>
      <c r="J86" s="44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23"/>
      <c r="Z86" s="23"/>
    </row>
    <row r="87" spans="1:64" ht="186" customHeight="1" x14ac:dyDescent="0.3">
      <c r="J87" s="99"/>
      <c r="K87" s="99"/>
      <c r="L87" s="99"/>
      <c r="M87" s="9"/>
      <c r="N87" s="9"/>
      <c r="O87" s="9"/>
      <c r="P87" s="9"/>
      <c r="Q87" s="9"/>
      <c r="R87" s="9"/>
      <c r="S87" s="99"/>
      <c r="T87" s="99"/>
      <c r="U87" s="99"/>
      <c r="V87" s="99"/>
      <c r="W87" s="99"/>
    </row>
    <row r="88" spans="1:64" ht="186" customHeight="1" thickBot="1" x14ac:dyDescent="0.35">
      <c r="E88" s="345"/>
      <c r="F88" s="83"/>
      <c r="G88" s="345"/>
      <c r="H88" s="345"/>
      <c r="I88" s="345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</row>
    <row r="89" spans="1:64" ht="186" customHeight="1" x14ac:dyDescent="0.3">
      <c r="E89" s="345"/>
      <c r="F89" s="83"/>
      <c r="G89" s="345"/>
      <c r="H89" s="345"/>
      <c r="I89" s="345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160"/>
      <c r="X89" s="161"/>
      <c r="Y89" s="161"/>
      <c r="Z89" s="161"/>
      <c r="AA89" s="162"/>
    </row>
    <row r="90" spans="1:64" ht="186" customHeight="1" thickBot="1" x14ac:dyDescent="0.35">
      <c r="E90" s="345"/>
      <c r="F90" s="83"/>
      <c r="G90" s="345"/>
      <c r="H90" s="345"/>
      <c r="I90" s="345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164"/>
      <c r="X90" s="165"/>
      <c r="Y90" s="165"/>
      <c r="Z90" s="165"/>
      <c r="AA90" s="166"/>
    </row>
    <row r="91" spans="1:64" ht="186" customHeight="1" x14ac:dyDescent="0.3">
      <c r="M91" s="99"/>
      <c r="N91" s="99"/>
      <c r="O91" s="99"/>
      <c r="P91" s="99"/>
      <c r="Q91" s="99"/>
      <c r="R91" s="99"/>
    </row>
  </sheetData>
  <mergeCells count="181">
    <mergeCell ref="AJ34:AJ35"/>
    <mergeCell ref="AJ36:AJ37"/>
    <mergeCell ref="AJ38:AJ39"/>
    <mergeCell ref="AJ15:AJ16"/>
    <mergeCell ref="AJ17:AJ18"/>
    <mergeCell ref="AJ19:AJ20"/>
    <mergeCell ref="AJ21:AJ22"/>
    <mergeCell ref="AJ23:AJ24"/>
    <mergeCell ref="AJ25:AJ26"/>
    <mergeCell ref="AJ27:AJ28"/>
    <mergeCell ref="AJ30:AJ31"/>
    <mergeCell ref="AJ32:AJ33"/>
    <mergeCell ref="E88:E90"/>
    <mergeCell ref="G88:G90"/>
    <mergeCell ref="H88:H90"/>
    <mergeCell ref="I88:I90"/>
    <mergeCell ref="AD69:AH70"/>
    <mergeCell ref="G78:H78"/>
    <mergeCell ref="AK61:AN63"/>
    <mergeCell ref="AK66:AP68"/>
    <mergeCell ref="AS66:AS68"/>
    <mergeCell ref="O58:U70"/>
    <mergeCell ref="R83:S83"/>
    <mergeCell ref="T83:U83"/>
    <mergeCell ref="V83:W83"/>
    <mergeCell ref="X80:X81"/>
    <mergeCell ref="Y80:Y81"/>
    <mergeCell ref="Z80:Z81"/>
    <mergeCell ref="R80:R81"/>
    <mergeCell ref="S80:S81"/>
    <mergeCell ref="A84:A86"/>
    <mergeCell ref="R84:S84"/>
    <mergeCell ref="T84:U84"/>
    <mergeCell ref="V84:W84"/>
    <mergeCell ref="Y84:Z84"/>
    <mergeCell ref="E78:F78"/>
    <mergeCell ref="A80:A82"/>
    <mergeCell ref="K75:O78"/>
    <mergeCell ref="B76:D78"/>
    <mergeCell ref="E76:F76"/>
    <mergeCell ref="G76:H76"/>
    <mergeCell ref="I76:J78"/>
    <mergeCell ref="E77:F77"/>
    <mergeCell ref="G77:H77"/>
    <mergeCell ref="S85:T85"/>
    <mergeCell ref="V85:W85"/>
    <mergeCell ref="X85:Y85"/>
    <mergeCell ref="R82:S82"/>
    <mergeCell ref="T82:U82"/>
    <mergeCell ref="V82:W82"/>
    <mergeCell ref="T80:T81"/>
    <mergeCell ref="U80:U81"/>
    <mergeCell ref="V80:V81"/>
    <mergeCell ref="W80:W81"/>
    <mergeCell ref="E50:G57"/>
    <mergeCell ref="BN50:BN51"/>
    <mergeCell ref="BN54:BN55"/>
    <mergeCell ref="BN56:BN57"/>
    <mergeCell ref="AU66:AU68"/>
    <mergeCell ref="AT50:AT51"/>
    <mergeCell ref="O48:U57"/>
    <mergeCell ref="AT48:AT49"/>
    <mergeCell ref="AK58:AN58"/>
    <mergeCell ref="BM76:BM78"/>
    <mergeCell ref="O42:P42"/>
    <mergeCell ref="O43:P43"/>
    <mergeCell ref="BD42:BD43"/>
    <mergeCell ref="BD44:BD45"/>
    <mergeCell ref="AT42:AT43"/>
    <mergeCell ref="AT44:AT45"/>
    <mergeCell ref="AT46:AT47"/>
    <mergeCell ref="BD46:BD47"/>
    <mergeCell ref="BD48:BD49"/>
    <mergeCell ref="BD50:BD51"/>
    <mergeCell ref="BD52:BD53"/>
    <mergeCell ref="O44:P44"/>
    <mergeCell ref="AJ40:AJ41"/>
    <mergeCell ref="AJ42:AJ43"/>
    <mergeCell ref="AJ44:AJ45"/>
    <mergeCell ref="AJ46:AJ47"/>
    <mergeCell ref="AJ48:AJ49"/>
    <mergeCell ref="E37:M37"/>
    <mergeCell ref="O37:U37"/>
    <mergeCell ref="O38:O39"/>
    <mergeCell ref="E44:F45"/>
    <mergeCell ref="G44:G45"/>
    <mergeCell ref="O11:U14"/>
    <mergeCell ref="A12:B14"/>
    <mergeCell ref="E14:G15"/>
    <mergeCell ref="A15:B17"/>
    <mergeCell ref="O15:U18"/>
    <mergeCell ref="E16:G18"/>
    <mergeCell ref="A18:B20"/>
    <mergeCell ref="O19:U36"/>
    <mergeCell ref="E20:G24"/>
    <mergeCell ref="BN13:BN14"/>
    <mergeCell ref="AB2:AI2"/>
    <mergeCell ref="AV2:BC2"/>
    <mergeCell ref="BF2:BM2"/>
    <mergeCell ref="H3:I36"/>
    <mergeCell ref="J3:K36"/>
    <mergeCell ref="L3:M36"/>
    <mergeCell ref="O3:U7"/>
    <mergeCell ref="O8:U10"/>
    <mergeCell ref="E25:G30"/>
    <mergeCell ref="BN15:BN16"/>
    <mergeCell ref="E31:G33"/>
    <mergeCell ref="E34:G35"/>
    <mergeCell ref="E36:G36"/>
    <mergeCell ref="F10:G12"/>
    <mergeCell ref="BN17:BN18"/>
    <mergeCell ref="BN19:BN20"/>
    <mergeCell ref="BN40:BN41"/>
    <mergeCell ref="BN42:BN43"/>
    <mergeCell ref="BN44:BN45"/>
    <mergeCell ref="BN46:BN47"/>
    <mergeCell ref="BN52:BN53"/>
    <mergeCell ref="BN21:BN22"/>
    <mergeCell ref="BN23:BN24"/>
    <mergeCell ref="BN25:BN26"/>
    <mergeCell ref="BN27:BN28"/>
    <mergeCell ref="BN30:BN31"/>
    <mergeCell ref="BN32:BN33"/>
    <mergeCell ref="BN34:BN35"/>
    <mergeCell ref="BN36:BN37"/>
    <mergeCell ref="BN38:BN39"/>
    <mergeCell ref="BN48:BN49"/>
    <mergeCell ref="BN3:BN4"/>
    <mergeCell ref="BN5:BN6"/>
    <mergeCell ref="BN7:BN8"/>
    <mergeCell ref="BN9:BN10"/>
    <mergeCell ref="BD3:BD4"/>
    <mergeCell ref="BD5:BD6"/>
    <mergeCell ref="BD7:BD8"/>
    <mergeCell ref="BD9:BD10"/>
    <mergeCell ref="BD11:BD12"/>
    <mergeCell ref="BN11:BN12"/>
    <mergeCell ref="BD13:BD14"/>
    <mergeCell ref="BD15:BD16"/>
    <mergeCell ref="BD17:BD18"/>
    <mergeCell ref="BD19:BD20"/>
    <mergeCell ref="BD21:BD22"/>
    <mergeCell ref="BD23:BD24"/>
    <mergeCell ref="BD25:BD26"/>
    <mergeCell ref="BD27:BD28"/>
    <mergeCell ref="BD30:BD31"/>
    <mergeCell ref="AT34:AT35"/>
    <mergeCell ref="AT36:AT37"/>
    <mergeCell ref="AT38:AT39"/>
    <mergeCell ref="AT40:AT41"/>
    <mergeCell ref="BD32:BD33"/>
    <mergeCell ref="BD34:BD35"/>
    <mergeCell ref="BD36:BD37"/>
    <mergeCell ref="BD38:BD39"/>
    <mergeCell ref="BF29:BM29"/>
    <mergeCell ref="AV29:BC29"/>
    <mergeCell ref="BD40:BD41"/>
    <mergeCell ref="AB29:AI29"/>
    <mergeCell ref="AO2:AP2"/>
    <mergeCell ref="AT19:AT20"/>
    <mergeCell ref="AT21:AT22"/>
    <mergeCell ref="AT23:AT24"/>
    <mergeCell ref="AT25:AT26"/>
    <mergeCell ref="AT27:AT28"/>
    <mergeCell ref="AT30:AT31"/>
    <mergeCell ref="AT32:AT33"/>
    <mergeCell ref="AT3:AT4"/>
    <mergeCell ref="AT5:AT6"/>
    <mergeCell ref="AT7:AT8"/>
    <mergeCell ref="AT9:AT10"/>
    <mergeCell ref="AT11:AT12"/>
    <mergeCell ref="AT13:AT14"/>
    <mergeCell ref="AT15:AT16"/>
    <mergeCell ref="AT17:AT18"/>
    <mergeCell ref="AL29:AS29"/>
    <mergeCell ref="AJ3:AJ4"/>
    <mergeCell ref="AJ5:AJ6"/>
    <mergeCell ref="AJ7:AJ8"/>
    <mergeCell ref="AJ9:AJ10"/>
    <mergeCell ref="AJ11:AJ12"/>
    <mergeCell ref="AJ13:AJ14"/>
  </mergeCells>
  <phoneticPr fontId="21" type="noConversion"/>
  <printOptions horizontalCentered="1" verticalCentered="1"/>
  <pageMargins left="0" right="0" top="0" bottom="0" header="0.31496062992125984" footer="0.31496062992125984"/>
  <pageSetup paperSize="9" scal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10606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NRB야적장 제품 배치도</vt:lpstr>
      <vt:lpstr>'NRB야적장 제품 배치도'!Print_Area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2107</cp:revision>
  <cp:lastPrinted>2026-10-27T01:07:35Z</cp:lastPrinted>
  <dcterms:created xsi:type="dcterms:W3CDTF">2022-06-03T01:11:30Z</dcterms:created>
  <dcterms:modified xsi:type="dcterms:W3CDTF">2026-10-27T06:38:02Z</dcterms:modified>
  <cp:version>1000.0100.61</cp:version>
</cp:coreProperties>
</file>