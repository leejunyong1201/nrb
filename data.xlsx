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U:\모듈러사업2실\★ 300. 제1공장_마감관리팀\350. 마감진행현황\BH(수정)\2026년 10월 BH\"/>
    </mc:Choice>
  </mc:AlternateContent>
  <xr:revisionPtr revIDLastSave="0" documentId="13_ncr:1_{73527249-2650-4CF2-9293-F618004AEEE0}" xr6:coauthVersionLast="47" xr6:coauthVersionMax="47" xr10:uidLastSave="{00000000-0000-0000-0000-000000000000}"/>
  <bookViews>
    <workbookView xWindow="-120" yWindow="-120" windowWidth="29040" windowHeight="15720" tabRatio="788" xr2:uid="{00000000-000D-0000-FFFF-FFFF00000000}"/>
  </bookViews>
  <sheets>
    <sheet name="NRB야적장 제품 배치도" sheetId="9" r:id="rId1"/>
  </sheets>
  <definedNames>
    <definedName name="_xlnm.Print_Area" localSheetId="0">'NRB야적장 제품 배치도'!$AJ$37:$BC$58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S60" i="9" l="1"/>
  <c r="AR60" i="9" l="1"/>
  <c r="AQ60" i="9"/>
  <c r="AP60" i="9"/>
  <c r="AL60" i="9"/>
  <c r="AK60" i="9"/>
  <c r="AJ60" i="9"/>
  <c r="AN60" i="9"/>
  <c r="AM60" i="9"/>
  <c r="BC70" i="9" l="1"/>
  <c r="BS69" i="9"/>
  <c r="BS68" i="9"/>
  <c r="BD70" i="9"/>
  <c r="BN68" i="9"/>
  <c r="BG68" i="9"/>
  <c r="BU70" i="9"/>
  <c r="BU68" i="9"/>
  <c r="BL69" i="9"/>
  <c r="BI69" i="9"/>
  <c r="BT68" i="9"/>
  <c r="BO69" i="9"/>
  <c r="BR70" i="9"/>
  <c r="BJ68" i="9"/>
  <c r="BV68" i="9"/>
  <c r="AO60" i="9"/>
  <c r="BS70" i="9" s="1"/>
  <c r="BA68" i="9"/>
  <c r="BJ69" i="9" l="1"/>
  <c r="BE70" i="9"/>
  <c r="BA70" i="9"/>
  <c r="BU69" i="9"/>
  <c r="BP68" i="9"/>
  <c r="BK68" i="9"/>
  <c r="BQ69" i="9"/>
  <c r="BP70" i="9"/>
  <c r="BN69" i="9"/>
  <c r="BH69" i="9"/>
  <c r="BB69" i="9"/>
  <c r="BT69" i="9"/>
  <c r="BO68" i="9"/>
  <c r="BM69" i="9"/>
  <c r="BC68" i="9"/>
  <c r="BQ70" i="9"/>
  <c r="BQ68" i="9"/>
  <c r="BR69" i="9"/>
  <c r="BV70" i="9"/>
  <c r="BF69" i="9"/>
  <c r="BT70" i="9"/>
  <c r="BO70" i="9"/>
  <c r="BJ70" i="9"/>
  <c r="BK69" i="9"/>
  <c r="BE69" i="9"/>
  <c r="BF68" i="9"/>
  <c r="BP69" i="9"/>
  <c r="BG69" i="9"/>
  <c r="BE68" i="9"/>
  <c r="BL68" i="9"/>
  <c r="BK70" i="9"/>
  <c r="BC69" i="9"/>
  <c r="BM68" i="9"/>
  <c r="BH68" i="9"/>
  <c r="BB70" i="9"/>
  <c r="BI68" i="9"/>
  <c r="BN70" i="9"/>
  <c r="BD68" i="9"/>
  <c r="BL70" i="9"/>
  <c r="BB68" i="9"/>
  <c r="BF70" i="9"/>
  <c r="BI70" i="9"/>
  <c r="BM70" i="9"/>
  <c r="BH70" i="9"/>
  <c r="BV69" i="9"/>
  <c r="BG70" i="9"/>
  <c r="BA69" i="9"/>
  <c r="BR68" i="9"/>
  <c r="BD69" i="9"/>
  <c r="BW68" i="9" l="1"/>
  <c r="BW69" i="9"/>
  <c r="BW70" i="9"/>
</calcChain>
</file>

<file path=xl/sharedStrings.xml><?xml version="1.0" encoding="utf-8"?>
<sst xmlns="http://schemas.openxmlformats.org/spreadsheetml/2006/main" count="819" uniqueCount="676">
  <si>
    <t>공업화 주택 샘플</t>
  </si>
  <si>
    <t>경북 소프트
사생실
샘플</t>
  </si>
  <si>
    <t xml:space="preserve"> </t>
  </si>
  <si>
    <t>경 비 소</t>
  </si>
  <si>
    <t>A L C</t>
  </si>
  <si>
    <t>포스코A&amp;C모듈</t>
  </si>
  <si>
    <t>중복도
일반실
한양대 
해체모듈</t>
  </si>
  <si>
    <t>D라인</t>
    <phoneticPr fontId="24" type="noConversion"/>
  </si>
  <si>
    <t>C라인</t>
    <phoneticPr fontId="24" type="noConversion"/>
  </si>
  <si>
    <t>B라인</t>
    <phoneticPr fontId="24" type="noConversion"/>
  </si>
  <si>
    <t>A라인</t>
    <phoneticPr fontId="24" type="noConversion"/>
  </si>
  <si>
    <t>BH 샘플</t>
    <phoneticPr fontId="24" type="noConversion"/>
  </si>
  <si>
    <t>LH 샘플</t>
    <phoneticPr fontId="24" type="noConversion"/>
  </si>
  <si>
    <t>외국인 기숙사</t>
    <phoneticPr fontId="24" type="noConversion"/>
  </si>
  <si>
    <t xml:space="preserve"> 대자 운행통로   ▼우측(도로바라봤을때)  ::  ▲좌측(도로바라봤을때)                                          대자 운행통로   ▼우측(도로바라봤을때)  ::  ▲좌측(도로바라봤을때)</t>
    <phoneticPr fontId="24" type="noConversion"/>
  </si>
  <si>
    <t>자재정리 및 폐기장소</t>
  </si>
  <si>
    <t>골재 야적장</t>
  </si>
  <si>
    <t>금천시스템
모듈</t>
    <phoneticPr fontId="24" type="noConversion"/>
  </si>
  <si>
    <t>A/L 몰딩지그대</t>
  </si>
  <si>
    <t>창고</t>
  </si>
  <si>
    <t>D동</t>
  </si>
  <si>
    <t xml:space="preserve"> C-2
동
공
장</t>
  </si>
  <si>
    <t>B-2
동
공
장</t>
  </si>
  <si>
    <t>A-2
동
공
장</t>
  </si>
  <si>
    <t>골재 배합기 슬로프</t>
  </si>
  <si>
    <t>BS2 골재 배합기</t>
  </si>
  <si>
    <t>레이저 절단기</t>
  </si>
  <si>
    <t>BS2 컨베어및
메인 컨트롤러</t>
  </si>
  <si>
    <t>유류
창고</t>
  </si>
  <si>
    <t>전기</t>
  </si>
  <si>
    <t>한양전기 
창고</t>
  </si>
  <si>
    <t>한양전기
사무실</t>
  </si>
  <si>
    <t>13동</t>
  </si>
  <si>
    <t>비품장고</t>
  </si>
  <si>
    <t>식당</t>
  </si>
  <si>
    <t>비품창고
(남자샤워실)</t>
  </si>
  <si>
    <t>비품창고
(여자샤워실)</t>
  </si>
  <si>
    <t>기밀</t>
  </si>
  <si>
    <t>중 앙 통 로</t>
  </si>
  <si>
    <t>C-1
동
공
장</t>
  </si>
  <si>
    <t>B-1
동
공
장</t>
  </si>
  <si>
    <t>A-1
동
공
장</t>
  </si>
  <si>
    <t>디자인
브로</t>
  </si>
  <si>
    <t>태광
판넬</t>
  </si>
  <si>
    <t>쉘터
(BS2)</t>
  </si>
  <si>
    <t>N
R
B
설
계
실</t>
  </si>
  <si>
    <t>N
R
B
사
무
동</t>
  </si>
  <si>
    <t>쉘터
(철골)</t>
  </si>
  <si>
    <t xml:space="preserve">교실 
지그대
</t>
  </si>
  <si>
    <t>철
골
자
재</t>
  </si>
  <si>
    <t>창  고</t>
  </si>
  <si>
    <t>중앙창고</t>
    <phoneticPr fontId="24" type="noConversion"/>
  </si>
  <si>
    <t>PC</t>
    <phoneticPr fontId="24" type="noConversion"/>
  </si>
  <si>
    <t>가스탱크</t>
    <phoneticPr fontId="24" type="noConversion"/>
  </si>
  <si>
    <t>다인</t>
    <phoneticPr fontId="24" type="noConversion"/>
  </si>
  <si>
    <t>다인</t>
  </si>
  <si>
    <t>2F</t>
    <phoneticPr fontId="24" type="noConversion"/>
  </si>
  <si>
    <t xml:space="preserve"> 대차 운행통로   ▼우측(도로바라봤을때)  ::  ▲좌측(도로바라봤을때)</t>
    <phoneticPr fontId="24" type="noConversion"/>
  </si>
  <si>
    <t xml:space="preserve"> 대차 운행통로   ▼우측(도로바라봤을때)  ::  ▲좌측(도로바라봤을때)</t>
    <phoneticPr fontId="24" type="noConversion"/>
  </si>
  <si>
    <t>401-18-9/
26SA01
NONE
2026-7-1</t>
    <phoneticPr fontId="24" type="noConversion"/>
  </si>
  <si>
    <t>401-15-6/
46SB76
NONE
2026-7-13</t>
    <phoneticPr fontId="24" type="noConversion"/>
  </si>
  <si>
    <t>401-12-6/
46SB76
NONE
2026-7-13</t>
    <phoneticPr fontId="24" type="noConversion"/>
  </si>
  <si>
    <t>401-13-9/
26SA01
NONE
2026-6-22</t>
    <phoneticPr fontId="24" type="noConversion"/>
  </si>
  <si>
    <t>401-12-4/
46SB02
NONE
2026-7-1</t>
    <phoneticPr fontId="24" type="noConversion"/>
  </si>
  <si>
    <t>401-18-6/
46SB76
NONE
2026-6-18</t>
    <phoneticPr fontId="24" type="noConversion"/>
  </si>
  <si>
    <t>401-12-9/
26SA01
NONE
2026-6-18</t>
    <phoneticPr fontId="24" type="noConversion"/>
  </si>
  <si>
    <t>401-11-6/
46SB42
NONE
2026-7-7</t>
    <phoneticPr fontId="24" type="noConversion"/>
  </si>
  <si>
    <t>401-17-6/
46SB76
NONE
2026-6-17</t>
    <phoneticPr fontId="24" type="noConversion"/>
  </si>
  <si>
    <t>401-14-9/
26SA01
NONE
2026-6-18</t>
    <phoneticPr fontId="24" type="noConversion"/>
  </si>
  <si>
    <t>401-7-2/
46SB42
NONE
2026-7-7</t>
    <phoneticPr fontId="24" type="noConversion"/>
  </si>
  <si>
    <t>401-13-4/
46SB02
NONE
2026-7-1</t>
    <phoneticPr fontId="24" type="noConversion"/>
  </si>
  <si>
    <t>403-4-11/
46SA03
NONE
2026-8-4</t>
    <phoneticPr fontId="24" type="noConversion"/>
  </si>
  <si>
    <t>401-11-9/
26SA01
NONE
2026-6-18</t>
    <phoneticPr fontId="24" type="noConversion"/>
  </si>
  <si>
    <t>401-13-2/
46SB42
NONE
2026-7-3</t>
    <phoneticPr fontId="24" type="noConversion"/>
  </si>
  <si>
    <t>401-16-4/
46SB02
NONE
2026-7-1</t>
    <phoneticPr fontId="24" type="noConversion"/>
  </si>
  <si>
    <t>401-8-9/
26SA01
NONE
2026-6-18</t>
    <phoneticPr fontId="24" type="noConversion"/>
  </si>
  <si>
    <t>401-11-4/
46SB02
NONE
2026-7-1</t>
    <phoneticPr fontId="24" type="noConversion"/>
  </si>
  <si>
    <t>401-14-6/
46SB76
NONE
2026-6-15</t>
    <phoneticPr fontId="24" type="noConversion"/>
  </si>
  <si>
    <t>401-18-7/
26SA01
NONE
2026-6-18</t>
    <phoneticPr fontId="24" type="noConversion"/>
  </si>
  <si>
    <t>401-16-2/
46SB42
NONE
2026-6-22</t>
    <phoneticPr fontId="24" type="noConversion"/>
  </si>
  <si>
    <t>401-17-2/
46SB42
NONE
2026-6-14</t>
    <phoneticPr fontId="24" type="noConversion"/>
  </si>
  <si>
    <t>401-11-7/
26SA01
NONE
2026-6-14</t>
    <phoneticPr fontId="24" type="noConversion"/>
  </si>
  <si>
    <t>401-18-2/
46SB42
NONE
2026-6-9</t>
    <phoneticPr fontId="24" type="noConversion"/>
  </si>
  <si>
    <t>401-14-7/
26SA01
NONE
2026-6-14</t>
    <phoneticPr fontId="24" type="noConversion"/>
  </si>
  <si>
    <t>401-10-9/
26SA01
NONE
2026-6-16</t>
    <phoneticPr fontId="24" type="noConversion"/>
  </si>
  <si>
    <t>401-10-7/
26SA01
NONE
2026-6-10</t>
    <phoneticPr fontId="24" type="noConversion"/>
  </si>
  <si>
    <t>401-11-11/
26SA41
NONE
2026-7-21</t>
    <phoneticPr fontId="24" type="noConversion"/>
  </si>
  <si>
    <t>401-13-7/
26SA01
NONE
2026-6-10</t>
    <phoneticPr fontId="24" type="noConversion"/>
  </si>
  <si>
    <t>401-17-7/
26SA01
NONE
2026-6-16</t>
    <phoneticPr fontId="24" type="noConversion"/>
  </si>
  <si>
    <t>401-15-7/
26SA01
NONE
2026-6-14</t>
    <phoneticPr fontId="24" type="noConversion"/>
  </si>
  <si>
    <t>401-9-9/
26SA01
NONE
2026-6-18</t>
    <phoneticPr fontId="24" type="noConversion"/>
  </si>
  <si>
    <t>401-16-7/
26SA01
NONE
2026-6-14</t>
    <phoneticPr fontId="24" type="noConversion"/>
  </si>
  <si>
    <t>401-7-9/
26SA01
NONE
2026-6-18</t>
    <phoneticPr fontId="24" type="noConversion"/>
  </si>
  <si>
    <t>401-15-2/
46SB42
NONE
2026-7-5</t>
    <phoneticPr fontId="24" type="noConversion"/>
  </si>
  <si>
    <t>401-13-11/
26SA41
NONE
2026-7-21</t>
    <phoneticPr fontId="24" type="noConversion"/>
  </si>
  <si>
    <t>401-8-11/
26SA41
NONE
2026-7-5</t>
    <phoneticPr fontId="24" type="noConversion"/>
  </si>
  <si>
    <t>401-14-2/
46SB42
NONE
2026-7-19</t>
    <phoneticPr fontId="24" type="noConversion"/>
  </si>
  <si>
    <t>401-14-4/
46SB02
NONE
2026-7-19</t>
    <phoneticPr fontId="24" type="noConversion"/>
  </si>
  <si>
    <t>401-13-13/
26SA03
NONE
2026-7-21</t>
    <phoneticPr fontId="24" type="noConversion"/>
  </si>
  <si>
    <t>401-16-11/
26SA41
NONE
2026-7-15</t>
    <phoneticPr fontId="24" type="noConversion"/>
  </si>
  <si>
    <t>401-10-2/
46SB42
NONE
2026-7-15</t>
    <phoneticPr fontId="24" type="noConversion"/>
  </si>
  <si>
    <t>401-11-2/
46SB42
NONE
2026-7-19</t>
    <phoneticPr fontId="24" type="noConversion"/>
  </si>
  <si>
    <t>401-17-11/
26SA41
NONE
2026-7-19</t>
    <phoneticPr fontId="24" type="noConversion"/>
  </si>
  <si>
    <t>401-18-11/
26SA41
NONE
2026-7-19</t>
    <phoneticPr fontId="24" type="noConversion"/>
  </si>
  <si>
    <t>401-10-6/
46SB76
NONE
2026-6-17</t>
    <phoneticPr fontId="24" type="noConversion"/>
  </si>
  <si>
    <t>403-5-6/
26SH02
NONE
2026-8-1</t>
    <phoneticPr fontId="24" type="noConversion"/>
  </si>
  <si>
    <t>401-8-4/
46SB02
NONE
2026-6-4</t>
    <phoneticPr fontId="24" type="noConversion"/>
  </si>
  <si>
    <t>401-15-4/
46SB02
NONE
2026-6-1</t>
    <phoneticPr fontId="24" type="noConversion"/>
  </si>
  <si>
    <t>401-10-4/
46SB02
NONE
2026-6-1</t>
    <phoneticPr fontId="24" type="noConversion"/>
  </si>
  <si>
    <t>401-18-4/
46SB02
NONE
2026-5-26</t>
    <phoneticPr fontId="24" type="noConversion"/>
  </si>
  <si>
    <t>401-9-4/
46SB02
NONE
2026-5-26</t>
    <phoneticPr fontId="24" type="noConversion"/>
  </si>
  <si>
    <t>401-8-6/
46SB76
NONE
2026-4-21</t>
    <phoneticPr fontId="24" type="noConversion"/>
  </si>
  <si>
    <t>401-7-4/
46SB02
NONE
2026-5-26</t>
    <phoneticPr fontId="24" type="noConversion"/>
  </si>
  <si>
    <t>401-12-2/
46SB42
NONE
2026-6-7</t>
    <phoneticPr fontId="24" type="noConversion"/>
  </si>
  <si>
    <t>401-17-4/
46SB02
NONE
2026-5-26</t>
    <phoneticPr fontId="24" type="noConversion"/>
  </si>
  <si>
    <t>401-9-6/
46SB76
NONE
2026-4-27</t>
    <phoneticPr fontId="24" type="noConversion"/>
  </si>
  <si>
    <t>403-2-13/
46SB41
NONE
2026-8-5</t>
    <phoneticPr fontId="24" type="noConversion"/>
  </si>
  <si>
    <t>403-1-10/
46SA06
NONE
2026-8-11</t>
    <phoneticPr fontId="24" type="noConversion"/>
  </si>
  <si>
    <t>401-7-6/
46SB76
NONE
2026-4-27</t>
    <phoneticPr fontId="24" type="noConversion"/>
  </si>
  <si>
    <t>403-7-11/
46SA01
NONE
2026-8-20</t>
    <phoneticPr fontId="24" type="noConversion"/>
  </si>
  <si>
    <t>403-4-13/
46SB41
NONE
2026-8-5</t>
    <phoneticPr fontId="24" type="noConversion"/>
  </si>
  <si>
    <t>403-4-9/
46SA57
NONE
2026-8-2</t>
    <phoneticPr fontId="24" type="noConversion"/>
  </si>
  <si>
    <t>403-5-9/
46SA57
NONE
2026-8-11</t>
    <phoneticPr fontId="24" type="noConversion"/>
  </si>
  <si>
    <t>403-5-13/
46SB41
NONE
2026-8-4</t>
    <phoneticPr fontId="24" type="noConversion"/>
  </si>
  <si>
    <t>403-3-13/
46SB41
NONE
2026-8-9</t>
    <phoneticPr fontId="24" type="noConversion"/>
  </si>
  <si>
    <t>401-9-2/
46SB42
NONE
2026-7-22</t>
    <phoneticPr fontId="24" type="noConversion"/>
  </si>
  <si>
    <t>401-13-6/
46SB76
NONE
2026-4-27</t>
    <phoneticPr fontId="24" type="noConversion"/>
  </si>
  <si>
    <t>403-3-9/
46SA57
NONE
2026-8-9</t>
    <phoneticPr fontId="24" type="noConversion"/>
  </si>
  <si>
    <t>403-1-9/
46SA75
NONE
2026-8-1</t>
    <phoneticPr fontId="24" type="noConversion"/>
  </si>
  <si>
    <t>403-1-11/
46SA01
NONE
2026-8-10</t>
    <phoneticPr fontId="24" type="noConversion"/>
  </si>
  <si>
    <t>403-5-11/
46SA01
NONE
2026-8-17</t>
    <phoneticPr fontId="24" type="noConversion"/>
  </si>
  <si>
    <t>403-2-11/
46SA01
NONE
2026-8-20</t>
    <phoneticPr fontId="24" type="noConversion"/>
  </si>
  <si>
    <t>403-2-9/
46SA57
NONE
2026-8-9</t>
    <phoneticPr fontId="24" type="noConversion"/>
  </si>
  <si>
    <t>401-18-13/
26SA03
NONE
2026-4-16</t>
    <phoneticPr fontId="24" type="noConversion"/>
  </si>
  <si>
    <t>403-3-11/
46SA01
NONE
2026-8-9</t>
    <phoneticPr fontId="24" type="noConversion"/>
  </si>
  <si>
    <t>403-1-4/
26SB68
NONE
2026-8-17</t>
    <phoneticPr fontId="24" type="noConversion"/>
  </si>
  <si>
    <t>403-3-8/
26HB04
NONE
2026-8-12</t>
    <phoneticPr fontId="24" type="noConversion"/>
  </si>
  <si>
    <t>403-2-8/
26HB04
NONE
2026-8-10</t>
    <phoneticPr fontId="24" type="noConversion"/>
  </si>
  <si>
    <t>401-17-12/
26SB04
NONE
2026-8-10</t>
    <phoneticPr fontId="24" type="noConversion"/>
  </si>
  <si>
    <t>401-7-11/
26SA41
NONE
2026-7-15</t>
    <phoneticPr fontId="24" type="noConversion"/>
  </si>
  <si>
    <t>403-1-6/
26SB62
NONE
2026-8-17</t>
    <phoneticPr fontId="24" type="noConversion"/>
  </si>
  <si>
    <t>401-9-7/
26SA01
NONE
2026-6-9</t>
    <phoneticPr fontId="24" type="noConversion"/>
  </si>
  <si>
    <t>403-5-8/
26HB04
NONE
2026-8-17</t>
    <phoneticPr fontId="24" type="noConversion"/>
  </si>
  <si>
    <t>403-5-2/
26SB54
NONE
2026-8-5</t>
    <phoneticPr fontId="24" type="noConversion"/>
  </si>
  <si>
    <t>403-4-2/
26SB54
NONE
2026-8-8</t>
    <phoneticPr fontId="24" type="noConversion"/>
  </si>
  <si>
    <t>403-3-4/
26HB42
NONE
2026-8-5</t>
    <phoneticPr fontId="24" type="noConversion"/>
  </si>
  <si>
    <t>403-3-6/
26HB02
NONE
2026-8-9</t>
    <phoneticPr fontId="24" type="noConversion"/>
  </si>
  <si>
    <t>403-6-4/
26HB42
NONE
2026-8-17</t>
    <phoneticPr fontId="24" type="noConversion"/>
  </si>
  <si>
    <t>401-11-13/
26SA03
NONE
2026-4-13</t>
    <phoneticPr fontId="24" type="noConversion"/>
  </si>
  <si>
    <t>403-2-2/
26SB54
NONE
2026-8-8</t>
    <phoneticPr fontId="24" type="noConversion"/>
  </si>
  <si>
    <t>403-4-6/
26HB02
NONE
2026-8-9</t>
    <phoneticPr fontId="24" type="noConversion"/>
  </si>
  <si>
    <t>403-2-6/
26HB02
NONE
2026-8-18</t>
    <phoneticPr fontId="24" type="noConversion"/>
  </si>
  <si>
    <t>401-9-13/
26SA03
NONE
2026-4-16</t>
    <phoneticPr fontId="24" type="noConversion"/>
  </si>
  <si>
    <t>401-12-11/
26SA41
NONE
2026-8-4</t>
    <phoneticPr fontId="24" type="noConversion"/>
  </si>
  <si>
    <t>401-9-11/
26SA41
NONE
2026-7-7</t>
    <phoneticPr fontId="24" type="noConversion"/>
  </si>
  <si>
    <t>403-4-8/
26HB04
NONE
2026-8-17</t>
    <phoneticPr fontId="24" type="noConversion"/>
  </si>
  <si>
    <t>403-5-4/
26HB42
NONE
2026-8-8</t>
    <phoneticPr fontId="24" type="noConversion"/>
  </si>
  <si>
    <t>401-6-13/
26SA03
NONE
2026-4-27</t>
    <phoneticPr fontId="24" type="noConversion"/>
  </si>
  <si>
    <t>401-7-13/
26SA03
NONE
2026-4-27</t>
    <phoneticPr fontId="24" type="noConversion"/>
  </si>
  <si>
    <t>403-3-2/
26SB54
NONE
2026-8-8</t>
    <phoneticPr fontId="24" type="noConversion"/>
  </si>
  <si>
    <t>401-15-11/
26SA41
NONE
2026-7-13</t>
    <phoneticPr fontId="24" type="noConversion"/>
  </si>
  <si>
    <t>401-14-11/
26SA02
NONE
2026-7-15</t>
    <phoneticPr fontId="24" type="noConversion"/>
  </si>
  <si>
    <t>401-8-13/
26SA03
NONE
2026-6-4</t>
    <phoneticPr fontId="24" type="noConversion"/>
  </si>
  <si>
    <t>403-2-4/
26HB42
NONE
2026-8-8</t>
    <phoneticPr fontId="24" type="noConversion"/>
  </si>
  <si>
    <t>401-12-7/
26SA01
NONE
2026-6-9</t>
    <phoneticPr fontId="24" type="noConversion"/>
  </si>
  <si>
    <t>401-17-13/
26SA03
NONE
2026-5-26</t>
    <phoneticPr fontId="24" type="noConversion"/>
  </si>
  <si>
    <t>401-8-7/
26SA01
NONE
2026.-6-4</t>
    <phoneticPr fontId="24" type="noConversion"/>
  </si>
  <si>
    <t>401-12-13/
26SA03
NONE
2026-6-1</t>
    <phoneticPr fontId="24" type="noConversion"/>
  </si>
  <si>
    <t>401-10-13/
26SA03
NONE
2026-4-6</t>
    <phoneticPr fontId="24" type="noConversion"/>
  </si>
  <si>
    <t>401-15-13/
26SA03
NONE
2026-5-26</t>
    <phoneticPr fontId="24" type="noConversion"/>
  </si>
  <si>
    <t>401-7-7/
26SA01
NONE
2026-6-4</t>
    <phoneticPr fontId="24" type="noConversion"/>
  </si>
  <si>
    <t>401-14-13/
26SA03
NONE
2026-6-1</t>
    <phoneticPr fontId="24" type="noConversion"/>
  </si>
  <si>
    <t>401-16-9/
26SA01
NONE
2026-7-1</t>
    <phoneticPr fontId="24" type="noConversion"/>
  </si>
  <si>
    <t>403-4-4/
26HB42
NONE
2026-8-4</t>
    <phoneticPr fontId="24" type="noConversion"/>
  </si>
  <si>
    <t>401-9-8/
26SA02
26A(B-1)
2026-7-1</t>
    <phoneticPr fontId="24" type="noConversion"/>
  </si>
  <si>
    <t>401-8-8/
26SA02
26A(B-1)
2026-7-1</t>
    <phoneticPr fontId="24" type="noConversion"/>
  </si>
  <si>
    <t>401-15-9/
26SA01
NONE
2026-7-1</t>
    <phoneticPr fontId="24" type="noConversion"/>
  </si>
  <si>
    <t>401-10-8/
26SA02
26A(B-1)
2026-7-1</t>
    <phoneticPr fontId="24" type="noConversion"/>
  </si>
  <si>
    <t>401-9-3/
46SB01
46A(A)
2026-6-7</t>
    <phoneticPr fontId="24" type="noConversion"/>
  </si>
  <si>
    <t>401-17-9/
26SA01
NONE
2026-7-1</t>
    <phoneticPr fontId="24" type="noConversion"/>
  </si>
  <si>
    <t>401-11-8/
26SA02
26A(B-1)
2026-7-1</t>
    <phoneticPr fontId="24" type="noConversion"/>
  </si>
  <si>
    <t>401-8-2/
46SB42
NONE
2026-7-15</t>
    <phoneticPr fontId="24" type="noConversion"/>
  </si>
  <si>
    <t>401-16-6/
46SB76
NONE
2026-7-13</t>
    <phoneticPr fontId="24" type="noConversion"/>
  </si>
  <si>
    <t>401-8-1/
46SB73
46C(A)
2026-5-28</t>
    <phoneticPr fontId="24" type="noConversion"/>
  </si>
  <si>
    <t>401-13-1/
46SB73
46C(A)
2026-6-1</t>
    <phoneticPr fontId="24" type="noConversion"/>
  </si>
  <si>
    <t>401-11-3/
46SB01
46A(A)
2026-5-27</t>
    <phoneticPr fontId="24" type="noConversion"/>
  </si>
  <si>
    <t>401-12-3/
46SB01
46A(A)
2026-6-1</t>
    <phoneticPr fontId="24" type="noConversion"/>
  </si>
  <si>
    <t>401-18-1/
46SB73
46C(A)
2026-6-4</t>
    <phoneticPr fontId="24" type="noConversion"/>
  </si>
  <si>
    <t>401-17-1/
46SB73
46C(A)
2026-5-26</t>
    <phoneticPr fontId="24" type="noConversion"/>
  </si>
  <si>
    <t>401-13-3/
46SB01
46A(A)
2026-6-1</t>
    <phoneticPr fontId="24" type="noConversion"/>
  </si>
  <si>
    <t>401-12-8/
26SA02
26A(B-1)
2026-7-1</t>
    <phoneticPr fontId="24" type="noConversion"/>
  </si>
  <si>
    <t>401-18-3/
46SB01
46A(A)
2026-7-13</t>
    <phoneticPr fontId="24" type="noConversion"/>
  </si>
  <si>
    <t>401-12-1/
46SB73
46C(A)
2026-5-26</t>
    <phoneticPr fontId="24" type="noConversion"/>
  </si>
  <si>
    <t>401-11-14/
26SA74
26A(B-1)
2026-7-1</t>
    <phoneticPr fontId="24" type="noConversion"/>
  </si>
  <si>
    <t>401-17-14/
26SA74
26A(B-1)
2026-7-1</t>
    <phoneticPr fontId="24" type="noConversion"/>
  </si>
  <si>
    <t>401-7-5/
46SB05
46A(A)
2026-6-22</t>
    <phoneticPr fontId="24" type="noConversion"/>
  </si>
  <si>
    <t>401-9-1/
46SB73
46C(A)
2026-4-13</t>
    <phoneticPr fontId="24" type="noConversion"/>
  </si>
  <si>
    <t>403-7-10/
46SA52
46A(A-1)
2026-8-20</t>
    <phoneticPr fontId="24" type="noConversion"/>
  </si>
  <si>
    <t>401-7-8/
26SA02
26A(B-1)
2026-7-1</t>
    <phoneticPr fontId="24" type="noConversion"/>
  </si>
  <si>
    <t>401-8-5/
46SB05
46A(A)
2026-7-1</t>
    <phoneticPr fontId="24" type="noConversion"/>
  </si>
  <si>
    <t>401-12-5/
46SB05
46A(A)
2026-6-18</t>
    <phoneticPr fontId="24" type="noConversion"/>
  </si>
  <si>
    <t>403-3-10/
46SA52
46A(A-1)
2026-8-17</t>
    <phoneticPr fontId="24" type="noConversion"/>
  </si>
  <si>
    <t>403-4-10/
46SA52
46A(A-1)
2026-8-17</t>
    <phoneticPr fontId="24" type="noConversion"/>
  </si>
  <si>
    <t>403-5-12/
46SA01
46A(A-1)
2026-8-11</t>
    <phoneticPr fontId="24" type="noConversion"/>
  </si>
  <si>
    <t>403-2-12/
46SA02
46A(A-1)
2026-8-5</t>
    <phoneticPr fontId="24" type="noConversion"/>
  </si>
  <si>
    <t>401-9-5/
46SB05
46A(A)
2026-7-13</t>
    <phoneticPr fontId="24" type="noConversion"/>
  </si>
  <si>
    <t>403-6-14/
46SA74
46B(A-1)
2026-8-19</t>
    <phoneticPr fontId="24" type="noConversion"/>
  </si>
  <si>
    <t>403-3-14/
46SA74
46B(A-1)
2026-8-17</t>
    <phoneticPr fontId="24" type="noConversion"/>
  </si>
  <si>
    <t>403-2-10/
46SA52
46A(A-1)
2026-8-3</t>
    <phoneticPr fontId="24" type="noConversion"/>
  </si>
  <si>
    <t>403-3-12/
46SA02
46A(A-1)
2026-8-4</t>
    <phoneticPr fontId="24" type="noConversion"/>
  </si>
  <si>
    <t>401-15-5/
46SB05
46A(A)
2026-6-18</t>
    <phoneticPr fontId="24" type="noConversion"/>
  </si>
  <si>
    <t>401-11-1/
46SB73
46C(A)
2026-4-6</t>
    <phoneticPr fontId="24" type="noConversion"/>
  </si>
  <si>
    <t>403-5-10/
46SA52
46A(A-1)
2026-8-2</t>
    <phoneticPr fontId="24" type="noConversion"/>
  </si>
  <si>
    <t>401-7-1/
46SB73
46C(A)
2026-4-17</t>
    <phoneticPr fontId="24" type="noConversion"/>
  </si>
  <si>
    <t>401-13-5/
46SB05
46A(A)
2026-6-17</t>
    <phoneticPr fontId="24" type="noConversion"/>
  </si>
  <si>
    <t>401-15-1/
46SB73
46C(A)
2026-5-20</t>
    <phoneticPr fontId="24" type="noConversion"/>
  </si>
  <si>
    <t>403-4-12/
46SA02
46A(A-1)
2026-8-9</t>
    <phoneticPr fontId="24" type="noConversion"/>
  </si>
  <si>
    <t>401-15-3/
46SB01
46A(A)
2026-7-5</t>
    <phoneticPr fontId="24" type="noConversion"/>
  </si>
  <si>
    <t>403-4-14/
46SA74
46B(A-1)
2026-8-17</t>
    <phoneticPr fontId="24" type="noConversion"/>
  </si>
  <si>
    <t>403-2-14/
46SA74
46B(A-1)
2026-8-17</t>
    <phoneticPr fontId="24" type="noConversion"/>
  </si>
  <si>
    <t>401-17-3/
46SB01
46A(A)
2026-7-5</t>
    <phoneticPr fontId="24" type="noConversion"/>
  </si>
  <si>
    <t>401-16-3/
46SB01
46A(A)
2026-6-14</t>
    <phoneticPr fontId="24" type="noConversion"/>
  </si>
  <si>
    <t>403-3-1/
26SB73
26A(B)
2026-8-19</t>
    <phoneticPr fontId="24" type="noConversion"/>
  </si>
  <si>
    <t>403-1-1/
26SB73
26A(B)
2062-8-17</t>
    <phoneticPr fontId="24" type="noConversion"/>
  </si>
  <si>
    <t>401-16-1/
46SB73
46C(A)
2026-4-20</t>
    <phoneticPr fontId="24" type="noConversion"/>
  </si>
  <si>
    <t>403-1-3/
26SB03
26A(B)
2026-8-18</t>
    <phoneticPr fontId="24" type="noConversion"/>
  </si>
  <si>
    <t>403-6-5/
26BH01
26AS(C)
2026-8-12</t>
    <phoneticPr fontId="24" type="noConversion"/>
  </si>
  <si>
    <t>401-14-3/
46SB01
46A(A)
2026-7-5</t>
    <phoneticPr fontId="24" type="noConversion"/>
  </si>
  <si>
    <t>401-17-5/
46SB05
46A(A)
2026-6-15</t>
    <phoneticPr fontId="24" type="noConversion"/>
  </si>
  <si>
    <t>401-12-10/
26SA02
26A(B-1)
2026-7-15</t>
    <phoneticPr fontId="24" type="noConversion"/>
  </si>
  <si>
    <t>403-11-14/
46SA74
46B(A-1)
2026-7-26</t>
    <phoneticPr fontId="24" type="noConversion"/>
  </si>
  <si>
    <t>401-18-5/
46SB05
46A(A)
2026-7-1</t>
    <phoneticPr fontId="24" type="noConversion"/>
  </si>
  <si>
    <t>401-7-3/
46SB01
46A(A)
2026-6-9</t>
    <phoneticPr fontId="24" type="noConversion"/>
  </si>
  <si>
    <t>403-4-5/
26HB01
26AS(C)
2026-8-12</t>
    <phoneticPr fontId="24" type="noConversion"/>
  </si>
  <si>
    <t>403-15-14/
46SA74
46B(A-1)
2026-7-23</t>
    <phoneticPr fontId="24" type="noConversion"/>
  </si>
  <si>
    <t>403-2-5/
26HB01
26AS(C)
2026-8-11</t>
    <phoneticPr fontId="24" type="noConversion"/>
  </si>
  <si>
    <t>401-13-12/
26SA04
26A(B-1)
2026-4-22</t>
    <phoneticPr fontId="24" type="noConversion"/>
  </si>
  <si>
    <t>403-16-14/
46SA74
46B(A-1)
2026-7-22</t>
    <phoneticPr fontId="24" type="noConversion"/>
  </si>
  <si>
    <t>403-2-7/
26HB01
26AS(C)
2026-8-8</t>
    <phoneticPr fontId="24" type="noConversion"/>
  </si>
  <si>
    <t>401-18-12/
26SA04
26A(B-1)
2026-4-22</t>
    <phoneticPr fontId="24" type="noConversion"/>
  </si>
  <si>
    <t>401-13-14/
26SA74
26A(B-1)
2026-5-26</t>
    <phoneticPr fontId="24" type="noConversion"/>
  </si>
  <si>
    <t>401-15-10/
26SA02
26A(B-1)
2026-7-15</t>
    <phoneticPr fontId="24" type="noConversion"/>
  </si>
  <si>
    <t>401-10-10/
26SA02
26A(B-1)
2026-7-13</t>
    <phoneticPr fontId="24" type="noConversion"/>
  </si>
  <si>
    <t>401-8-12/
26SA04
26A(B-1)
2026-4-8</t>
    <phoneticPr fontId="24" type="noConversion"/>
  </si>
  <si>
    <t>401-10-5/
46SB05
46A(A)
2026-6-14</t>
    <phoneticPr fontId="24" type="noConversion"/>
  </si>
  <si>
    <t>403-10-1/
26SB73
26A(B)
2026-8-2</t>
    <phoneticPr fontId="24" type="noConversion"/>
  </si>
  <si>
    <t>403-5-1/
26SB73
26A(B)
2026-8-8</t>
    <phoneticPr fontId="24" type="noConversion"/>
  </si>
  <si>
    <t>401-9-10/
26SA02
26A(B-1)
2026-7-13</t>
    <phoneticPr fontId="24" type="noConversion"/>
  </si>
  <si>
    <t>401-16-12/
26SA04
26A(B-1)
2026-4-28</t>
    <phoneticPr fontId="24" type="noConversion"/>
  </si>
  <si>
    <t>403-5-5/
26HB01
26AS(C)
2026-8-2</t>
    <phoneticPr fontId="24" type="noConversion"/>
  </si>
  <si>
    <t>403-5-7/
26HB01
26AS(C)
2026-8-3</t>
    <phoneticPr fontId="24" type="noConversion"/>
  </si>
  <si>
    <t>401-7-12/
26SA04
26A(B-1)
2026-4-27</t>
    <phoneticPr fontId="24" type="noConversion"/>
  </si>
  <si>
    <t>403-2-1/
26SB73
26A(B)
2026-8-1</t>
    <phoneticPr fontId="24" type="noConversion"/>
  </si>
  <si>
    <t>403-3-5/
26HB01
26AS(C)
2026-8-3</t>
    <phoneticPr fontId="24" type="noConversion"/>
  </si>
  <si>
    <t>403-9-1/
26SB73
26A(B)
2026-8-1</t>
    <phoneticPr fontId="24" type="noConversion"/>
  </si>
  <si>
    <t>403-6-7/
26HB01
26AS(C)
2026-8-17</t>
    <phoneticPr fontId="24" type="noConversion"/>
  </si>
  <si>
    <t>401-12-14/
26SA74
26A(B-1)
2026-5-28</t>
    <phoneticPr fontId="24" type="noConversion"/>
  </si>
  <si>
    <t>401-9-12/
26SA04
26A(B-1)
2026-4-8</t>
    <phoneticPr fontId="24" type="noConversion"/>
  </si>
  <si>
    <t>401-9-14/
26SA74
26A(B-1)
2026-5-28</t>
    <phoneticPr fontId="24" type="noConversion"/>
  </si>
  <si>
    <t>403-4-1/
26SB73
26A(B)
2026-8-18</t>
    <phoneticPr fontId="24" type="noConversion"/>
  </si>
  <si>
    <t>401-12-12/
26SA04
26A(B-1)
2026-4-23</t>
    <phoneticPr fontId="24" type="noConversion"/>
  </si>
  <si>
    <t>401-15-12/
26SB04
26A(B-1)
2026-6-1</t>
    <phoneticPr fontId="24" type="noConversion"/>
  </si>
  <si>
    <t>401-18-14/
26SA74
26A(B-1)
2026-5-20</t>
    <phoneticPr fontId="24" type="noConversion"/>
  </si>
  <si>
    <t>401-6-14/
26SA74
26A(B-1)
2026-5-26</t>
    <phoneticPr fontId="24" type="noConversion"/>
  </si>
  <si>
    <t>401-8-14/
26SA74
26A(B-1)
2026-5-26</t>
    <phoneticPr fontId="24" type="noConversion"/>
  </si>
  <si>
    <t>403-5-3/
26HB03
26AS(C)
2026-7-22</t>
    <phoneticPr fontId="24" type="noConversion"/>
  </si>
  <si>
    <t>403-3-3/
26HB03
26AS(C)
2026-7-26</t>
    <phoneticPr fontId="24" type="noConversion"/>
  </si>
  <si>
    <t>403-8-3/
26HB03
26AS(C)
2026-7-26</t>
    <phoneticPr fontId="24" type="noConversion"/>
  </si>
  <si>
    <t>403-9-3/
26HB03
26AS(C)
2026-7-26</t>
    <phoneticPr fontId="24" type="noConversion"/>
  </si>
  <si>
    <t>401-18-8/
26SA02
26A(B-1)
2026-7-21</t>
    <phoneticPr fontId="24" type="noConversion"/>
  </si>
  <si>
    <t>403-2-3/
26HB03
26AS(C)
2026-7-22</t>
    <phoneticPr fontId="24" type="noConversion"/>
  </si>
  <si>
    <t>403-4-3/
26HB03
26AS(C)
2026-7-26</t>
    <phoneticPr fontId="24" type="noConversion"/>
  </si>
  <si>
    <t>403-6-3/
26HB03
26AS(C)
2026-7-21</t>
    <phoneticPr fontId="24" type="noConversion"/>
  </si>
  <si>
    <t>403-4-7/
26HB01
26AS(C)
2026-7-26</t>
    <phoneticPr fontId="24" type="noConversion"/>
  </si>
  <si>
    <t>403-3-7/
26HB01
26AS(C)
2026-7-26</t>
    <phoneticPr fontId="24" type="noConversion"/>
  </si>
  <si>
    <t>403-10-7/
26HB01
26AS(C)
2026-8-1</t>
    <phoneticPr fontId="24" type="noConversion"/>
  </si>
  <si>
    <t>401-14-12/
26SA04
26A(B-1)
2026-4-22</t>
    <phoneticPr fontId="24" type="noConversion"/>
  </si>
  <si>
    <t>401-16-13/
26SA03
NONE
2026-5-28</t>
    <phoneticPr fontId="24" type="noConversion"/>
  </si>
  <si>
    <t>401-10-12/
26SA04
26A(B-1)
2026-4-6</t>
    <phoneticPr fontId="24" type="noConversion"/>
  </si>
  <si>
    <t>401-11-12/
26SA04
26A(B-1)
2026-4-20</t>
    <phoneticPr fontId="24" type="noConversion"/>
  </si>
  <si>
    <t>401-10-11/
26SA41
NONE
2026-7-5</t>
    <phoneticPr fontId="24" type="noConversion"/>
  </si>
  <si>
    <r>
      <t xml:space="preserve">403-5-14/
46SA74
</t>
    </r>
    <r>
      <rPr>
        <b/>
        <sz val="40"/>
        <color rgb="FFFF0000"/>
        <rFont val="맑은 고딕"/>
        <family val="3"/>
        <charset val="129"/>
      </rPr>
      <t>46B(A-1)</t>
    </r>
    <r>
      <rPr>
        <b/>
        <sz val="40"/>
        <rFont val="맑은 고딕"/>
        <family val="3"/>
        <charset val="129"/>
      </rPr>
      <t xml:space="preserve">
2026-8-1</t>
    </r>
    <phoneticPr fontId="24" type="noConversion"/>
  </si>
  <si>
    <r>
      <t xml:space="preserve">401-14-1/
46SB73
</t>
    </r>
    <r>
      <rPr>
        <b/>
        <sz val="40"/>
        <color rgb="FFFF0000"/>
        <rFont val="맑은 고딕"/>
        <family val="3"/>
        <charset val="129"/>
      </rPr>
      <t>46C(A)</t>
    </r>
    <r>
      <rPr>
        <b/>
        <sz val="40"/>
        <rFont val="맑은 고딕"/>
        <family val="3"/>
        <charset val="129"/>
      </rPr>
      <t xml:space="preserve">
2026-8-1</t>
    </r>
    <phoneticPr fontId="24" type="noConversion"/>
  </si>
  <si>
    <r>
      <t xml:space="preserve">401-14-10/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2026-7-15</t>
    </r>
    <phoneticPr fontId="24" type="noConversion"/>
  </si>
  <si>
    <r>
      <t xml:space="preserve">401-18-10/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2026-7-15</t>
    </r>
    <phoneticPr fontId="24" type="noConversion"/>
  </si>
  <si>
    <r>
      <t xml:space="preserve">401-16-10/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2026-7-15</t>
    </r>
    <phoneticPr fontId="24" type="noConversion"/>
  </si>
  <si>
    <r>
      <t xml:space="preserve">401-8-3/
</t>
    </r>
    <r>
      <rPr>
        <b/>
        <sz val="40"/>
        <color rgb="FFFF0000"/>
        <rFont val="맑은 고딕"/>
        <family val="3"/>
        <charset val="129"/>
      </rPr>
      <t>46SB01</t>
    </r>
    <r>
      <rPr>
        <b/>
        <sz val="40"/>
        <rFont val="맑은 고딕"/>
        <family val="3"/>
        <charset val="129"/>
      </rPr>
      <t xml:space="preserve">
46A(A)
2026-7-6</t>
    </r>
    <phoneticPr fontId="24" type="noConversion"/>
  </si>
  <si>
    <r>
      <t xml:space="preserve">401-10-3/
</t>
    </r>
    <r>
      <rPr>
        <b/>
        <sz val="40"/>
        <color rgb="FFFF0000"/>
        <rFont val="맑은 고딕"/>
        <family val="3"/>
        <charset val="129"/>
      </rPr>
      <t>46SB01</t>
    </r>
    <r>
      <rPr>
        <b/>
        <sz val="40"/>
        <rFont val="맑은 고딕"/>
        <family val="3"/>
        <charset val="129"/>
      </rPr>
      <t xml:space="preserve">
46A(A)
2026-7-1</t>
    </r>
    <phoneticPr fontId="24" type="noConversion"/>
  </si>
  <si>
    <r>
      <t xml:space="preserve">401-16-5/
46SB05
</t>
    </r>
    <r>
      <rPr>
        <b/>
        <sz val="40"/>
        <color rgb="FFFF0000"/>
        <rFont val="맑은 고딕"/>
        <family val="3"/>
        <charset val="129"/>
      </rPr>
      <t>46A(A)</t>
    </r>
    <r>
      <rPr>
        <b/>
        <sz val="40"/>
        <rFont val="맑은 고딕"/>
        <family val="3"/>
        <charset val="129"/>
      </rPr>
      <t xml:space="preserve">
2026-6-14</t>
    </r>
    <phoneticPr fontId="24" type="noConversion"/>
  </si>
  <si>
    <r>
      <t xml:space="preserve">401-14-5/
46SB05
</t>
    </r>
    <r>
      <rPr>
        <b/>
        <sz val="40"/>
        <color rgb="FFFF0000"/>
        <rFont val="맑은 고딕"/>
        <family val="3"/>
        <charset val="129"/>
      </rPr>
      <t>46A(A)</t>
    </r>
    <r>
      <rPr>
        <b/>
        <sz val="40"/>
        <rFont val="맑은 고딕"/>
        <family val="3"/>
        <charset val="129"/>
      </rPr>
      <t xml:space="preserve">
2026-6-17</t>
    </r>
    <phoneticPr fontId="24" type="noConversion"/>
  </si>
  <si>
    <r>
      <t xml:space="preserve">403-13-14/
46SA74
</t>
    </r>
    <r>
      <rPr>
        <b/>
        <sz val="40"/>
        <color rgb="FFFF0000"/>
        <rFont val="맑은 고딕"/>
        <family val="3"/>
        <charset val="129"/>
      </rPr>
      <t>46B(A-1)</t>
    </r>
    <r>
      <rPr>
        <b/>
        <sz val="40"/>
        <rFont val="맑은 고딕"/>
        <family val="3"/>
        <charset val="129"/>
      </rPr>
      <t xml:space="preserve">
2026-7-21</t>
    </r>
    <phoneticPr fontId="24" type="noConversion"/>
  </si>
  <si>
    <t>403-1-14/
46SA74
NONE</t>
    <phoneticPr fontId="24" type="noConversion"/>
  </si>
  <si>
    <t>401-10-1/</t>
    <phoneticPr fontId="24" type="noConversion"/>
  </si>
  <si>
    <t>403-11-5/
26HB01
26AS(C)
2026-8-1</t>
    <phoneticPr fontId="24" type="noConversion"/>
  </si>
  <si>
    <t>총합</t>
    <phoneticPr fontId="24" type="noConversion"/>
  </si>
  <si>
    <t>내부</t>
    <phoneticPr fontId="24" type="noConversion"/>
  </si>
  <si>
    <t>C</t>
    <phoneticPr fontId="24" type="noConversion"/>
  </si>
  <si>
    <t>B</t>
    <phoneticPr fontId="24" type="noConversion"/>
  </si>
  <si>
    <t>A</t>
    <phoneticPr fontId="24" type="noConversion"/>
  </si>
  <si>
    <t>공장 내부</t>
    <phoneticPr fontId="24" type="noConversion"/>
  </si>
  <si>
    <t>2F</t>
  </si>
  <si>
    <t>A1</t>
    <phoneticPr fontId="24" type="noConversion"/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</si>
  <si>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</si>
  <si>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</si>
  <si>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</si>
  <si>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</si>
  <si>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</si>
  <si>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</si>
  <si>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</si>
  <si>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</si>
  <si>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</si>
  <si>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</si>
  <si>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</si>
  <si>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</si>
  <si>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  <phoneticPr fontId="24" type="noConversion"/>
  </si>
  <si>
    <t>A15</t>
    <phoneticPr fontId="24" type="noConversion"/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</si>
  <si>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</si>
  <si>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</si>
  <si>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</si>
  <si>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</si>
  <si>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</si>
  <si>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</si>
  <si>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</si>
  <si>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</si>
  <si>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</si>
  <si>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</si>
  <si>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</si>
  <si>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</si>
  <si>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</si>
  <si>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B1</t>
    <phoneticPr fontId="24" type="noConversion"/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</si>
  <si>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</si>
  <si>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</si>
  <si>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</si>
  <si>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</si>
  <si>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</si>
  <si>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</si>
  <si>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</si>
  <si>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</si>
  <si>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</si>
  <si>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</si>
  <si>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</si>
  <si>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B13</t>
  </si>
  <si>
    <t>B14</t>
    <phoneticPr fontId="24" type="noConversion"/>
  </si>
  <si>
    <t>B15</t>
    <phoneticPr fontId="24" type="noConversion"/>
  </si>
  <si>
    <t>B16</t>
  </si>
  <si>
    <t>B17</t>
  </si>
  <si>
    <t>B18</t>
  </si>
  <si>
    <t>B19</t>
  </si>
  <si>
    <t>B20</t>
  </si>
  <si>
    <t>B21</t>
  </si>
  <si>
    <t>B22</t>
  </si>
  <si>
    <t>B23</t>
  </si>
  <si>
    <t>B24</t>
  </si>
  <si>
    <t>B25</t>
  </si>
  <si>
    <t>B26</t>
  </si>
  <si>
    <t>C1</t>
    <phoneticPr fontId="24" type="noConversion"/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</si>
  <si>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</si>
  <si>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</si>
  <si>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</si>
  <si>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</si>
  <si>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</si>
  <si>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</si>
  <si>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</si>
  <si>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</si>
  <si>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</si>
  <si>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</si>
  <si>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</si>
  <si>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</si>
  <si>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  <phoneticPr fontId="24" type="noConversion"/>
  </si>
  <si>
    <t>C15</t>
    <phoneticPr fontId="24" type="noConversion"/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</si>
  <si>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</si>
  <si>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</si>
  <si>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</si>
  <si>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</si>
  <si>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</si>
  <si>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</si>
  <si>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</si>
  <si>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</si>
  <si>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</si>
  <si>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AA</t>
    <phoneticPr fontId="24" type="noConversion"/>
  </si>
  <si>
    <t>AB</t>
    <phoneticPr fontId="24" type="noConversion"/>
  </si>
  <si>
    <t>AC</t>
    <phoneticPr fontId="24" type="noConversion"/>
  </si>
  <si>
    <t>AD</t>
    <phoneticPr fontId="24" type="noConversion"/>
  </si>
  <si>
    <t>AE</t>
    <phoneticPr fontId="24" type="noConversion"/>
  </si>
  <si>
    <t>AF</t>
    <phoneticPr fontId="24" type="noConversion"/>
  </si>
  <si>
    <t>AG</t>
    <phoneticPr fontId="24" type="noConversion"/>
  </si>
  <si>
    <t>AH</t>
    <phoneticPr fontId="24" type="noConversion"/>
  </si>
  <si>
    <t>BH</t>
  </si>
  <si>
    <t>BG</t>
  </si>
  <si>
    <t>BF</t>
  </si>
  <si>
    <t>BE</t>
  </si>
  <si>
    <t>BD</t>
  </si>
  <si>
    <t>BC</t>
  </si>
  <si>
    <t>BB</t>
  </si>
  <si>
    <t>BA</t>
    <phoneticPr fontId="24" type="noConversion"/>
  </si>
  <si>
    <t>CH</t>
  </si>
  <si>
    <t>CG</t>
  </si>
  <si>
    <t>CF</t>
  </si>
  <si>
    <t>CE</t>
  </si>
  <si>
    <t>CD</t>
  </si>
  <si>
    <t>CC</t>
  </si>
  <si>
    <t>CB</t>
  </si>
  <si>
    <t>CA</t>
    <phoneticPr fontId="24" type="noConversion"/>
  </si>
  <si>
    <t>403-6-10/
46SB01
NONE
2026-7-13</t>
    <phoneticPr fontId="24" type="noConversion"/>
  </si>
  <si>
    <t>401-10-14/
26SA74
26A(B-1)
2026-5-21</t>
    <phoneticPr fontId="24" type="noConversion"/>
  </si>
  <si>
    <t>401-11-5/
46SB05
46A(A)
2026-6-9</t>
    <phoneticPr fontId="24" type="noConversion"/>
  </si>
  <si>
    <t>진행률</t>
    <phoneticPr fontId="24" type="noConversion"/>
  </si>
  <si>
    <t>403-1-12/
46SA02
NONE
2026-8-17</t>
    <phoneticPr fontId="24" type="noConversion"/>
  </si>
  <si>
    <t>402-1-3/
36SB43
NONE</t>
    <phoneticPr fontId="24" type="noConversion"/>
  </si>
  <si>
    <t>401
(252)</t>
    <phoneticPr fontId="24" type="noConversion"/>
  </si>
  <si>
    <t>402
(308)</t>
    <phoneticPr fontId="24" type="noConversion"/>
  </si>
  <si>
    <t>403
(224)</t>
    <phoneticPr fontId="24" type="noConversion"/>
  </si>
  <si>
    <t>401-13-10/
26SA02
26A(B-1)
2026-7-15</t>
    <phoneticPr fontId="24" type="noConversion"/>
  </si>
  <si>
    <t>401-17-10/
26SA02
26A(B-1)
2026-7-15</t>
    <phoneticPr fontId="24" type="noConversion"/>
  </si>
  <si>
    <t>401-15-14/
26SA74
26A(B-1)
2026-7-5</t>
    <phoneticPr fontId="24" type="noConversion"/>
  </si>
  <si>
    <t>401-14-14/
26SA74
26A(B-1)
2026-7-5</t>
    <phoneticPr fontId="24" type="noConversion"/>
  </si>
  <si>
    <t>403-8-13/
46SB41
NONE
2026-8-31</t>
    <phoneticPr fontId="24" type="noConversion"/>
  </si>
  <si>
    <t xml:space="preserve">403-11-12/
46SA02
46A(A-1)
2026-9-1
</t>
    <phoneticPr fontId="24" type="noConversion"/>
  </si>
  <si>
    <t>403-10-9/
46SA57
NONE
2026-8-24</t>
    <phoneticPr fontId="24" type="noConversion"/>
  </si>
  <si>
    <t>403-10-11/
46SA01
NONE
2026-8-25</t>
    <phoneticPr fontId="24" type="noConversion"/>
  </si>
  <si>
    <t>403-9-10/
46SA52
46A(A-1)
2026-9-20</t>
    <phoneticPr fontId="24" type="noConversion"/>
  </si>
  <si>
    <t>403-12-12/
46SA02
46A(A-1)
2026-9-2</t>
    <phoneticPr fontId="24" type="noConversion"/>
  </si>
  <si>
    <t>403-12-10/
46SA06
46A(A-1)
2026-9-1</t>
    <phoneticPr fontId="24" type="noConversion"/>
  </si>
  <si>
    <t>403-16-9/
46SA75
NONE
2026-9-1</t>
    <phoneticPr fontId="24" type="noConversion"/>
  </si>
  <si>
    <t>403-6-13/
46SA41
NONE
2026-8-24</t>
    <phoneticPr fontId="24" type="noConversion"/>
  </si>
  <si>
    <t>403-12-9/
46SA75
NONE
2026-9-16</t>
    <phoneticPr fontId="24" type="noConversion"/>
  </si>
  <si>
    <t>403-6-12/
46SA02
46A(A-1)
2026-8-26</t>
    <phoneticPr fontId="24" type="noConversion"/>
  </si>
  <si>
    <t>403-7-9/
46SA57
NONE
2026-8-26</t>
    <phoneticPr fontId="24" type="noConversion"/>
  </si>
  <si>
    <t>403-7-12/
46SA02
46A(A-1)
2026-8-26</t>
    <phoneticPr fontId="24" type="noConversion"/>
  </si>
  <si>
    <t>403-8-12/
46SA02
46A(A-1)
2026-8-24</t>
    <phoneticPr fontId="24" type="noConversion"/>
  </si>
  <si>
    <t>403-11-9/
46SA57
NONE
2026-9-1</t>
    <phoneticPr fontId="24" type="noConversion"/>
  </si>
  <si>
    <t>403-13-6/
26SB62
NONE
2026-9-8</t>
    <phoneticPr fontId="24" type="noConversion"/>
  </si>
  <si>
    <t>403-8-7/
46HB01
26AS(C)
2026-9-2</t>
    <phoneticPr fontId="24" type="noConversion"/>
  </si>
  <si>
    <t>403-10-13/
46SB41
NONE
2026-9-20</t>
    <phoneticPr fontId="24" type="noConversion"/>
  </si>
  <si>
    <t>403-11-3/
26HB03
26AS(C)
2026-9-7</t>
    <phoneticPr fontId="24" type="noConversion"/>
  </si>
  <si>
    <t>403-15-3/
26SB03
26A(B)
2026-9-3</t>
    <phoneticPr fontId="24" type="noConversion"/>
  </si>
  <si>
    <t>403-10-10/
46SA52
46A(A-1)
2026-9-7</t>
    <phoneticPr fontId="24" type="noConversion"/>
  </si>
  <si>
    <t>403-12-11/
46SA01
NONE
2026-8-31</t>
    <phoneticPr fontId="24" type="noConversion"/>
  </si>
  <si>
    <t>403-15-7/
26SB61
26A(B)
2026-9-8</t>
    <phoneticPr fontId="24" type="noConversion"/>
  </si>
  <si>
    <t>403-11-4/
26HB42
NONE
2026-9-8</t>
    <phoneticPr fontId="24" type="noConversion"/>
  </si>
  <si>
    <t>403-10-4/
26HB42
NONE
2026-9-7</t>
    <phoneticPr fontId="24" type="noConversion"/>
  </si>
  <si>
    <t>403-6-11/
46SA01
NONE
2026-8-24</t>
    <phoneticPr fontId="24" type="noConversion"/>
  </si>
  <si>
    <t>403-14-11/
46SA01
NONE
2026-9-20</t>
    <phoneticPr fontId="24" type="noConversion"/>
  </si>
  <si>
    <t>403-9-9/
46SB57
NONE
2026-9-7</t>
    <phoneticPr fontId="24" type="noConversion"/>
  </si>
  <si>
    <t>403-8-11/
46SA01
NONE
2026-8-24</t>
    <phoneticPr fontId="24" type="noConversion"/>
  </si>
  <si>
    <t>403-12-14/
46SA74
46B(A-1)
2026-8-31</t>
    <phoneticPr fontId="24" type="noConversion"/>
  </si>
  <si>
    <t>403-8-10/
46SA52
46A(A-1)
2026-8-31</t>
    <phoneticPr fontId="24" type="noConversion"/>
  </si>
  <si>
    <t>403-10-14/
46SA74
46B(A-1)
2026-8-31</t>
    <phoneticPr fontId="24" type="noConversion"/>
  </si>
  <si>
    <t>403-9-13/
46SB41
NONE
2026-9-20</t>
    <phoneticPr fontId="24" type="noConversion"/>
  </si>
  <si>
    <t>403-15-12/
46SA02
NONE
2026-9-7</t>
    <phoneticPr fontId="24" type="noConversion"/>
  </si>
  <si>
    <t>403-1-8/
26SB62
NONE
2026-9-20</t>
    <phoneticPr fontId="24" type="noConversion"/>
  </si>
  <si>
    <t>403-7-6/
26BH02
NONE
2026-8-24</t>
    <phoneticPr fontId="24" type="noConversion"/>
  </si>
  <si>
    <t>403-7-8/
26HB04
NONE
2026-8-24</t>
    <phoneticPr fontId="24" type="noConversion"/>
  </si>
  <si>
    <t>403-7-4/
26HB42
NONE
2026-9-3</t>
    <phoneticPr fontId="24" type="noConversion"/>
  </si>
  <si>
    <t>403-7-14/
46SA74
46B(A-1)
2026-9-20</t>
    <phoneticPr fontId="24" type="noConversion"/>
  </si>
  <si>
    <t>403-11-10/
46SA52
46A(A-1)
2026-9-7</t>
    <phoneticPr fontId="24" type="noConversion"/>
  </si>
  <si>
    <t>403-9-4/
26HB42
NONE
2026-9-3</t>
    <phoneticPr fontId="24" type="noConversion"/>
  </si>
  <si>
    <t>403-1-2/
26SB04
NONE
2026-9-14</t>
    <phoneticPr fontId="24" type="noConversion"/>
  </si>
  <si>
    <t>402-1-7/
36SB01
36A(B-1)
2026-9-20</t>
    <phoneticPr fontId="24" type="noConversion"/>
  </si>
  <si>
    <t>403-10-8/
26HB04
NONE
2026-8-24</t>
    <phoneticPr fontId="24" type="noConversion"/>
  </si>
  <si>
    <t>403-1-5/
26SB01
NONE
2026-8-24</t>
    <phoneticPr fontId="24" type="noConversion"/>
  </si>
  <si>
    <t>403-12-2/
26SB04
NONE
2026-8-31</t>
    <phoneticPr fontId="24" type="noConversion"/>
  </si>
  <si>
    <t>403-6-6/
26HB02
NONE
2026-8-24</t>
    <phoneticPr fontId="24" type="noConversion"/>
  </si>
  <si>
    <t>403-6-8/
26HB04
NONE
2026-8-24</t>
    <phoneticPr fontId="24" type="noConversion"/>
  </si>
  <si>
    <t>403-13-13/
46SA41
NONE
2026-9-8</t>
    <phoneticPr fontId="24" type="noConversion"/>
  </si>
  <si>
    <t>403-9-8/
26HB04
NONE
2026-8-25</t>
    <phoneticPr fontId="24" type="noConversion"/>
  </si>
  <si>
    <t>403-9-6/
26HB02
NONE
2026-8-25</t>
    <phoneticPr fontId="24" type="noConversion"/>
  </si>
  <si>
    <t>403-10-6/
26HB02
NONE
2026-8-24</t>
    <phoneticPr fontId="24" type="noConversion"/>
  </si>
  <si>
    <t>403-9-2/
26SB54
NONE
2026-8-27</t>
    <phoneticPr fontId="24" type="noConversion"/>
  </si>
  <si>
    <t>403-14-2/
26SB04
NONE
2026-8-26</t>
    <phoneticPr fontId="24" type="noConversion"/>
  </si>
  <si>
    <t>403-8-1/
26SB73
26A(B)
2026-8-24</t>
    <phoneticPr fontId="24" type="noConversion"/>
  </si>
  <si>
    <t>403-1-13/
46SA41
NONE
2026-8-31</t>
    <phoneticPr fontId="24" type="noConversion"/>
  </si>
  <si>
    <t>403-13-11/
46SA01
NONE
2026-9-14</t>
    <phoneticPr fontId="24" type="noConversion"/>
  </si>
  <si>
    <t>403-14-9/
46SA75
NONE
2026-9-8</t>
    <phoneticPr fontId="24" type="noConversion"/>
  </si>
  <si>
    <t>403-8-8/
26HB04
NONE
2026-9-8</t>
    <phoneticPr fontId="24" type="noConversion"/>
  </si>
  <si>
    <t>403-7-2/
26SB54
NONE
2026-8-31</t>
    <phoneticPr fontId="24" type="noConversion"/>
  </si>
  <si>
    <t>403-15-10
46SA06
46A(A-1)
2026-9-8</t>
    <phoneticPr fontId="24" type="noConversion"/>
  </si>
  <si>
    <t>403-16-12/
46SA02
46A(A-1)
2026-9-8</t>
    <phoneticPr fontId="24" type="noConversion"/>
  </si>
  <si>
    <t>403-11-8/
26HB04
NONE
2026-8-27</t>
    <phoneticPr fontId="24" type="noConversion"/>
  </si>
  <si>
    <t>403-16-7/
26SB61
26A(B)
2026-9-9</t>
    <phoneticPr fontId="24" type="noConversion"/>
  </si>
  <si>
    <t>403-15-5/
26SB01
26A(B)
2026-9-9</t>
    <phoneticPr fontId="24" type="noConversion"/>
  </si>
  <si>
    <t>403-16-8/
26SB62
NONE
2026-9-9</t>
    <phoneticPr fontId="24" type="noConversion"/>
  </si>
  <si>
    <t>403-13-10/
46SA06
46A(A-1)
2026-9-9</t>
    <phoneticPr fontId="24" type="noConversion"/>
  </si>
  <si>
    <t>403-15-13/
46SA41
NONE
2026-9-8</t>
    <phoneticPr fontId="24" type="noConversion"/>
  </si>
  <si>
    <t>403-13-7/
26SB01
26A(B)
2026-9-9</t>
    <phoneticPr fontId="24" type="noConversion"/>
  </si>
  <si>
    <t>403-7-7/
26HB01
26AS(C)
2026-8-31</t>
    <phoneticPr fontId="24" type="noConversion"/>
  </si>
  <si>
    <t>403-14-8/
26SB62
NONE
2026-9-9</t>
    <phoneticPr fontId="24" type="noConversion"/>
  </si>
  <si>
    <t>403-9-7/
26HB01
26AS(C)
2026-9-2</t>
    <phoneticPr fontId="24" type="noConversion"/>
  </si>
  <si>
    <t>403-7-3/
26HB03
26AS(C)
2026-9-7</t>
    <phoneticPr fontId="24" type="noConversion"/>
  </si>
  <si>
    <t>403-6-2/
26SB54
NONE
2026-8-31</t>
    <phoneticPr fontId="24" type="noConversion"/>
  </si>
  <si>
    <t>403-13-5/
26HB61
26A(B)
2026-9-8</t>
    <phoneticPr fontId="24" type="noConversion"/>
  </si>
  <si>
    <t>403-14-3/
26SB03
26A(B)
2026-9-7</t>
    <phoneticPr fontId="24" type="noConversion"/>
  </si>
  <si>
    <t>403-10-3/
26HB03
26AS(C)
2026-9-9</t>
    <phoneticPr fontId="24" type="noConversion"/>
  </si>
  <si>
    <t>403-16-13/
NONE
NONE
2026-9-20</t>
    <phoneticPr fontId="24" type="noConversion"/>
  </si>
  <si>
    <t>402-3-13/
26SA43
NONE
2026-9-20</t>
    <phoneticPr fontId="24" type="noConversion"/>
  </si>
  <si>
    <t>402-2-13/
26SA43
NONE
2026-9-20</t>
    <phoneticPr fontId="24" type="noConversion"/>
  </si>
  <si>
    <t>402-2-14/
26SA74
26A(B-1)
2026-9-20</t>
    <phoneticPr fontId="24" type="noConversion"/>
  </si>
  <si>
    <t>402-2-10/
36SB76
NONE
2026-9-20</t>
    <phoneticPr fontId="24" type="noConversion"/>
  </si>
  <si>
    <t>402-1-2/
36SB04
NONE
2026-9-20</t>
    <phoneticPr fontId="24" type="noConversion"/>
  </si>
  <si>
    <t>402-6-11/
26SA01
NONE
2026-9-20</t>
    <phoneticPr fontId="24" type="noConversion"/>
  </si>
  <si>
    <t>402-2-11/
26SA01
NONE
2026-9-20</t>
    <phoneticPr fontId="24" type="noConversion"/>
  </si>
  <si>
    <t>402-1-14/
26SA74
26A(B-1)
2026-9-20</t>
    <phoneticPr fontId="24" type="noConversion"/>
  </si>
  <si>
    <t>402-1-13/
26SA43
NONE
2026-10-1</t>
    <phoneticPr fontId="24" type="noConversion"/>
  </si>
  <si>
    <t>403-1-7/
26SB61
36A(B-1)
2026-9-20</t>
    <phoneticPr fontId="24" type="noConversion"/>
  </si>
  <si>
    <t>402-4-12/
26SA02
26A(B-1)
2026-9-14</t>
    <phoneticPr fontId="24" type="noConversion"/>
  </si>
  <si>
    <t>402-7-12/26SA02
26A(B-1)
2026-9-14</t>
    <phoneticPr fontId="24" type="noConversion"/>
  </si>
  <si>
    <t>402-5-13/
26SA43
NONE
2026-9-20</t>
    <phoneticPr fontId="24" type="noConversion"/>
  </si>
  <si>
    <t>402-5-11/
26SA01
NONE
2026-9-20</t>
    <phoneticPr fontId="24" type="noConversion"/>
  </si>
  <si>
    <t>402-5-14/
26SA74
26A(B-1)
2026-9-20</t>
    <phoneticPr fontId="24" type="noConversion"/>
  </si>
  <si>
    <t>402-3-14/
26SA74
26A(B-1)
2026-10-1</t>
    <phoneticPr fontId="24" type="noConversion"/>
  </si>
  <si>
    <t>402-6-13/
26SA43
NONE
2026-9-20</t>
    <phoneticPr fontId="24" type="noConversion"/>
  </si>
  <si>
    <t>402-3-11/
26SA01
NONE
2026-9-14</t>
    <phoneticPr fontId="24" type="noConversion"/>
  </si>
  <si>
    <t>402-5-12/
26SA02
26A(B-1)
2026-9-14</t>
    <phoneticPr fontId="24" type="noConversion"/>
  </si>
  <si>
    <t>402-6-14/
26SA74
26A(B-1)
2026-10-1</t>
    <phoneticPr fontId="24" type="noConversion"/>
  </si>
  <si>
    <t>402-1-12/
26SA02
26A(B-1)
2026-10-1</t>
    <phoneticPr fontId="24" type="noConversion"/>
  </si>
  <si>
    <t>402-4-13/
26SA43
NONE
2026-9-20</t>
    <phoneticPr fontId="24" type="noConversion"/>
  </si>
  <si>
    <t>402-4-14/
26SA74
26A(B-1)
2026-9-14</t>
    <phoneticPr fontId="24" type="noConversion"/>
  </si>
  <si>
    <t>402-3-12/
26SA02
26A(B-1)
2026-9-14</t>
    <phoneticPr fontId="24" type="noConversion"/>
  </si>
  <si>
    <t>402-4-11/
26SA01
NONE
2026-9-20</t>
    <phoneticPr fontId="24" type="noConversion"/>
  </si>
  <si>
    <t>402-1-11/
26SA01
NONE
2026-10-1</t>
    <phoneticPr fontId="24" type="noConversion"/>
  </si>
  <si>
    <t>402-2-12/
26SA02
26A(B-1)
2026-10-1</t>
    <phoneticPr fontId="24" type="noConversion"/>
  </si>
  <si>
    <t>402-6-12/
26SA02
26A(B-1)
2026-10-1</t>
    <phoneticPr fontId="24" type="noConversion"/>
  </si>
  <si>
    <t>402-3-1/
26SB73
36B(B-1)
2026-10-1</t>
    <phoneticPr fontId="24" type="noConversion"/>
  </si>
  <si>
    <t>402-5-6/
36SB02
NONE
2026-10-1</t>
    <phoneticPr fontId="24" type="noConversion"/>
  </si>
  <si>
    <t>402-4-4/
36SB42
NONE
2026-10-1</t>
    <phoneticPr fontId="24" type="noConversion"/>
  </si>
  <si>
    <t>402-4-5/
36SB01
36A(B-1)
2026-10-1</t>
    <phoneticPr fontId="24" type="noConversion"/>
  </si>
  <si>
    <t>402-3-8/
36SB02
NONE
2026-10-1</t>
    <phoneticPr fontId="24" type="noConversion"/>
  </si>
  <si>
    <t>402-5-10/
36SB76
NONE
2026-10-1</t>
    <phoneticPr fontId="24" type="noConversion"/>
  </si>
  <si>
    <r>
      <t xml:space="preserve">401-8-10/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2026-7-13</t>
    </r>
    <phoneticPr fontId="24" type="noConversion"/>
  </si>
  <si>
    <r>
      <t xml:space="preserve">401-7-10/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2026-7-13</t>
    </r>
    <phoneticPr fontId="24" type="noConversion"/>
  </si>
  <si>
    <r>
      <t xml:space="preserve">401-7-14/
26SA74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2026-5-26</t>
    </r>
    <phoneticPr fontId="24" type="noConversion"/>
  </si>
  <si>
    <r>
      <t xml:space="preserve">401-17-8/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2026-7-21</t>
    </r>
    <phoneticPr fontId="24" type="noConversion"/>
  </si>
  <si>
    <r>
      <t xml:space="preserve">401-16-14/
26SA74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2026-5-28</t>
    </r>
    <phoneticPr fontId="24" type="noConversion"/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</si>
  <si>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</si>
  <si>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</si>
  <si>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</si>
  <si>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</si>
  <si>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</si>
  <si>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</si>
  <si>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</si>
  <si>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</si>
  <si>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</si>
  <si>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</si>
  <si>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</si>
  <si>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</si>
  <si>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</si>
  <si>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  <phoneticPr fontId="24" type="noConversion"/>
  </si>
  <si>
    <t>DH</t>
  </si>
  <si>
    <t>DG</t>
  </si>
  <si>
    <t>DF</t>
  </si>
  <si>
    <t>DE</t>
  </si>
  <si>
    <t>DD</t>
  </si>
  <si>
    <t>DB</t>
  </si>
  <si>
    <t>DA</t>
  </si>
  <si>
    <t>DC</t>
    <phoneticPr fontId="24" type="noConversion"/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</si>
  <si>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</si>
  <si>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</si>
  <si>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</si>
  <si>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</si>
  <si>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</si>
  <si>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</si>
  <si>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</si>
  <si>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</si>
  <si>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</si>
  <si>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</si>
  <si>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402-3-10/
36SB76
2026-10-1</t>
    <phoneticPr fontId="24" type="noConversion"/>
  </si>
  <si>
    <t>403-7-5/
26HB01
2026-10-1</t>
    <phoneticPr fontId="24" type="noConversion"/>
  </si>
  <si>
    <t>D</t>
    <phoneticPr fontId="24" type="noConversion"/>
  </si>
  <si>
    <t>402-2-2/
36SB04
2026-10-1</t>
    <phoneticPr fontId="24" type="noConversion"/>
  </si>
  <si>
    <t xml:space="preserve"> </t>
    <phoneticPr fontId="24" type="noConversion"/>
  </si>
  <si>
    <t>401-11-10/
26SA02
26A(B-1)
2026-7-15</t>
    <phoneticPr fontId="24" type="noConversion"/>
  </si>
  <si>
    <t>401-16-8/
26SA02
26A(B-1)
2026-7-1</t>
    <phoneticPr fontId="24" type="noConversion"/>
  </si>
  <si>
    <t>401-15-8/
26SA02
26A(B-1)
2026-7-1</t>
    <phoneticPr fontId="24" type="noConversion"/>
  </si>
  <si>
    <t>401-14-8/
26SA02
26A(B-1)
2026-7-5</t>
    <phoneticPr fontId="24" type="noConversion"/>
  </si>
  <si>
    <t>401-13-8/
26SA02
26A(B-1)
2026-7-5</t>
    <phoneticPr fontId="24" type="noConversion"/>
  </si>
  <si>
    <t>403-8-5/
26HB01
2026-10-1</t>
    <phoneticPr fontId="24" type="noConversion"/>
  </si>
  <si>
    <t>403-6-1/
26SB73
26A(B)
2026-9-20</t>
    <phoneticPr fontId="24" type="noConversion"/>
  </si>
  <si>
    <t>403-9-12/
46SA02
46A(A-1)
2026-9-16</t>
    <phoneticPr fontId="24" type="noConversion"/>
  </si>
  <si>
    <t>403-9-11/
46SA01
NONE
2026-9-16</t>
    <phoneticPr fontId="24" type="noConversion"/>
  </si>
  <si>
    <t>403-11-11/
46SA01
NONE
2026-9-20</t>
    <phoneticPr fontId="24" type="noConversion"/>
  </si>
  <si>
    <t>403-6-9/
46SA57
NONE
2026-9-7</t>
    <phoneticPr fontId="24" type="noConversion"/>
  </si>
  <si>
    <t>403-14-12/
46SA02
46A(A-1)
2026-9-20</t>
    <phoneticPr fontId="24" type="noConversion"/>
  </si>
  <si>
    <t>403-13-9/
46SA75
NONE
2026-9-20</t>
    <phoneticPr fontId="24" type="noConversion"/>
  </si>
  <si>
    <t>403-14-10/
46SA06
46A(A-1)
2026-9-7</t>
    <phoneticPr fontId="24" type="noConversion"/>
  </si>
  <si>
    <t>403-12-13/
46SA41
NONE
2026-9-8</t>
    <phoneticPr fontId="24" type="noConversion"/>
  </si>
  <si>
    <t>403-10-12/
46SA02
46A(A-1)
2026-8-25</t>
    <phoneticPr fontId="24" type="noConversion"/>
  </si>
  <si>
    <t>403-7-13/
46SB41
NONE
2026-9-20</t>
    <phoneticPr fontId="24" type="noConversion"/>
  </si>
  <si>
    <t>403-9-14/
46SA74
46B(A-1)
2026-8-31</t>
    <phoneticPr fontId="24" type="noConversion"/>
  </si>
  <si>
    <t>403-8-9/
46SA57
NONE
2026-9-7</t>
    <phoneticPr fontId="24" type="noConversion"/>
  </si>
  <si>
    <t>403-8-4/
NONE
NONE
2026-9-3</t>
    <phoneticPr fontId="24" type="noConversion"/>
  </si>
  <si>
    <t>403-11-13/
46SB41
NONE
2026-9-9</t>
    <phoneticPr fontId="24" type="noConversion"/>
  </si>
  <si>
    <t>403-14-14/
46SA74
46B(A-1)
2026-9-16</t>
    <phoneticPr fontId="24" type="noConversion"/>
  </si>
  <si>
    <t>403-14-13/
46SA41
NONE
2026-9-8</t>
    <phoneticPr fontId="24" type="noConversion"/>
  </si>
  <si>
    <t>403-15-11/
46SA01
NONE
2026-9-15</t>
    <phoneticPr fontId="24" type="noConversion"/>
  </si>
  <si>
    <t>403-16-3/
26SB03
26A(B)
2026-8-27</t>
    <phoneticPr fontId="24" type="noConversion"/>
  </si>
  <si>
    <t>403-8-6/
26HB02
NONE
2026-8-24</t>
    <phoneticPr fontId="24" type="noConversion"/>
  </si>
  <si>
    <t>403-16-10/
46SA06
46A(A-1)
2026-9-8</t>
    <phoneticPr fontId="24" type="noConversion"/>
  </si>
  <si>
    <t>402-2-5/
36SB01
36A(B-1)
2026-10-1</t>
    <phoneticPr fontId="24" type="noConversion"/>
  </si>
  <si>
    <t>402-1-10/
36SB76
NONE
2026-10-1</t>
    <phoneticPr fontId="24" type="noConversion"/>
  </si>
  <si>
    <t>402-1-8/
36SB02
NONE
2026-10-1</t>
    <phoneticPr fontId="24" type="noConversion"/>
  </si>
  <si>
    <t>402-1-1/
36SB73
NONE
2026-10-1</t>
    <phoneticPr fontId="24" type="noConversion"/>
  </si>
  <si>
    <t>402-5-3/
36SB43
36A(B-1)
2026-10-1</t>
    <phoneticPr fontId="24" type="noConversion"/>
  </si>
  <si>
    <t>402-8-12/
26SA02
26A(B-1)
2026-10-1</t>
    <phoneticPr fontId="24" type="noConversion"/>
  </si>
  <si>
    <t>402-9-13/
26SA43
NONE
2026-10-1</t>
    <phoneticPr fontId="24" type="noConversion"/>
  </si>
  <si>
    <t>402-5-9/
36SB05
36A(B-1)
2026-10-1</t>
    <phoneticPr fontId="24" type="noConversion"/>
  </si>
  <si>
    <t>402-5-5/
36SB01
36A(B-1)
2026-10-1</t>
    <phoneticPr fontId="24" type="noConversion"/>
  </si>
  <si>
    <t>402-4-1/
36SB73
36B(B-1)
2026-10-1</t>
    <phoneticPr fontId="24" type="noConversion"/>
  </si>
  <si>
    <t>402-4-8/
36SB01
NONE
2026-10-1</t>
    <phoneticPr fontId="24" type="noConversion"/>
  </si>
  <si>
    <t>403-11-7/
26HB01
26AS(C)
2026-10-1</t>
    <phoneticPr fontId="24" type="noConversion"/>
  </si>
  <si>
    <t>403-9-5/
26HB01
26AS(C)
2026-10-1</t>
    <phoneticPr fontId="24" type="noConversion"/>
  </si>
  <si>
    <t>403-15-2/
26SB04
NONE
2026-10-1</t>
    <phoneticPr fontId="24" type="noConversion"/>
  </si>
  <si>
    <t>반출</t>
    <phoneticPr fontId="24" type="noConversion"/>
  </si>
  <si>
    <t>402-1-9/
36SB05
2026-10-6</t>
    <phoneticPr fontId="24" type="noConversion"/>
  </si>
  <si>
    <t>402-2-7/
36SB01
2026-10-6</t>
    <phoneticPr fontId="24" type="noConversion"/>
  </si>
  <si>
    <t>403-10-5/
26HB01
2026-10-6</t>
    <phoneticPr fontId="24" type="noConversion"/>
  </si>
  <si>
    <t>403-13-8/
26SB62
2026-10-6</t>
    <phoneticPr fontId="24" type="noConversion"/>
  </si>
  <si>
    <t>403-14-1/
26SB73
2026-10-6</t>
    <phoneticPr fontId="24" type="noConversion"/>
  </si>
  <si>
    <t>402-2-4/
36SB42
2026-10-6</t>
    <phoneticPr fontId="24" type="noConversion"/>
  </si>
  <si>
    <t>402-3-7/
36SB01
2026-10-6</t>
    <phoneticPr fontId="24" type="noConversion"/>
  </si>
  <si>
    <t>402-5-4/
36SB42
2026-10-6</t>
    <phoneticPr fontId="24" type="noConversion"/>
  </si>
  <si>
    <t>402-3-9/
36SB05
2026-10-6</t>
    <phoneticPr fontId="24" type="noConversion"/>
  </si>
  <si>
    <t>402-2-6/
36SB02
2026-10-6</t>
    <phoneticPr fontId="24" type="noConversion"/>
  </si>
  <si>
    <t>402-4-7/
36SB01
2026-10-6</t>
    <phoneticPr fontId="24" type="noConversion"/>
  </si>
  <si>
    <t>402-5-8/
36SB02
2026-10-6</t>
    <phoneticPr fontId="24" type="noConversion"/>
  </si>
  <si>
    <t>402-5-7/
36SB01
2026-10-6</t>
    <phoneticPr fontId="24" type="noConversion"/>
  </si>
  <si>
    <t>402-4-9/
36SB05
2026-10-6</t>
    <phoneticPr fontId="24" type="noConversion"/>
  </si>
  <si>
    <t>402-2-9
36SB05
2026-10-6</t>
    <phoneticPr fontId="24" type="noConversion"/>
  </si>
  <si>
    <t>403-12-1/
26SB73
2026-10-6</t>
    <phoneticPr fontId="24" type="noConversion"/>
  </si>
  <si>
    <t>403-13-2/
26SB04
2026-10-6</t>
    <phoneticPr fontId="24" type="noConversion"/>
  </si>
  <si>
    <t>402-4-6/
36SB02
2026-10-6</t>
    <phoneticPr fontId="24" type="noConversion"/>
  </si>
  <si>
    <t>403-14-5/
26SB61
2026-10-6</t>
    <phoneticPr fontId="24" type="noConversion"/>
  </si>
  <si>
    <t>403-8-14/
46SA74
46B(A-1)
2026-8-4</t>
    <phoneticPr fontId="24" type="noConversion"/>
  </si>
  <si>
    <t>402-3-2/
36SB04
2026-10-7</t>
    <phoneticPr fontId="24" type="noConversion"/>
  </si>
  <si>
    <t>402-2-1/
36SB73
2026-10-7</t>
    <phoneticPr fontId="24" type="noConversion"/>
  </si>
  <si>
    <t>402-1-6/
36SB02
2026-10-7</t>
    <phoneticPr fontId="24" type="noConversion"/>
  </si>
  <si>
    <t>402-5-1/
36SB73
2026-10-7</t>
    <phoneticPr fontId="24" type="noConversion"/>
  </si>
  <si>
    <t>403-14-6/
26SB62
2026-10-7</t>
    <phoneticPr fontId="24" type="noConversion"/>
  </si>
  <si>
    <t>403-14-7/
26SB61
2026-10-7</t>
    <phoneticPr fontId="24" type="noConversion"/>
  </si>
  <si>
    <t>402-2-3/
36SB43
2026-10-8</t>
    <phoneticPr fontId="24" type="noConversion"/>
  </si>
  <si>
    <t>402-3-5/
36SB01
2026-10-8</t>
    <phoneticPr fontId="24" type="noConversion"/>
  </si>
  <si>
    <t>402-3-6/
36SB02
2026-10-8</t>
    <phoneticPr fontId="24" type="noConversion"/>
  </si>
  <si>
    <t>402-6-6/
36SB02
2026-10-8</t>
    <phoneticPr fontId="24" type="noConversion"/>
  </si>
  <si>
    <t>402-4-2/
36SB04
2026-10-12</t>
    <phoneticPr fontId="24" type="noConversion"/>
  </si>
  <si>
    <t>402-5-2/
36SB04
2026-10-12</t>
    <phoneticPr fontId="24" type="noConversion"/>
  </si>
  <si>
    <t>402-9-3/
36SB43
2026-10-12</t>
    <phoneticPr fontId="24" type="noConversion"/>
  </si>
  <si>
    <t>402-2-8/
36SB02
2026-10-12</t>
    <phoneticPr fontId="24" type="noConversion"/>
  </si>
  <si>
    <t>402-3-4/
26SB42
2026-10-12</t>
    <phoneticPr fontId="24" type="noConversion"/>
  </si>
  <si>
    <t>403-12-4/
26SB56
2026-10-12</t>
    <phoneticPr fontId="24" type="noConversion"/>
  </si>
  <si>
    <t>403-10-2/
26SA54
2026-10-12</t>
    <phoneticPr fontId="24" type="noConversion"/>
  </si>
  <si>
    <t>403-11-2/
26SB54
2026-10-12</t>
    <phoneticPr fontId="24" type="noConversion"/>
  </si>
  <si>
    <t>403-15-8/
26SB62
2026-10-12</t>
    <phoneticPr fontId="24" type="noConversion"/>
  </si>
  <si>
    <t>403-8-2/
26SB54
206-10-12</t>
    <phoneticPr fontId="24" type="noConversion"/>
  </si>
  <si>
    <t>403-16-2/
26SB04
2026-10-12</t>
    <phoneticPr fontId="24" type="noConversion"/>
  </si>
  <si>
    <t>402-8-4/
26SB42
2026-10-12</t>
    <phoneticPr fontId="24" type="noConversion"/>
  </si>
  <si>
    <t>402-6-2/
36SB04
NONE
2026-4-9</t>
    <phoneticPr fontId="24" type="noConversion"/>
  </si>
  <si>
    <t>C25</t>
  </si>
  <si>
    <t>402-10-3/
36SB43
2026-10-13</t>
    <phoneticPr fontId="24" type="noConversion"/>
  </si>
  <si>
    <t>403-11-1/
26SB73
2026-10-13</t>
    <phoneticPr fontId="24" type="noConversion"/>
  </si>
  <si>
    <t>403-15-1/
26SB73
2026-10-13</t>
    <phoneticPr fontId="24" type="noConversion"/>
  </si>
  <si>
    <t>402-4-3/
36SB43
2026-10-13</t>
    <phoneticPr fontId="24" type="noConversion"/>
  </si>
  <si>
    <t>403-13-1/
26SB73
2026-10-13</t>
    <phoneticPr fontId="24" type="noConversion"/>
  </si>
  <si>
    <t>403-12-7/
26SB51
2026-10-13</t>
    <phoneticPr fontId="24" type="noConversion"/>
  </si>
  <si>
    <t>403-11-6/
26HB02
2026-10-13</t>
    <phoneticPr fontId="24" type="noConversion"/>
  </si>
  <si>
    <t>402-8-9/
36SB05
2026-10-13</t>
    <phoneticPr fontId="24" type="noConversion"/>
  </si>
  <si>
    <t>403-15-9/
46SA75
NONE
2026-9-14</t>
    <phoneticPr fontId="24" type="noConversion"/>
  </si>
  <si>
    <t>403-12-3/
26SB03
2026-10-12</t>
    <phoneticPr fontId="24" type="noConversion"/>
  </si>
  <si>
    <t>403-12-6/
26HB02
2026-10-14</t>
    <phoneticPr fontId="24" type="noConversion"/>
  </si>
  <si>
    <t>403-15-6/
26SB62
2026-10-13</t>
    <phoneticPr fontId="24" type="noConversion"/>
  </si>
  <si>
    <t>402-9-7/
36SB01
2026-10-14</t>
    <phoneticPr fontId="24" type="noConversion"/>
  </si>
  <si>
    <t>402-8-6/
26SB02
2026-10-14</t>
    <phoneticPr fontId="24" type="noConversion"/>
  </si>
  <si>
    <t>402-8-9/
36SB05
2026-10-14</t>
    <phoneticPr fontId="24" type="noConversion"/>
  </si>
  <si>
    <t>403-16-11/
46SA01
NONE
2026-9-1</t>
    <phoneticPr fontId="24" type="noConversion"/>
  </si>
  <si>
    <t>403-16-6/
26SB62
2026-10-6</t>
    <phoneticPr fontId="24" type="noConversion"/>
  </si>
  <si>
    <t>402-6-3/
36SB43
2026-10-13</t>
    <phoneticPr fontId="24" type="noConversion"/>
  </si>
  <si>
    <t>402-3-3/
36SB43
2026-10-13</t>
    <phoneticPr fontId="24" type="noConversion"/>
  </si>
  <si>
    <t>403-7-1/
26SB73
36B(B-1)
2026-10-1</t>
    <phoneticPr fontId="2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</si>
</sst>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80" formatCode="0_);[Red]\(0\)"/>
  </numFmts>
  <fonts count="63" x14ac:knownFonts="1">
    <font>
      <sz val="11"/>
      <color rgb="FF000000"/>
      <name val="맑은 고딕"/>
    </font>
    <font>
      <sz val="11"/>
      <color rgb="FF000000"/>
      <name val="맑은 고딕"/>
      <family val="3"/>
      <charset val="129"/>
    </font>
    <font>
      <sz val="10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72"/>
      <color rgb="FF000000"/>
      <name val="맑은 고딕"/>
      <family val="3"/>
      <charset val="129"/>
    </font>
    <font>
      <sz val="72"/>
      <color rgb="FF000000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b/>
      <sz val="20"/>
      <color rgb="FF000000"/>
      <name val="맑은 고딕"/>
      <family val="3"/>
      <charset val="129"/>
    </font>
    <font>
      <b/>
      <sz val="24"/>
      <color rgb="FF000000"/>
      <name val="맑은 고딕"/>
      <family val="3"/>
      <charset val="129"/>
    </font>
    <font>
      <b/>
      <sz val="18"/>
      <color rgb="FF000000"/>
      <name val="맑은 고딕"/>
      <family val="3"/>
      <charset val="129"/>
    </font>
    <font>
      <sz val="12"/>
      <color rgb="FF000000"/>
      <name val="맑은 고딕"/>
      <family val="3"/>
      <charset val="129"/>
    </font>
    <font>
      <sz val="26"/>
      <color rgb="FF000000"/>
      <name val="맑은 고딕"/>
      <family val="3"/>
      <charset val="129"/>
    </font>
    <font>
      <sz val="36"/>
      <color rgb="FF000000"/>
      <name val="맑은 고딕"/>
      <family val="3"/>
      <charset val="129"/>
    </font>
    <font>
      <b/>
      <sz val="22"/>
      <color rgb="FF000000"/>
      <name val="맑은 고딕"/>
      <family val="3"/>
      <charset val="129"/>
    </font>
    <font>
      <b/>
      <sz val="24"/>
      <color rgb="FFFF0000"/>
      <name val="맑은 고딕"/>
      <family val="3"/>
      <charset val="129"/>
    </font>
    <font>
      <b/>
      <sz val="28"/>
      <color rgb="FF000000"/>
      <name val="맑은 고딕"/>
      <family val="3"/>
      <charset val="129"/>
    </font>
    <font>
      <b/>
      <sz val="26"/>
      <color rgb="FF000000"/>
      <name val="맑은 고딕"/>
      <family val="3"/>
      <charset val="129"/>
    </font>
    <font>
      <b/>
      <sz val="36"/>
      <color rgb="FF000000"/>
      <name val="맑은 고딕"/>
      <family val="3"/>
      <charset val="129"/>
    </font>
    <font>
      <b/>
      <sz val="48"/>
      <color rgb="FF000000"/>
      <name val="맑은 고딕"/>
      <family val="3"/>
      <charset val="129"/>
    </font>
    <font>
      <sz val="48"/>
      <color rgb="FF000000"/>
      <name val="맑은 고딕"/>
      <family val="3"/>
      <charset val="129"/>
    </font>
    <font>
      <b/>
      <sz val="28"/>
      <color rgb="FFFF0000"/>
      <name val="맑은 고딕"/>
      <family val="3"/>
      <charset val="129"/>
    </font>
    <font>
      <b/>
      <sz val="100"/>
      <color rgb="FF000000"/>
      <name val="맑은 고딕"/>
      <family val="3"/>
      <charset val="129"/>
    </font>
    <font>
      <b/>
      <sz val="16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24"/>
      <name val="맑은 고딕"/>
      <family val="3"/>
      <charset val="129"/>
    </font>
    <font>
      <b/>
      <sz val="26"/>
      <color rgb="FFFFFFFF"/>
      <name val="맑은 고딕"/>
      <family val="3"/>
      <charset val="129"/>
    </font>
    <font>
      <b/>
      <sz val="36"/>
      <name val="맑은 고딕"/>
      <family val="3"/>
      <charset val="129"/>
    </font>
    <font>
      <b/>
      <sz val="48"/>
      <name val="맑은 고딕"/>
      <family val="3"/>
      <charset val="129"/>
    </font>
    <font>
      <sz val="120"/>
      <color rgb="FF000000"/>
      <name val="맑은 고딕"/>
      <family val="3"/>
      <charset val="129"/>
    </font>
    <font>
      <sz val="78"/>
      <color rgb="FF000000"/>
      <name val="맑은 고딕"/>
      <family val="3"/>
      <charset val="129"/>
    </font>
    <font>
      <b/>
      <sz val="78"/>
      <color rgb="FF000000"/>
      <name val="맑은 고딕"/>
      <family val="3"/>
      <charset val="129"/>
    </font>
    <font>
      <b/>
      <sz val="22"/>
      <name val="맑은 고딕"/>
      <family val="3"/>
      <charset val="129"/>
    </font>
    <font>
      <sz val="22"/>
      <color rgb="FF000000"/>
      <name val="맑은 고딕"/>
      <family val="3"/>
      <charset val="129"/>
    </font>
    <font>
      <b/>
      <sz val="72"/>
      <color rgb="FFFFFFFF"/>
      <name val="맑은 고딕"/>
      <family val="3"/>
      <charset val="129"/>
    </font>
    <font>
      <sz val="24"/>
      <color rgb="FFFF0000"/>
      <name val="맑은 고딕"/>
      <family val="3"/>
      <charset val="129"/>
    </font>
    <font>
      <sz val="24"/>
      <color rgb="FF000000"/>
      <name val="맑은 고딕"/>
      <family val="3"/>
      <charset val="129"/>
    </font>
    <font>
      <b/>
      <sz val="144"/>
      <color rgb="FF000000"/>
      <name val="맑은 고딕"/>
      <family val="3"/>
      <charset val="129"/>
    </font>
    <font>
      <b/>
      <sz val="24"/>
      <color rgb="FFFFFFFF"/>
      <name val="맑은 고딕"/>
      <family val="3"/>
      <charset val="129"/>
    </font>
    <font>
      <b/>
      <sz val="46"/>
      <color rgb="FF000000"/>
      <name val="맑은 고딕"/>
      <family val="3"/>
      <charset val="129"/>
    </font>
    <font>
      <b/>
      <sz val="20"/>
      <name val="맑은 고딕"/>
      <family val="3"/>
      <charset val="129"/>
    </font>
    <font>
      <b/>
      <sz val="28"/>
      <name val="맑은 고딕"/>
      <family val="3"/>
      <charset val="129"/>
    </font>
    <font>
      <b/>
      <sz val="90"/>
      <color rgb="FF000000"/>
      <name val="맑은 고딕"/>
      <family val="3"/>
      <charset val="129"/>
    </font>
    <font>
      <sz val="20"/>
      <color rgb="FF000000"/>
      <name val="맑은 고딕"/>
      <family val="3"/>
      <charset val="129"/>
    </font>
    <font>
      <b/>
      <sz val="19"/>
      <color rgb="FF000000"/>
      <name val="맑은 고딕"/>
      <family val="3"/>
      <charset val="129"/>
    </font>
    <font>
      <b/>
      <sz val="26"/>
      <name val="맑은 고딕"/>
      <family val="3"/>
      <charset val="129"/>
    </font>
    <font>
      <b/>
      <sz val="18"/>
      <name val="맑은 고딕"/>
      <family val="3"/>
      <charset val="129"/>
    </font>
    <font>
      <b/>
      <sz val="19"/>
      <name val="맑은 고딕"/>
      <family val="3"/>
      <charset val="129"/>
    </font>
    <font>
      <b/>
      <sz val="60"/>
      <color rgb="FF000000"/>
      <name val="맑은 고딕"/>
      <family val="3"/>
      <charset val="129"/>
    </font>
    <font>
      <b/>
      <sz val="46"/>
      <name val="맑은 고딕"/>
      <family val="3"/>
      <charset val="129"/>
    </font>
    <font>
      <b/>
      <sz val="120"/>
      <color rgb="FF000000"/>
      <name val="맑은 고딕"/>
      <family val="3"/>
      <charset val="129"/>
    </font>
    <font>
      <b/>
      <sz val="37"/>
      <color rgb="FF000000"/>
      <name val="맑은 고딕"/>
      <family val="3"/>
      <charset val="129"/>
    </font>
    <font>
      <sz val="46"/>
      <color rgb="FF000000"/>
      <name val="맑은 고딕"/>
      <family val="3"/>
      <charset val="129"/>
    </font>
    <font>
      <b/>
      <sz val="37"/>
      <name val="맑은 고딕"/>
      <family val="3"/>
      <charset val="129"/>
    </font>
    <font>
      <b/>
      <sz val="72"/>
      <name val="맑은 고딕"/>
      <family val="3"/>
      <charset val="129"/>
    </font>
    <font>
      <b/>
      <sz val="40"/>
      <name val="맑은 고딕"/>
      <family val="3"/>
      <charset val="129"/>
    </font>
    <font>
      <b/>
      <sz val="42"/>
      <name val="맑은 고딕"/>
      <family val="3"/>
      <charset val="129"/>
    </font>
    <font>
      <sz val="11"/>
      <color theme="1"/>
      <name val="맑은 고딕"/>
      <family val="2"/>
      <scheme val="minor"/>
    </font>
    <font>
      <b/>
      <sz val="40"/>
      <color rgb="FFFF0000"/>
      <name val="맑은 고딕"/>
      <family val="3"/>
      <charset val="129"/>
    </font>
    <font>
      <b/>
      <sz val="52"/>
      <color rgb="FF000000"/>
      <name val="맑은 고딕"/>
      <family val="3"/>
      <charset val="129"/>
    </font>
    <font>
      <b/>
      <sz val="70"/>
      <color rgb="FF000000"/>
      <name val="맑은 고딕"/>
      <family val="3"/>
      <charset val="129"/>
    </font>
    <font>
      <b/>
      <sz val="40"/>
      <color rgb="FF000000"/>
      <name val="맑은 고딕"/>
      <family val="3"/>
      <charset val="129"/>
    </font>
    <font>
      <b/>
      <sz val="70"/>
      <name val="맑은 고딕"/>
      <family val="3"/>
      <charset val="129"/>
    </font>
  </fonts>
  <fills count="27">
    <fill>
      <patternFill patternType="none"/>
    </fill>
    <fill>
      <patternFill patternType="gray125"/>
    </fill>
    <fill>
      <patternFill patternType="solid">
        <fgColor rgb="FFC6E0B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7DDE4"/>
        <bgColor indexed="64"/>
      </patternFill>
    </fill>
    <fill>
      <patternFill patternType="solid">
        <fgColor rgb="FFFBE5D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5050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 style="thick">
        <color indexed="64"/>
      </bottom>
      <diagonal/>
    </border>
    <border>
      <left/>
      <right style="medium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/>
      <top style="medium">
        <color indexed="64"/>
      </top>
      <bottom/>
      <diagonal/>
    </border>
    <border>
      <left/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dashed">
        <color indexed="64"/>
      </left>
      <right/>
      <top/>
      <bottom/>
      <diagonal/>
    </border>
    <border>
      <left style="dashed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dashed">
        <color indexed="64"/>
      </right>
      <top/>
      <bottom/>
      <diagonal/>
    </border>
    <border diagonalUp="1" diagonalDown="1"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 style="medium">
        <color indexed="64"/>
      </diagonal>
    </border>
  </borders>
  <cellStyleXfs count="21">
    <xf numFmtId="0" fontId="0" fillId="0" borderId="0">
      <alignment vertical="center"/>
    </xf>
    <xf numFmtId="9" fontId="23" fillId="0" borderId="0">
      <alignment vertical="center"/>
    </xf>
    <xf numFmtId="41" fontId="23" fillId="0" borderId="0">
      <alignment vertical="center"/>
    </xf>
    <xf numFmtId="0" fontId="23" fillId="0" borderId="0">
      <alignment vertical="center"/>
    </xf>
    <xf numFmtId="0" fontId="2" fillId="0" borderId="0">
      <alignment vertical="center"/>
    </xf>
    <xf numFmtId="0" fontId="23" fillId="0" borderId="0">
      <alignment vertical="center"/>
    </xf>
    <xf numFmtId="41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>
      <alignment vertical="center"/>
    </xf>
    <xf numFmtId="0" fontId="57" fillId="0" borderId="0"/>
  </cellStyleXfs>
  <cellXfs count="593">
    <xf numFmtId="0" fontId="0" fillId="0" borderId="0" xfId="0">
      <alignment vertical="center"/>
    </xf>
    <xf numFmtId="0" fontId="4" fillId="6" borderId="6" xfId="15" applyFont="1" applyFill="1" applyBorder="1">
      <alignment vertical="center"/>
    </xf>
    <xf numFmtId="0" fontId="4" fillId="6" borderId="5" xfId="15" applyFont="1" applyFill="1" applyBorder="1">
      <alignment vertical="center"/>
    </xf>
    <xf numFmtId="0" fontId="4" fillId="0" borderId="0" xfId="15" applyFont="1" applyAlignment="1">
      <alignment horizontal="center" vertical="center"/>
    </xf>
    <xf numFmtId="0" fontId="29" fillId="0" borderId="11" xfId="15" applyFont="1" applyBorder="1">
      <alignment vertical="center"/>
    </xf>
    <xf numFmtId="0" fontId="1" fillId="0" borderId="0" xfId="15" applyAlignment="1">
      <alignment horizontal="center" vertical="center"/>
    </xf>
    <xf numFmtId="0" fontId="1" fillId="0" borderId="0" xfId="15">
      <alignment vertical="center"/>
    </xf>
    <xf numFmtId="0" fontId="30" fillId="0" borderId="0" xfId="15" applyFont="1">
      <alignment vertical="center"/>
    </xf>
    <xf numFmtId="0" fontId="31" fillId="0" borderId="0" xfId="15" applyFont="1">
      <alignment vertical="center"/>
    </xf>
    <xf numFmtId="0" fontId="31" fillId="10" borderId="6" xfId="15" applyFont="1" applyFill="1" applyBorder="1">
      <alignment vertical="center"/>
    </xf>
    <xf numFmtId="0" fontId="31" fillId="10" borderId="5" xfId="15" applyFont="1" applyFill="1" applyBorder="1">
      <alignment vertical="center"/>
    </xf>
    <xf numFmtId="0" fontId="31" fillId="10" borderId="11" xfId="15" applyFont="1" applyFill="1" applyBorder="1">
      <alignment vertical="center"/>
    </xf>
    <xf numFmtId="0" fontId="1" fillId="17" borderId="8" xfId="15" applyFill="1" applyBorder="1">
      <alignment vertical="center"/>
    </xf>
    <xf numFmtId="0" fontId="1" fillId="17" borderId="0" xfId="15" applyFill="1">
      <alignment vertical="center"/>
    </xf>
    <xf numFmtId="0" fontId="4" fillId="17" borderId="0" xfId="15" applyFont="1" applyFill="1">
      <alignment vertical="center"/>
    </xf>
    <xf numFmtId="0" fontId="4" fillId="17" borderId="3" xfId="15" applyFont="1" applyFill="1" applyBorder="1">
      <alignment vertical="center"/>
    </xf>
    <xf numFmtId="0" fontId="4" fillId="10" borderId="0" xfId="15" applyFont="1" applyFill="1">
      <alignment vertical="center"/>
    </xf>
    <xf numFmtId="0" fontId="18" fillId="10" borderId="0" xfId="15" applyFont="1" applyFill="1" applyAlignment="1">
      <alignment horizontal="center" vertical="center" wrapText="1"/>
    </xf>
    <xf numFmtId="0" fontId="18" fillId="10" borderId="3" xfId="15" applyFont="1" applyFill="1" applyBorder="1" applyAlignment="1">
      <alignment horizontal="center" vertical="center" wrapText="1"/>
    </xf>
    <xf numFmtId="0" fontId="18" fillId="9" borderId="10" xfId="15" applyFont="1" applyFill="1" applyBorder="1" applyAlignment="1">
      <alignment horizontal="center" vertical="center" wrapText="1"/>
    </xf>
    <xf numFmtId="0" fontId="18" fillId="10" borderId="8" xfId="15" applyFont="1" applyFill="1" applyBorder="1" applyAlignment="1">
      <alignment horizontal="center" vertical="center" wrapText="1"/>
    </xf>
    <xf numFmtId="0" fontId="18" fillId="0" borderId="0" xfId="15" applyFont="1" applyAlignment="1">
      <alignment horizontal="center" vertical="center" wrapText="1"/>
    </xf>
    <xf numFmtId="0" fontId="4" fillId="6" borderId="12" xfId="15" applyFont="1" applyFill="1" applyBorder="1">
      <alignment vertical="center"/>
    </xf>
    <xf numFmtId="0" fontId="4" fillId="6" borderId="7" xfId="15" applyFont="1" applyFill="1" applyBorder="1">
      <alignment vertical="center"/>
    </xf>
    <xf numFmtId="0" fontId="29" fillId="0" borderId="4" xfId="15" applyFont="1" applyBorder="1">
      <alignment vertical="center"/>
    </xf>
    <xf numFmtId="0" fontId="30" fillId="10" borderId="5" xfId="15" applyFont="1" applyFill="1" applyBorder="1" applyAlignment="1">
      <alignment vertical="center" wrapText="1"/>
    </xf>
    <xf numFmtId="0" fontId="31" fillId="10" borderId="0" xfId="15" applyFont="1" applyFill="1">
      <alignment vertical="center"/>
    </xf>
    <xf numFmtId="0" fontId="31" fillId="10" borderId="3" xfId="15" applyFont="1" applyFill="1" applyBorder="1">
      <alignment vertical="center"/>
    </xf>
    <xf numFmtId="0" fontId="1" fillId="17" borderId="12" xfId="15" applyFill="1" applyBorder="1">
      <alignment vertical="center"/>
    </xf>
    <xf numFmtId="0" fontId="1" fillId="17" borderId="7" xfId="15" applyFill="1" applyBorder="1">
      <alignment vertical="center"/>
    </xf>
    <xf numFmtId="0" fontId="4" fillId="17" borderId="7" xfId="15" applyFont="1" applyFill="1" applyBorder="1">
      <alignment vertical="center"/>
    </xf>
    <xf numFmtId="0" fontId="4" fillId="17" borderId="4" xfId="15" applyFont="1" applyFill="1" applyBorder="1">
      <alignment vertical="center"/>
    </xf>
    <xf numFmtId="0" fontId="4" fillId="10" borderId="7" xfId="15" applyFont="1" applyFill="1" applyBorder="1">
      <alignment vertical="center"/>
    </xf>
    <xf numFmtId="0" fontId="18" fillId="10" borderId="7" xfId="15" applyFont="1" applyFill="1" applyBorder="1" applyAlignment="1">
      <alignment horizontal="center" vertical="center" wrapText="1"/>
    </xf>
    <xf numFmtId="0" fontId="18" fillId="10" borderId="4" xfId="15" applyFont="1" applyFill="1" applyBorder="1" applyAlignment="1">
      <alignment horizontal="center" vertical="center" wrapText="1"/>
    </xf>
    <xf numFmtId="0" fontId="18" fillId="10" borderId="12" xfId="15" applyFont="1" applyFill="1" applyBorder="1" applyAlignment="1">
      <alignment horizontal="center" vertical="center" wrapText="1"/>
    </xf>
    <xf numFmtId="0" fontId="18" fillId="12" borderId="0" xfId="15" applyFont="1" applyFill="1" applyAlignment="1">
      <alignment horizontal="center" vertical="center" wrapText="1"/>
    </xf>
    <xf numFmtId="0" fontId="1" fillId="6" borderId="6" xfId="15" applyFill="1" applyBorder="1">
      <alignment vertical="center"/>
    </xf>
    <xf numFmtId="0" fontId="1" fillId="6" borderId="5" xfId="15" applyFill="1" applyBorder="1">
      <alignment vertical="center"/>
    </xf>
    <xf numFmtId="0" fontId="1" fillId="6" borderId="11" xfId="15" applyFill="1" applyBorder="1">
      <alignment vertical="center"/>
    </xf>
    <xf numFmtId="0" fontId="7" fillId="0" borderId="0" xfId="15" applyFont="1" applyAlignment="1">
      <alignment horizontal="center" vertical="center"/>
    </xf>
    <xf numFmtId="14" fontId="11" fillId="0" borderId="0" xfId="15" applyNumberFormat="1" applyFont="1" applyAlignment="1">
      <alignment horizontal="center" vertical="center"/>
    </xf>
    <xf numFmtId="0" fontId="8" fillId="0" borderId="0" xfId="15" applyFont="1" applyAlignment="1">
      <alignment vertical="center" wrapText="1"/>
    </xf>
    <xf numFmtId="0" fontId="30" fillId="10" borderId="0" xfId="15" applyFont="1" applyFill="1" applyAlignment="1">
      <alignment vertical="center" wrapText="1"/>
    </xf>
    <xf numFmtId="0" fontId="4" fillId="0" borderId="0" xfId="15" applyFont="1">
      <alignment vertical="center"/>
    </xf>
    <xf numFmtId="0" fontId="32" fillId="0" borderId="10" xfId="15" applyFont="1" applyBorder="1" applyAlignment="1">
      <alignment horizontal="center" vertical="center" wrapText="1"/>
    </xf>
    <xf numFmtId="0" fontId="25" fillId="0" borderId="10" xfId="15" applyFont="1" applyBorder="1" applyAlignment="1">
      <alignment horizontal="center" vertical="center" wrapText="1"/>
    </xf>
    <xf numFmtId="0" fontId="4" fillId="6" borderId="8" xfId="15" applyFont="1" applyFill="1" applyBorder="1">
      <alignment vertical="center"/>
    </xf>
    <xf numFmtId="0" fontId="4" fillId="6" borderId="0" xfId="15" applyFont="1" applyFill="1">
      <alignment vertical="center"/>
    </xf>
    <xf numFmtId="0" fontId="1" fillId="6" borderId="3" xfId="15" applyFill="1" applyBorder="1">
      <alignment vertical="center"/>
    </xf>
    <xf numFmtId="14" fontId="33" fillId="0" borderId="0" xfId="15" applyNumberFormat="1" applyFont="1" applyAlignment="1">
      <alignment horizontal="center" vertical="center"/>
    </xf>
    <xf numFmtId="0" fontId="1" fillId="6" borderId="4" xfId="15" applyFill="1" applyBorder="1">
      <alignment vertical="center"/>
    </xf>
    <xf numFmtId="0" fontId="7" fillId="0" borderId="0" xfId="15" applyFont="1" applyAlignment="1">
      <alignment horizontal="center" vertical="center" wrapText="1"/>
    </xf>
    <xf numFmtId="0" fontId="13" fillId="0" borderId="0" xfId="15" applyFont="1" applyAlignment="1">
      <alignment horizontal="center" vertical="center"/>
    </xf>
    <xf numFmtId="0" fontId="30" fillId="10" borderId="7" xfId="15" applyFont="1" applyFill="1" applyBorder="1" applyAlignment="1">
      <alignment vertical="center" wrapText="1"/>
    </xf>
    <xf numFmtId="0" fontId="31" fillId="10" borderId="7" xfId="15" applyFont="1" applyFill="1" applyBorder="1">
      <alignment vertical="center"/>
    </xf>
    <xf numFmtId="0" fontId="31" fillId="10" borderId="4" xfId="15" applyFont="1" applyFill="1" applyBorder="1">
      <alignment vertical="center"/>
    </xf>
    <xf numFmtId="0" fontId="4" fillId="6" borderId="11" xfId="15" applyFont="1" applyFill="1" applyBorder="1">
      <alignment vertical="center"/>
    </xf>
    <xf numFmtId="0" fontId="7" fillId="0" borderId="0" xfId="15" applyFont="1">
      <alignment vertical="center"/>
    </xf>
    <xf numFmtId="0" fontId="34" fillId="0" borderId="0" xfId="15" applyFont="1">
      <alignment vertical="center"/>
    </xf>
    <xf numFmtId="0" fontId="4" fillId="0" borderId="5" xfId="15" applyFont="1" applyBorder="1">
      <alignment vertical="center"/>
    </xf>
    <xf numFmtId="0" fontId="4" fillId="6" borderId="3" xfId="15" applyFont="1" applyFill="1" applyBorder="1">
      <alignment vertical="center"/>
    </xf>
    <xf numFmtId="0" fontId="16" fillId="0" borderId="0" xfId="15" applyFont="1" applyAlignment="1">
      <alignment vertical="top"/>
    </xf>
    <xf numFmtId="0" fontId="4" fillId="6" borderId="4" xfId="15" applyFont="1" applyFill="1" applyBorder="1">
      <alignment vertical="center"/>
    </xf>
    <xf numFmtId="0" fontId="6" fillId="0" borderId="0" xfId="15" applyFont="1">
      <alignment vertical="center"/>
    </xf>
    <xf numFmtId="0" fontId="1" fillId="0" borderId="0" xfId="15" applyAlignment="1">
      <alignment vertical="center" wrapText="1"/>
    </xf>
    <xf numFmtId="0" fontId="4" fillId="0" borderId="7" xfId="15" applyFont="1" applyBorder="1">
      <alignment vertical="center"/>
    </xf>
    <xf numFmtId="0" fontId="35" fillId="0" borderId="0" xfId="15" applyFont="1">
      <alignment vertical="center"/>
    </xf>
    <xf numFmtId="0" fontId="36" fillId="0" borderId="0" xfId="15" applyFont="1" applyAlignment="1">
      <alignment horizontal="center" vertical="center"/>
    </xf>
    <xf numFmtId="0" fontId="36" fillId="0" borderId="0" xfId="15" applyFont="1">
      <alignment vertical="center"/>
    </xf>
    <xf numFmtId="0" fontId="8" fillId="0" borderId="0" xfId="15" applyFont="1">
      <alignment vertical="center"/>
    </xf>
    <xf numFmtId="0" fontId="37" fillId="0" borderId="6" xfId="15" applyFont="1" applyBorder="1" applyAlignment="1">
      <alignment vertical="center" wrapText="1"/>
    </xf>
    <xf numFmtId="0" fontId="37" fillId="0" borderId="5" xfId="15" applyFont="1" applyBorder="1" applyAlignment="1">
      <alignment vertical="center" wrapText="1"/>
    </xf>
    <xf numFmtId="0" fontId="1" fillId="4" borderId="11" xfId="15" applyFill="1" applyBorder="1">
      <alignment vertical="center"/>
    </xf>
    <xf numFmtId="0" fontId="13" fillId="0" borderId="6" xfId="15" applyFont="1" applyBorder="1" applyAlignment="1">
      <alignment horizontal="center" vertical="center"/>
    </xf>
    <xf numFmtId="0" fontId="13" fillId="0" borderId="5" xfId="15" applyFont="1" applyBorder="1" applyAlignment="1">
      <alignment horizontal="center" vertical="center"/>
    </xf>
    <xf numFmtId="0" fontId="13" fillId="0" borderId="11" xfId="15" applyFont="1" applyBorder="1" applyAlignment="1">
      <alignment horizontal="center" vertical="center"/>
    </xf>
    <xf numFmtId="0" fontId="8" fillId="0" borderId="0" xfId="15" applyFont="1" applyAlignment="1">
      <alignment horizontal="center" vertical="center"/>
    </xf>
    <xf numFmtId="0" fontId="37" fillId="0" borderId="8" xfId="15" applyFont="1" applyBorder="1" applyAlignment="1">
      <alignment vertical="center" wrapText="1"/>
    </xf>
    <xf numFmtId="0" fontId="37" fillId="0" borderId="0" xfId="15" applyFont="1" applyAlignment="1">
      <alignment vertical="center" wrapText="1"/>
    </xf>
    <xf numFmtId="0" fontId="37" fillId="0" borderId="0" xfId="15" applyFont="1" applyAlignment="1">
      <alignment horizontal="center" vertical="center" wrapText="1"/>
    </xf>
    <xf numFmtId="0" fontId="1" fillId="4" borderId="0" xfId="15" applyFill="1">
      <alignment vertical="center"/>
    </xf>
    <xf numFmtId="0" fontId="13" fillId="0" borderId="8" xfId="15" applyFont="1" applyBorder="1" applyAlignment="1">
      <alignment horizontal="center" vertical="center"/>
    </xf>
    <xf numFmtId="0" fontId="13" fillId="0" borderId="3" xfId="15" applyFont="1" applyBorder="1" applyAlignment="1">
      <alignment horizontal="center" vertical="center"/>
    </xf>
    <xf numFmtId="0" fontId="13" fillId="0" borderId="0" xfId="15" applyFont="1">
      <alignment vertical="center"/>
    </xf>
    <xf numFmtId="0" fontId="4" fillId="0" borderId="8" xfId="15" applyFont="1" applyBorder="1">
      <alignment vertical="center"/>
    </xf>
    <xf numFmtId="0" fontId="16" fillId="0" borderId="0" xfId="15" applyFont="1" applyAlignment="1">
      <alignment vertical="center" wrapText="1"/>
    </xf>
    <xf numFmtId="0" fontId="9" fillId="0" borderId="0" xfId="15" applyFont="1" applyAlignment="1">
      <alignment horizontal="center" vertical="center" wrapText="1"/>
    </xf>
    <xf numFmtId="0" fontId="18" fillId="0" borderId="3" xfId="15" applyFont="1" applyBorder="1" applyAlignment="1">
      <alignment horizontal="center" vertical="center" wrapText="1"/>
    </xf>
    <xf numFmtId="0" fontId="8" fillId="0" borderId="0" xfId="16" applyFont="1" applyAlignment="1">
      <alignment horizontal="center" vertical="center" wrapText="1"/>
    </xf>
    <xf numFmtId="0" fontId="8" fillId="0" borderId="0" xfId="15" applyFont="1" applyAlignment="1">
      <alignment horizontal="center" vertical="center" wrapText="1"/>
    </xf>
    <xf numFmtId="0" fontId="38" fillId="0" borderId="0" xfId="15" applyFont="1" applyAlignment="1">
      <alignment vertical="center" wrapText="1"/>
    </xf>
    <xf numFmtId="0" fontId="7" fillId="0" borderId="0" xfId="15" applyFont="1" applyAlignment="1">
      <alignment vertical="center" wrapText="1"/>
    </xf>
    <xf numFmtId="0" fontId="1" fillId="0" borderId="3" xfId="15" applyBorder="1">
      <alignment vertical="center"/>
    </xf>
    <xf numFmtId="0" fontId="8" fillId="0" borderId="0" xfId="16" applyFont="1" applyAlignment="1">
      <alignment vertical="center" wrapText="1"/>
    </xf>
    <xf numFmtId="0" fontId="4" fillId="0" borderId="0" xfId="16" applyFont="1" applyAlignment="1">
      <alignment vertical="center" wrapText="1"/>
    </xf>
    <xf numFmtId="0" fontId="17" fillId="0" borderId="0" xfId="15" applyFont="1" applyAlignment="1">
      <alignment vertical="center" wrapText="1"/>
    </xf>
    <xf numFmtId="0" fontId="15" fillId="0" borderId="0" xfId="15" applyFont="1" applyAlignment="1">
      <alignment vertical="center" wrapText="1"/>
    </xf>
    <xf numFmtId="0" fontId="1" fillId="3" borderId="0" xfId="15" applyFill="1">
      <alignment vertical="center"/>
    </xf>
    <xf numFmtId="0" fontId="16" fillId="0" borderId="0" xfId="15" applyFont="1" applyAlignment="1">
      <alignment horizontal="center" vertical="center" wrapText="1"/>
    </xf>
    <xf numFmtId="0" fontId="16" fillId="0" borderId="0" xfId="15" applyFont="1">
      <alignment vertical="center"/>
    </xf>
    <xf numFmtId="0" fontId="15" fillId="0" borderId="0" xfId="16" applyFont="1" applyAlignment="1">
      <alignment vertical="center" wrapText="1"/>
    </xf>
    <xf numFmtId="0" fontId="13" fillId="0" borderId="0" xfId="15" applyFont="1" applyAlignment="1">
      <alignment vertical="center" wrapText="1"/>
    </xf>
    <xf numFmtId="0" fontId="37" fillId="0" borderId="12" xfId="15" applyFont="1" applyBorder="1" applyAlignment="1">
      <alignment vertical="center" wrapText="1"/>
    </xf>
    <xf numFmtId="0" fontId="1" fillId="0" borderId="8" xfId="15" applyBorder="1">
      <alignment vertical="center"/>
    </xf>
    <xf numFmtId="0" fontId="39" fillId="0" borderId="0" xfId="15" applyFont="1">
      <alignment vertical="center"/>
    </xf>
    <xf numFmtId="0" fontId="37" fillId="0" borderId="13" xfId="15" applyFont="1" applyBorder="1" applyAlignment="1">
      <alignment vertical="center" wrapText="1"/>
    </xf>
    <xf numFmtId="0" fontId="37" fillId="0" borderId="7" xfId="15" applyFont="1" applyBorder="1" applyAlignment="1">
      <alignment vertical="center" wrapText="1"/>
    </xf>
    <xf numFmtId="0" fontId="9" fillId="0" borderId="0" xfId="15" applyFont="1" applyAlignment="1">
      <alignment vertical="center" wrapText="1"/>
    </xf>
    <xf numFmtId="0" fontId="1" fillId="0" borderId="8" xfId="15" applyBorder="1" applyAlignment="1">
      <alignment vertical="center" wrapText="1"/>
    </xf>
    <xf numFmtId="0" fontId="7" fillId="0" borderId="0" xfId="16" applyFont="1" applyAlignment="1">
      <alignment vertical="center" wrapText="1"/>
    </xf>
    <xf numFmtId="0" fontId="13" fillId="0" borderId="0" xfId="15" applyFont="1" applyAlignment="1">
      <alignment horizontal="center" vertical="center" wrapText="1"/>
    </xf>
    <xf numFmtId="0" fontId="3" fillId="0" borderId="3" xfId="15" applyFont="1" applyBorder="1" applyAlignment="1">
      <alignment horizontal="center" vertical="center" wrapText="1"/>
    </xf>
    <xf numFmtId="0" fontId="3" fillId="0" borderId="8" xfId="15" applyFont="1" applyBorder="1" applyAlignment="1">
      <alignment vertical="center" wrapText="1"/>
    </xf>
    <xf numFmtId="0" fontId="41" fillId="0" borderId="0" xfId="15" applyFont="1" applyAlignment="1">
      <alignment vertical="center" wrapText="1"/>
    </xf>
    <xf numFmtId="0" fontId="1" fillId="0" borderId="3" xfId="15" applyBorder="1" applyAlignment="1">
      <alignment vertical="center" wrapText="1"/>
    </xf>
    <xf numFmtId="0" fontId="41" fillId="0" borderId="0" xfId="15" applyFont="1">
      <alignment vertical="center"/>
    </xf>
    <xf numFmtId="0" fontId="0" fillId="0" borderId="0" xfId="15" applyFont="1" applyAlignment="1">
      <alignment vertical="center" wrapText="1"/>
    </xf>
    <xf numFmtId="0" fontId="4" fillId="11" borderId="8" xfId="15" applyFont="1" applyFill="1" applyBorder="1" applyAlignment="1">
      <alignment vertical="center" wrapText="1"/>
    </xf>
    <xf numFmtId="0" fontId="4" fillId="11" borderId="0" xfId="15" applyFont="1" applyFill="1" applyAlignment="1">
      <alignment vertical="center" wrapText="1"/>
    </xf>
    <xf numFmtId="0" fontId="43" fillId="0" borderId="0" xfId="15" applyFont="1">
      <alignment vertical="center"/>
    </xf>
    <xf numFmtId="0" fontId="13" fillId="3" borderId="0" xfId="15" applyFont="1" applyFill="1" applyAlignment="1">
      <alignment horizontal="center" vertical="center" wrapText="1"/>
    </xf>
    <xf numFmtId="0" fontId="16" fillId="0" borderId="0" xfId="16" applyFont="1" applyAlignment="1">
      <alignment vertical="center" wrapText="1"/>
    </xf>
    <xf numFmtId="0" fontId="7" fillId="3" borderId="0" xfId="15" applyFont="1" applyFill="1" applyAlignment="1">
      <alignment horizontal="center" vertical="center" wrapText="1"/>
    </xf>
    <xf numFmtId="0" fontId="14" fillId="0" borderId="8" xfId="15" applyFont="1" applyBorder="1" applyAlignment="1">
      <alignment vertical="center" wrapText="1"/>
    </xf>
    <xf numFmtId="0" fontId="13" fillId="0" borderId="0" xfId="16" applyFont="1" applyAlignment="1">
      <alignment vertical="center" wrapText="1"/>
    </xf>
    <xf numFmtId="0" fontId="44" fillId="0" borderId="0" xfId="15" applyFont="1" applyAlignment="1">
      <alignment horizontal="center" vertical="center" wrapText="1"/>
    </xf>
    <xf numFmtId="0" fontId="16" fillId="3" borderId="8" xfId="15" applyFont="1" applyFill="1" applyBorder="1" applyAlignment="1">
      <alignment vertical="center" wrapText="1"/>
    </xf>
    <xf numFmtId="0" fontId="20" fillId="12" borderId="3" xfId="15" applyFont="1" applyFill="1" applyBorder="1" applyAlignment="1">
      <alignment vertical="center" wrapText="1"/>
    </xf>
    <xf numFmtId="0" fontId="45" fillId="0" borderId="0" xfId="15" applyFont="1" applyAlignment="1">
      <alignment vertical="center" wrapText="1"/>
    </xf>
    <xf numFmtId="0" fontId="15" fillId="0" borderId="3" xfId="15" applyFont="1" applyBorder="1" applyAlignment="1">
      <alignment horizontal="center" vertical="center" wrapText="1"/>
    </xf>
    <xf numFmtId="0" fontId="11" fillId="0" borderId="0" xfId="15" applyFont="1">
      <alignment vertical="center"/>
    </xf>
    <xf numFmtId="0" fontId="8" fillId="0" borderId="0" xfId="4" applyFont="1" applyAlignment="1">
      <alignment horizontal="center" vertical="center" wrapText="1"/>
    </xf>
    <xf numFmtId="0" fontId="1" fillId="4" borderId="25" xfId="15" applyFill="1" applyBorder="1">
      <alignment vertical="center"/>
    </xf>
    <xf numFmtId="0" fontId="7" fillId="0" borderId="3" xfId="4" applyFont="1" applyBorder="1" applyAlignment="1">
      <alignment horizontal="center" vertical="center" wrapText="1"/>
    </xf>
    <xf numFmtId="0" fontId="8" fillId="0" borderId="3" xfId="4" applyFont="1" applyBorder="1" applyAlignment="1">
      <alignment horizontal="center" vertical="center" wrapText="1"/>
    </xf>
    <xf numFmtId="0" fontId="15" fillId="3" borderId="0" xfId="16" applyFont="1" applyFill="1" applyAlignment="1">
      <alignment vertical="center" wrapText="1"/>
    </xf>
    <xf numFmtId="0" fontId="12" fillId="0" borderId="0" xfId="15" applyFont="1">
      <alignment vertical="center"/>
    </xf>
    <xf numFmtId="0" fontId="7" fillId="3" borderId="0" xfId="15" applyFont="1" applyFill="1" applyAlignment="1">
      <alignment vertical="center" wrapText="1"/>
    </xf>
    <xf numFmtId="0" fontId="7" fillId="0" borderId="0" xfId="4" applyFont="1" applyAlignment="1">
      <alignment horizontal="center" vertical="center" wrapText="1"/>
    </xf>
    <xf numFmtId="0" fontId="20" fillId="3" borderId="8" xfId="16" applyFont="1" applyFill="1" applyBorder="1" applyAlignment="1">
      <alignment vertical="center" wrapText="1"/>
    </xf>
    <xf numFmtId="0" fontId="20" fillId="3" borderId="0" xfId="16" applyFont="1" applyFill="1" applyAlignment="1">
      <alignment vertical="center" wrapText="1"/>
    </xf>
    <xf numFmtId="0" fontId="25" fillId="0" borderId="0" xfId="15" applyFont="1" applyAlignment="1">
      <alignment vertical="center" wrapText="1"/>
    </xf>
    <xf numFmtId="0" fontId="10" fillId="0" borderId="0" xfId="15" applyFont="1">
      <alignment vertical="center"/>
    </xf>
    <xf numFmtId="0" fontId="15" fillId="0" borderId="12" xfId="16" applyFont="1" applyBorder="1" applyAlignment="1">
      <alignment vertical="center" wrapText="1"/>
    </xf>
    <xf numFmtId="0" fontId="11" fillId="4" borderId="0" xfId="15" applyFont="1" applyFill="1" applyAlignment="1">
      <alignment horizontal="center" vertical="center"/>
    </xf>
    <xf numFmtId="0" fontId="4" fillId="0" borderId="25" xfId="15" applyFont="1" applyBorder="1" applyAlignment="1">
      <alignment vertical="center" wrapText="1"/>
    </xf>
    <xf numFmtId="0" fontId="13" fillId="0" borderId="25" xfId="15" applyFont="1" applyBorder="1" applyAlignment="1">
      <alignment horizontal="center" vertical="center"/>
    </xf>
    <xf numFmtId="0" fontId="7" fillId="0" borderId="27" xfId="4" applyFont="1" applyBorder="1" applyAlignment="1">
      <alignment horizontal="center" vertical="center" wrapText="1"/>
    </xf>
    <xf numFmtId="0" fontId="9" fillId="0" borderId="13" xfId="15" applyFont="1" applyBorder="1" applyAlignment="1">
      <alignment vertical="center" wrapText="1"/>
    </xf>
    <xf numFmtId="0" fontId="13" fillId="0" borderId="13" xfId="15" applyFont="1" applyBorder="1" applyAlignment="1">
      <alignment horizontal="center" vertical="center" wrapText="1"/>
    </xf>
    <xf numFmtId="0" fontId="8" fillId="3" borderId="0" xfId="4" applyFont="1" applyFill="1" applyAlignment="1">
      <alignment vertical="center" wrapText="1"/>
    </xf>
    <xf numFmtId="0" fontId="8" fillId="0" borderId="0" xfId="4" applyFont="1" applyAlignment="1">
      <alignment vertical="center" wrapText="1"/>
    </xf>
    <xf numFmtId="0" fontId="37" fillId="0" borderId="11" xfId="15" applyFont="1" applyBorder="1" applyAlignment="1">
      <alignment vertical="center" wrapText="1"/>
    </xf>
    <xf numFmtId="0" fontId="10" fillId="4" borderId="0" xfId="15" applyFont="1" applyFill="1" applyAlignment="1">
      <alignment horizontal="center" vertical="center"/>
    </xf>
    <xf numFmtId="0" fontId="8" fillId="0" borderId="6" xfId="15" applyFont="1" applyBorder="1" applyAlignment="1">
      <alignment vertical="top" wrapText="1"/>
    </xf>
    <xf numFmtId="0" fontId="8" fillId="0" borderId="5" xfId="15" applyFont="1" applyBorder="1" applyAlignment="1">
      <alignment vertical="top" wrapText="1"/>
    </xf>
    <xf numFmtId="0" fontId="8" fillId="3" borderId="0" xfId="16" applyFont="1" applyFill="1" applyAlignment="1">
      <alignment vertical="center" wrapText="1"/>
    </xf>
    <xf numFmtId="0" fontId="37" fillId="0" borderId="3" xfId="15" applyFont="1" applyBorder="1" applyAlignment="1">
      <alignment vertical="center" wrapText="1"/>
    </xf>
    <xf numFmtId="0" fontId="15" fillId="0" borderId="0" xfId="15" applyFont="1" applyAlignment="1">
      <alignment horizontal="center" vertical="center" wrapText="1"/>
    </xf>
    <xf numFmtId="0" fontId="8" fillId="3" borderId="0" xfId="15" applyFont="1" applyFill="1" applyAlignment="1">
      <alignment horizontal="center" vertical="center" wrapText="1"/>
    </xf>
    <xf numFmtId="0" fontId="10" fillId="0" borderId="8" xfId="15" applyFont="1" applyBorder="1">
      <alignment vertical="center"/>
    </xf>
    <xf numFmtId="0" fontId="8" fillId="0" borderId="8" xfId="15" applyFont="1" applyBorder="1" applyAlignment="1">
      <alignment vertical="top" wrapText="1"/>
    </xf>
    <xf numFmtId="0" fontId="8" fillId="0" borderId="0" xfId="15" applyFont="1" applyAlignment="1">
      <alignment vertical="top" wrapText="1"/>
    </xf>
    <xf numFmtId="0" fontId="25" fillId="3" borderId="0" xfId="16" applyFont="1" applyFill="1" applyAlignment="1">
      <alignment vertical="center" wrapText="1"/>
    </xf>
    <xf numFmtId="0" fontId="32" fillId="0" borderId="0" xfId="15" applyFont="1" applyAlignment="1">
      <alignment horizontal="center" vertical="center" wrapText="1"/>
    </xf>
    <xf numFmtId="0" fontId="8" fillId="0" borderId="3" xfId="16" applyFont="1" applyBorder="1" applyAlignment="1">
      <alignment vertical="center" wrapText="1"/>
    </xf>
    <xf numFmtId="0" fontId="47" fillId="3" borderId="0" xfId="18" applyFont="1" applyFill="1" applyAlignment="1">
      <alignment vertical="center" wrapText="1"/>
    </xf>
    <xf numFmtId="0" fontId="46" fillId="3" borderId="0" xfId="15" applyFont="1" applyFill="1" applyAlignment="1">
      <alignment vertical="center" wrapText="1"/>
    </xf>
    <xf numFmtId="0" fontId="37" fillId="0" borderId="14" xfId="15" applyFont="1" applyBorder="1" applyAlignment="1">
      <alignment vertical="center" wrapText="1"/>
    </xf>
    <xf numFmtId="0" fontId="41" fillId="3" borderId="0" xfId="16" applyFont="1" applyFill="1" applyAlignment="1">
      <alignment vertical="center" wrapText="1"/>
    </xf>
    <xf numFmtId="0" fontId="25" fillId="3" borderId="0" xfId="18" applyFont="1" applyFill="1" applyAlignment="1">
      <alignment vertical="center" wrapText="1"/>
    </xf>
    <xf numFmtId="0" fontId="15" fillId="0" borderId="0" xfId="15" applyFont="1" applyAlignment="1">
      <alignment horizontal="center" vertical="center"/>
    </xf>
    <xf numFmtId="0" fontId="32" fillId="3" borderId="0" xfId="18" applyFont="1" applyFill="1" applyAlignment="1">
      <alignment vertical="center" wrapText="1"/>
    </xf>
    <xf numFmtId="0" fontId="41" fillId="0" borderId="0" xfId="16" applyFont="1" applyAlignment="1">
      <alignment vertical="center" wrapText="1"/>
    </xf>
    <xf numFmtId="0" fontId="41" fillId="3" borderId="0" xfId="15" applyFont="1" applyFill="1" applyAlignment="1">
      <alignment vertical="center" wrapText="1"/>
    </xf>
    <xf numFmtId="0" fontId="15" fillId="0" borderId="8" xfId="15" applyFont="1" applyBorder="1" applyAlignment="1">
      <alignment vertical="center" wrapText="1"/>
    </xf>
    <xf numFmtId="0" fontId="41" fillId="3" borderId="8" xfId="16" applyFont="1" applyFill="1" applyBorder="1" applyAlignment="1">
      <alignment vertical="center" wrapText="1"/>
    </xf>
    <xf numFmtId="0" fontId="32" fillId="0" borderId="0" xfId="15" applyFont="1" applyAlignment="1">
      <alignment vertical="center" wrapText="1"/>
    </xf>
    <xf numFmtId="0" fontId="8" fillId="3" borderId="0" xfId="15" applyFont="1" applyFill="1" applyAlignment="1">
      <alignment vertical="center" wrapText="1"/>
    </xf>
    <xf numFmtId="0" fontId="15" fillId="0" borderId="0" xfId="15" applyFont="1">
      <alignment vertical="center"/>
    </xf>
    <xf numFmtId="0" fontId="25" fillId="0" borderId="8" xfId="15" applyFont="1" applyBorder="1" applyAlignment="1">
      <alignment vertical="center" wrapText="1"/>
    </xf>
    <xf numFmtId="0" fontId="40" fillId="0" borderId="0" xfId="16" applyFont="1" applyAlignment="1">
      <alignment vertical="center" wrapText="1"/>
    </xf>
    <xf numFmtId="0" fontId="27" fillId="0" borderId="8" xfId="15" applyFont="1" applyBorder="1" applyAlignment="1">
      <alignment horizontal="center" vertical="center" wrapText="1"/>
    </xf>
    <xf numFmtId="0" fontId="40" fillId="0" borderId="0" xfId="16" applyFont="1" applyAlignment="1">
      <alignment horizontal="center" vertical="center" wrapText="1"/>
    </xf>
    <xf numFmtId="0" fontId="7" fillId="0" borderId="8" xfId="15" applyFont="1" applyBorder="1" applyAlignment="1">
      <alignment horizontal="center" vertical="center" wrapText="1"/>
    </xf>
    <xf numFmtId="0" fontId="18" fillId="0" borderId="0" xfId="15" applyFont="1" applyAlignment="1">
      <alignment vertical="center" wrapText="1"/>
    </xf>
    <xf numFmtId="0" fontId="18" fillId="0" borderId="0" xfId="15" applyFont="1">
      <alignment vertical="center"/>
    </xf>
    <xf numFmtId="0" fontId="8" fillId="0" borderId="8" xfId="15" applyFont="1" applyBorder="1" applyAlignment="1">
      <alignment vertical="center" wrapText="1"/>
    </xf>
    <xf numFmtId="0" fontId="4" fillId="0" borderId="8" xfId="15" applyFont="1" applyBorder="1" applyAlignment="1">
      <alignment vertical="center" wrapText="1"/>
    </xf>
    <xf numFmtId="0" fontId="17" fillId="0" borderId="8" xfId="15" applyFont="1" applyBorder="1" applyAlignment="1">
      <alignment horizontal="center" vertical="center" wrapText="1"/>
    </xf>
    <xf numFmtId="0" fontId="13" fillId="3" borderId="0" xfId="4" applyFont="1" applyFill="1" applyAlignment="1">
      <alignment vertical="center" wrapText="1"/>
    </xf>
    <xf numFmtId="0" fontId="17" fillId="0" borderId="8" xfId="16" applyFont="1" applyBorder="1" applyAlignment="1">
      <alignment horizontal="center" vertical="center" wrapText="1"/>
    </xf>
    <xf numFmtId="0" fontId="7" fillId="0" borderId="8" xfId="16" applyFont="1" applyBorder="1" applyAlignment="1">
      <alignment horizontal="center" vertical="center" wrapText="1"/>
    </xf>
    <xf numFmtId="0" fontId="9" fillId="0" borderId="8" xfId="15" applyFont="1" applyBorder="1" applyAlignment="1">
      <alignment horizontal="center" vertical="center" wrapText="1"/>
    </xf>
    <xf numFmtId="0" fontId="22" fillId="0" borderId="8" xfId="16" applyFont="1" applyBorder="1" applyAlignment="1">
      <alignment vertical="center" wrapText="1"/>
    </xf>
    <xf numFmtId="0" fontId="22" fillId="0" borderId="0" xfId="15" applyFont="1" applyAlignment="1">
      <alignment horizontal="center" vertical="center" wrapText="1"/>
    </xf>
    <xf numFmtId="0" fontId="9" fillId="0" borderId="0" xfId="4" applyFont="1" applyAlignment="1">
      <alignment horizontal="center" vertical="center" wrapText="1"/>
    </xf>
    <xf numFmtId="0" fontId="5" fillId="0" borderId="0" xfId="15" applyFont="1">
      <alignment vertical="center"/>
    </xf>
    <xf numFmtId="0" fontId="33" fillId="0" borderId="0" xfId="15" applyFont="1">
      <alignment vertical="center"/>
    </xf>
    <xf numFmtId="0" fontId="4" fillId="6" borderId="6" xfId="15" applyFont="1" applyFill="1" applyBorder="1" applyAlignment="1">
      <alignment vertical="center" wrapText="1"/>
    </xf>
    <xf numFmtId="0" fontId="4" fillId="6" borderId="11" xfId="15" applyFont="1" applyFill="1" applyBorder="1" applyAlignment="1">
      <alignment vertical="center" wrapText="1"/>
    </xf>
    <xf numFmtId="0" fontId="20" fillId="0" borderId="0" xfId="15" applyFont="1" applyAlignment="1">
      <alignment vertical="center" wrapText="1"/>
    </xf>
    <xf numFmtId="0" fontId="4" fillId="6" borderId="8" xfId="15" applyFont="1" applyFill="1" applyBorder="1" applyAlignment="1">
      <alignment vertical="center" wrapText="1"/>
    </xf>
    <xf numFmtId="0" fontId="4" fillId="6" borderId="3" xfId="15" applyFont="1" applyFill="1" applyBorder="1" applyAlignment="1">
      <alignment vertical="center" wrapText="1"/>
    </xf>
    <xf numFmtId="0" fontId="8" fillId="0" borderId="0" xfId="18" applyFont="1" applyAlignment="1">
      <alignment horizontal="center" vertical="center" wrapText="1"/>
    </xf>
    <xf numFmtId="0" fontId="1" fillId="0" borderId="7" xfId="15" applyBorder="1">
      <alignment vertical="center"/>
    </xf>
    <xf numFmtId="0" fontId="40" fillId="0" borderId="10" xfId="15" applyFont="1" applyBorder="1" applyAlignment="1">
      <alignment horizontal="center" vertical="center" wrapText="1"/>
    </xf>
    <xf numFmtId="0" fontId="39" fillId="0" borderId="0" xfId="15" applyFont="1" applyAlignment="1">
      <alignment horizontal="center" vertical="center"/>
    </xf>
    <xf numFmtId="0" fontId="26" fillId="0" borderId="0" xfId="15" applyFont="1" applyAlignment="1">
      <alignment vertical="center" wrapText="1"/>
    </xf>
    <xf numFmtId="0" fontId="4" fillId="0" borderId="0" xfId="15" applyFont="1" applyAlignment="1">
      <alignment vertical="center" wrapText="1"/>
    </xf>
    <xf numFmtId="0" fontId="7" fillId="0" borderId="0" xfId="16" applyFont="1" applyAlignment="1">
      <alignment horizontal="center" vertical="center" wrapText="1"/>
    </xf>
    <xf numFmtId="0" fontId="7" fillId="3" borderId="0" xfId="15" applyFont="1" applyFill="1">
      <alignment vertical="center"/>
    </xf>
    <xf numFmtId="0" fontId="25" fillId="0" borderId="3" xfId="15" applyFont="1" applyBorder="1" applyAlignment="1">
      <alignment horizontal="center" vertical="center" wrapText="1"/>
    </xf>
    <xf numFmtId="0" fontId="37" fillId="0" borderId="4" xfId="15" applyFont="1" applyBorder="1" applyAlignment="1">
      <alignment vertical="center" wrapText="1"/>
    </xf>
    <xf numFmtId="0" fontId="1" fillId="4" borderId="7" xfId="15" applyFill="1" applyBorder="1">
      <alignment vertical="center"/>
    </xf>
    <xf numFmtId="0" fontId="4" fillId="6" borderId="12" xfId="15" applyFont="1" applyFill="1" applyBorder="1" applyAlignment="1">
      <alignment vertical="center" wrapText="1"/>
    </xf>
    <xf numFmtId="0" fontId="4" fillId="6" borderId="4" xfId="15" applyFont="1" applyFill="1" applyBorder="1" applyAlignment="1">
      <alignment vertical="center" wrapText="1"/>
    </xf>
    <xf numFmtId="0" fontId="36" fillId="12" borderId="0" xfId="15" applyFont="1" applyFill="1">
      <alignment vertical="center"/>
    </xf>
    <xf numFmtId="0" fontId="8" fillId="12" borderId="5" xfId="15" applyFont="1" applyFill="1" applyBorder="1" applyAlignment="1">
      <alignment vertical="center" wrapText="1"/>
    </xf>
    <xf numFmtId="0" fontId="8" fillId="0" borderId="5" xfId="15" applyFont="1" applyBorder="1" applyAlignment="1">
      <alignment vertical="center" wrapText="1"/>
    </xf>
    <xf numFmtId="0" fontId="8" fillId="0" borderId="5" xfId="15" applyFont="1" applyBorder="1" applyAlignment="1">
      <alignment horizontal="center" vertical="center" wrapText="1"/>
    </xf>
    <xf numFmtId="0" fontId="39" fillId="0" borderId="0" xfId="15" applyFont="1" applyAlignment="1">
      <alignment vertical="center" wrapText="1"/>
    </xf>
    <xf numFmtId="0" fontId="7" fillId="12" borderId="0" xfId="15" applyFont="1" applyFill="1" applyAlignment="1">
      <alignment vertical="center" wrapText="1"/>
    </xf>
    <xf numFmtId="0" fontId="8" fillId="12" borderId="0" xfId="15" applyFont="1" applyFill="1" applyAlignment="1">
      <alignment vertical="center" wrapText="1"/>
    </xf>
    <xf numFmtId="0" fontId="32" fillId="0" borderId="0" xfId="15" applyFont="1" applyAlignment="1">
      <alignment horizontal="center" vertical="center"/>
    </xf>
    <xf numFmtId="0" fontId="13" fillId="0" borderId="0" xfId="15" applyFont="1" applyAlignment="1">
      <alignment vertical="top" wrapText="1"/>
    </xf>
    <xf numFmtId="0" fontId="5" fillId="12" borderId="7" xfId="15" applyFont="1" applyFill="1" applyBorder="1" applyAlignment="1">
      <alignment horizontal="center" vertical="center"/>
    </xf>
    <xf numFmtId="0" fontId="4" fillId="12" borderId="0" xfId="15" applyFont="1" applyFill="1">
      <alignment vertical="center"/>
    </xf>
    <xf numFmtId="0" fontId="4" fillId="12" borderId="7" xfId="15" applyFont="1" applyFill="1" applyBorder="1">
      <alignment vertical="center"/>
    </xf>
    <xf numFmtId="41" fontId="4" fillId="12" borderId="7" xfId="19" applyFont="1" applyFill="1" applyBorder="1">
      <alignment vertical="center"/>
    </xf>
    <xf numFmtId="41" fontId="4" fillId="12" borderId="4" xfId="19" applyFont="1" applyFill="1" applyBorder="1">
      <alignment vertical="center"/>
    </xf>
    <xf numFmtId="0" fontId="7" fillId="12" borderId="0" xfId="15" applyFont="1" applyFill="1" applyAlignment="1">
      <alignment horizontal="center" vertical="center"/>
    </xf>
    <xf numFmtId="0" fontId="40" fillId="0" borderId="7" xfId="15" applyFont="1" applyBorder="1" applyAlignment="1">
      <alignment horizontal="center" vertical="center" wrapText="1"/>
    </xf>
    <xf numFmtId="0" fontId="8" fillId="0" borderId="19" xfId="15" applyFont="1" applyBorder="1" applyAlignment="1">
      <alignment vertical="center" wrapText="1"/>
    </xf>
    <xf numFmtId="0" fontId="18" fillId="0" borderId="7" xfId="15" applyFont="1" applyBorder="1" applyAlignment="1">
      <alignment horizontal="center" vertical="center" wrapText="1"/>
    </xf>
    <xf numFmtId="0" fontId="18" fillId="0" borderId="4" xfId="15" applyFont="1" applyBorder="1" applyAlignment="1">
      <alignment horizontal="center" vertical="center" wrapText="1"/>
    </xf>
    <xf numFmtId="0" fontId="8" fillId="12" borderId="3" xfId="15" applyFont="1" applyFill="1" applyBorder="1" applyAlignment="1">
      <alignment vertical="center" wrapText="1"/>
    </xf>
    <xf numFmtId="0" fontId="40" fillId="0" borderId="12" xfId="15" applyFont="1" applyBorder="1" applyAlignment="1">
      <alignment horizontal="center" vertical="center" wrapText="1"/>
    </xf>
    <xf numFmtId="0" fontId="39" fillId="0" borderId="0" xfId="15" applyFont="1" applyAlignment="1">
      <alignment vertical="top" wrapText="1"/>
    </xf>
    <xf numFmtId="0" fontId="1" fillId="0" borderId="5" xfId="15" applyBorder="1">
      <alignment vertical="center"/>
    </xf>
    <xf numFmtId="0" fontId="18" fillId="0" borderId="5" xfId="15" applyFont="1" applyBorder="1" applyAlignment="1">
      <alignment horizontal="center" vertical="center" wrapText="1"/>
    </xf>
    <xf numFmtId="0" fontId="8" fillId="12" borderId="7" xfId="15" applyFont="1" applyFill="1" applyBorder="1" applyAlignment="1">
      <alignment vertical="center" wrapText="1"/>
    </xf>
    <xf numFmtId="0" fontId="45" fillId="0" borderId="7" xfId="15" applyFont="1" applyBorder="1" applyAlignment="1">
      <alignment vertical="center" wrapText="1"/>
    </xf>
    <xf numFmtId="0" fontId="8" fillId="12" borderId="4" xfId="15" applyFont="1" applyFill="1" applyBorder="1" applyAlignment="1">
      <alignment vertical="center" wrapText="1"/>
    </xf>
    <xf numFmtId="0" fontId="7" fillId="0" borderId="12" xfId="15" applyFont="1" applyBorder="1" applyAlignment="1">
      <alignment horizontal="center" vertical="center"/>
    </xf>
    <xf numFmtId="0" fontId="7" fillId="0" borderId="7" xfId="15" applyFont="1" applyBorder="1" applyAlignment="1">
      <alignment horizontal="center" vertical="center"/>
    </xf>
    <xf numFmtId="0" fontId="7" fillId="12" borderId="7" xfId="15" applyFont="1" applyFill="1" applyBorder="1" applyAlignment="1">
      <alignment horizontal="center" vertical="center"/>
    </xf>
    <xf numFmtId="0" fontId="51" fillId="0" borderId="0" xfId="15" applyFont="1" applyAlignment="1">
      <alignment horizontal="center" vertical="center"/>
    </xf>
    <xf numFmtId="0" fontId="8" fillId="0" borderId="15" xfId="15" applyFont="1" applyBorder="1" applyAlignment="1">
      <alignment vertical="center" wrapText="1"/>
    </xf>
    <xf numFmtId="0" fontId="21" fillId="6" borderId="16" xfId="15" applyFont="1" applyFill="1" applyBorder="1">
      <alignment vertical="center"/>
    </xf>
    <xf numFmtId="0" fontId="21" fillId="6" borderId="13" xfId="15" applyFont="1" applyFill="1" applyBorder="1">
      <alignment vertical="center"/>
    </xf>
    <xf numFmtId="0" fontId="21" fillId="6" borderId="5" xfId="15" applyFont="1" applyFill="1" applyBorder="1">
      <alignment vertical="center"/>
    </xf>
    <xf numFmtId="0" fontId="21" fillId="6" borderId="11" xfId="15" applyFont="1" applyFill="1" applyBorder="1">
      <alignment vertical="center"/>
    </xf>
    <xf numFmtId="0" fontId="21" fillId="0" borderId="0" xfId="15" applyFont="1">
      <alignment vertical="center"/>
    </xf>
    <xf numFmtId="0" fontId="21" fillId="0" borderId="0" xfId="15" applyFont="1" applyAlignment="1">
      <alignment horizontal="center" vertical="center"/>
    </xf>
    <xf numFmtId="0" fontId="15" fillId="15" borderId="0" xfId="15" applyFont="1" applyFill="1" applyAlignment="1">
      <alignment vertical="center" wrapText="1"/>
    </xf>
    <xf numFmtId="0" fontId="15" fillId="15" borderId="0" xfId="15" applyFont="1" applyFill="1">
      <alignment vertical="center"/>
    </xf>
    <xf numFmtId="0" fontId="51" fillId="15" borderId="0" xfId="15" applyFont="1" applyFill="1" applyAlignment="1">
      <alignment horizontal="center" vertical="center"/>
    </xf>
    <xf numFmtId="0" fontId="18" fillId="15" borderId="0" xfId="15" applyFont="1" applyFill="1" applyAlignment="1">
      <alignment horizontal="center" vertical="center" wrapText="1"/>
    </xf>
    <xf numFmtId="0" fontId="52" fillId="0" borderId="0" xfId="15" applyFont="1">
      <alignment vertical="center"/>
    </xf>
    <xf numFmtId="0" fontId="41" fillId="15" borderId="0" xfId="15" applyFont="1" applyFill="1" applyAlignment="1">
      <alignment vertical="center" wrapText="1"/>
    </xf>
    <xf numFmtId="0" fontId="1" fillId="15" borderId="0" xfId="15" applyFill="1">
      <alignment vertical="center"/>
    </xf>
    <xf numFmtId="0" fontId="28" fillId="15" borderId="0" xfId="15" applyFont="1" applyFill="1" applyAlignment="1">
      <alignment horizontal="center" vertical="center" wrapText="1"/>
    </xf>
    <xf numFmtId="0" fontId="49" fillId="0" borderId="0" xfId="15" applyFont="1" applyAlignment="1">
      <alignment horizontal="center" vertical="center" wrapText="1"/>
    </xf>
    <xf numFmtId="0" fontId="17" fillId="3" borderId="0" xfId="15" applyFont="1" applyFill="1" applyAlignment="1">
      <alignment vertical="center" wrapText="1"/>
    </xf>
    <xf numFmtId="0" fontId="53" fillId="15" borderId="0" xfId="15" applyFont="1" applyFill="1" applyAlignment="1">
      <alignment horizontal="center" vertical="center" wrapText="1"/>
    </xf>
    <xf numFmtId="0" fontId="12" fillId="0" borderId="0" xfId="15" applyFont="1" applyAlignment="1">
      <alignment horizontal="center" vertical="center"/>
    </xf>
    <xf numFmtId="0" fontId="53" fillId="15" borderId="0" xfId="15" applyFont="1" applyFill="1" applyAlignment="1">
      <alignment horizontal="center" vertical="center"/>
    </xf>
    <xf numFmtId="0" fontId="8" fillId="12" borderId="0" xfId="15" applyFont="1" applyFill="1">
      <alignment vertical="center"/>
    </xf>
    <xf numFmtId="0" fontId="25" fillId="0" borderId="8" xfId="15" applyFont="1" applyBorder="1" applyAlignment="1">
      <alignment horizontal="center" vertical="center" wrapText="1"/>
    </xf>
    <xf numFmtId="0" fontId="25" fillId="0" borderId="0" xfId="15" applyFont="1" applyAlignment="1">
      <alignment horizontal="center" vertical="center" wrapText="1"/>
    </xf>
    <xf numFmtId="0" fontId="25" fillId="0" borderId="11" xfId="15" applyFont="1" applyBorder="1" applyAlignment="1">
      <alignment horizontal="center" vertical="center" wrapText="1"/>
    </xf>
    <xf numFmtId="0" fontId="25" fillId="0" borderId="18" xfId="15" applyFont="1" applyBorder="1" applyAlignment="1">
      <alignment horizontal="center" vertical="center" wrapText="1"/>
    </xf>
    <xf numFmtId="0" fontId="41" fillId="0" borderId="5" xfId="15" applyFont="1" applyBorder="1" applyAlignment="1">
      <alignment horizontal="center" vertical="center"/>
    </xf>
    <xf numFmtId="0" fontId="33" fillId="0" borderId="0" xfId="15" applyFont="1" applyAlignment="1">
      <alignment horizontal="center" vertical="center"/>
    </xf>
    <xf numFmtId="0" fontId="28" fillId="15" borderId="0" xfId="15" applyFont="1" applyFill="1" applyAlignment="1">
      <alignment vertical="center" wrapText="1"/>
    </xf>
    <xf numFmtId="0" fontId="19" fillId="15" borderId="0" xfId="15" applyFont="1" applyFill="1">
      <alignment vertical="center"/>
    </xf>
    <xf numFmtId="0" fontId="18" fillId="15" borderId="0" xfId="15" applyFont="1" applyFill="1">
      <alignment vertical="center"/>
    </xf>
    <xf numFmtId="0" fontId="52" fillId="15" borderId="0" xfId="15" applyFont="1" applyFill="1">
      <alignment vertical="center"/>
    </xf>
    <xf numFmtId="0" fontId="33" fillId="0" borderId="29" xfId="15" applyFont="1" applyBorder="1">
      <alignment vertical="center"/>
    </xf>
    <xf numFmtId="0" fontId="1" fillId="0" borderId="30" xfId="15" applyBorder="1">
      <alignment vertical="center"/>
    </xf>
    <xf numFmtId="0" fontId="33" fillId="0" borderId="30" xfId="15" applyFont="1" applyBorder="1">
      <alignment vertical="center"/>
    </xf>
    <xf numFmtId="0" fontId="12" fillId="0" borderId="30" xfId="15" applyFont="1" applyBorder="1">
      <alignment vertical="center"/>
    </xf>
    <xf numFmtId="0" fontId="1" fillId="0" borderId="31" xfId="15" applyBorder="1">
      <alignment vertical="center"/>
    </xf>
    <xf numFmtId="0" fontId="1" fillId="0" borderId="32" xfId="15" applyBorder="1">
      <alignment vertical="center"/>
    </xf>
    <xf numFmtId="0" fontId="33" fillId="0" borderId="33" xfId="15" applyFont="1" applyBorder="1">
      <alignment vertical="center"/>
    </xf>
    <xf numFmtId="0" fontId="1" fillId="0" borderId="34" xfId="15" applyBorder="1">
      <alignment vertical="center"/>
    </xf>
    <xf numFmtId="0" fontId="33" fillId="0" borderId="34" xfId="15" applyFont="1" applyBorder="1">
      <alignment vertical="center"/>
    </xf>
    <xf numFmtId="0" fontId="12" fillId="0" borderId="34" xfId="15" applyFont="1" applyBorder="1">
      <alignment vertical="center"/>
    </xf>
    <xf numFmtId="0" fontId="1" fillId="0" borderId="35" xfId="15" applyBorder="1">
      <alignment vertical="center"/>
    </xf>
    <xf numFmtId="0" fontId="1" fillId="0" borderId="36" xfId="15" applyBorder="1">
      <alignment vertical="center"/>
    </xf>
    <xf numFmtId="0" fontId="1" fillId="0" borderId="0" xfId="18">
      <alignment vertical="center"/>
    </xf>
    <xf numFmtId="0" fontId="4" fillId="12" borderId="0" xfId="18" applyFont="1" applyFill="1">
      <alignment vertical="center"/>
    </xf>
    <xf numFmtId="0" fontId="12" fillId="0" borderId="0" xfId="18" applyFont="1" applyAlignment="1">
      <alignment horizontal="center" vertical="center"/>
    </xf>
    <xf numFmtId="0" fontId="4" fillId="0" borderId="0" xfId="18" applyFont="1">
      <alignment vertical="center"/>
    </xf>
    <xf numFmtId="0" fontId="18" fillId="0" borderId="0" xfId="18" applyFont="1" applyAlignment="1">
      <alignment horizontal="center" vertical="center"/>
    </xf>
    <xf numFmtId="0" fontId="18" fillId="2" borderId="18" xfId="15" applyFont="1" applyFill="1" applyBorder="1" applyAlignment="1">
      <alignment horizontal="center" vertical="center" wrapText="1"/>
    </xf>
    <xf numFmtId="0" fontId="18" fillId="2" borderId="15" xfId="15" applyFont="1" applyFill="1" applyBorder="1" applyAlignment="1">
      <alignment horizontal="center" vertical="center" wrapText="1"/>
    </xf>
    <xf numFmtId="0" fontId="18" fillId="2" borderId="17" xfId="15" applyFont="1" applyFill="1" applyBorder="1" applyAlignment="1">
      <alignment horizontal="center" vertical="center" wrapText="1"/>
    </xf>
    <xf numFmtId="0" fontId="4" fillId="14" borderId="8" xfId="15" applyFont="1" applyFill="1" applyBorder="1" applyAlignment="1">
      <alignment vertical="center" wrapText="1"/>
    </xf>
    <xf numFmtId="0" fontId="4" fillId="14" borderId="0" xfId="15" applyFont="1" applyFill="1" applyAlignment="1">
      <alignment vertical="center" wrapText="1"/>
    </xf>
    <xf numFmtId="0" fontId="4" fillId="14" borderId="3" xfId="15" applyFont="1" applyFill="1" applyBorder="1" applyAlignment="1">
      <alignment vertical="center" wrapText="1"/>
    </xf>
    <xf numFmtId="0" fontId="4" fillId="14" borderId="12" xfId="15" applyFont="1" applyFill="1" applyBorder="1" applyAlignment="1">
      <alignment vertical="center" wrapText="1"/>
    </xf>
    <xf numFmtId="0" fontId="4" fillId="14" borderId="7" xfId="15" applyFont="1" applyFill="1" applyBorder="1" applyAlignment="1">
      <alignment vertical="center" wrapText="1"/>
    </xf>
    <xf numFmtId="0" fontId="4" fillId="14" borderId="4" xfId="15" applyFont="1" applyFill="1" applyBorder="1" applyAlignment="1">
      <alignment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4" fillId="18" borderId="1" xfId="15" applyFont="1" applyFill="1" applyBorder="1" applyAlignment="1">
      <alignment horizontal="center" vertical="center"/>
    </xf>
    <xf numFmtId="0" fontId="4" fillId="0" borderId="46" xfId="0" applyFont="1" applyBorder="1" applyAlignment="1">
      <alignment horizontal="center" vertical="center" wrapText="1"/>
    </xf>
    <xf numFmtId="0" fontId="59" fillId="18" borderId="1" xfId="0" applyFont="1" applyFill="1" applyBorder="1" applyAlignment="1">
      <alignment horizontal="center" vertical="center" wrapText="1"/>
    </xf>
    <xf numFmtId="9" fontId="60" fillId="0" borderId="1" xfId="1" applyFont="1" applyBorder="1">
      <alignment vertical="center"/>
    </xf>
    <xf numFmtId="0" fontId="19" fillId="0" borderId="0" xfId="15" applyFont="1">
      <alignment vertical="center"/>
    </xf>
    <xf numFmtId="0" fontId="55" fillId="0" borderId="2" xfId="15" applyFont="1" applyBorder="1" applyAlignment="1">
      <alignment vertical="top" wrapText="1"/>
    </xf>
    <xf numFmtId="0" fontId="55" fillId="0" borderId="9" xfId="15" applyFont="1" applyBorder="1" applyAlignment="1">
      <alignment vertical="top" wrapText="1"/>
    </xf>
    <xf numFmtId="0" fontId="28" fillId="0" borderId="0" xfId="15" applyFont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54" fillId="0" borderId="43" xfId="0" applyFont="1" applyBorder="1" applyAlignment="1">
      <alignment vertical="center" wrapText="1"/>
    </xf>
    <xf numFmtId="0" fontId="55" fillId="0" borderId="44" xfId="0" applyFont="1" applyBorder="1" applyAlignment="1">
      <alignment horizontal="center" vertical="center" wrapText="1"/>
    </xf>
    <xf numFmtId="0" fontId="55" fillId="0" borderId="45" xfId="0" applyFont="1" applyBorder="1" applyAlignment="1">
      <alignment horizontal="center" vertical="center" wrapText="1"/>
    </xf>
    <xf numFmtId="0" fontId="4" fillId="0" borderId="41" xfId="15" applyFont="1" applyBorder="1" applyAlignment="1">
      <alignment horizontal="center" vertical="center" wrapText="1"/>
    </xf>
    <xf numFmtId="0" fontId="55" fillId="16" borderId="9" xfId="15" applyFont="1" applyFill="1" applyBorder="1" applyAlignment="1">
      <alignment vertical="top" wrapText="1"/>
    </xf>
    <xf numFmtId="0" fontId="55" fillId="16" borderId="2" xfId="15" applyFont="1" applyFill="1" applyBorder="1" applyAlignment="1">
      <alignment vertical="top" wrapText="1"/>
    </xf>
    <xf numFmtId="0" fontId="54" fillId="19" borderId="38" xfId="0" applyFont="1" applyFill="1" applyBorder="1" applyAlignment="1">
      <alignment horizontal="center" vertical="center" wrapText="1"/>
    </xf>
    <xf numFmtId="0" fontId="61" fillId="16" borderId="0" xfId="15" applyFont="1" applyFill="1" applyAlignment="1">
      <alignment horizontal="left" vertical="top" wrapText="1"/>
    </xf>
    <xf numFmtId="0" fontId="4" fillId="16" borderId="6" xfId="15" applyFont="1" applyFill="1" applyBorder="1">
      <alignment vertical="center"/>
    </xf>
    <xf numFmtId="0" fontId="4" fillId="16" borderId="5" xfId="15" applyFont="1" applyFill="1" applyBorder="1">
      <alignment vertical="center"/>
    </xf>
    <xf numFmtId="0" fontId="4" fillId="16" borderId="11" xfId="15" applyFont="1" applyFill="1" applyBorder="1">
      <alignment vertical="center"/>
    </xf>
    <xf numFmtId="0" fontId="55" fillId="19" borderId="9" xfId="15" applyFont="1" applyFill="1" applyBorder="1" applyAlignment="1">
      <alignment vertical="top" wrapText="1"/>
    </xf>
    <xf numFmtId="0" fontId="55" fillId="19" borderId="2" xfId="15" applyFont="1" applyFill="1" applyBorder="1" applyAlignment="1">
      <alignment vertical="top" wrapText="1"/>
    </xf>
    <xf numFmtId="0" fontId="56" fillId="20" borderId="6" xfId="18" applyFont="1" applyFill="1" applyBorder="1">
      <alignment vertical="center"/>
    </xf>
    <xf numFmtId="0" fontId="56" fillId="20" borderId="5" xfId="18" applyFont="1" applyFill="1" applyBorder="1">
      <alignment vertical="center"/>
    </xf>
    <xf numFmtId="0" fontId="56" fillId="20" borderId="11" xfId="18" applyFont="1" applyFill="1" applyBorder="1">
      <alignment vertical="center"/>
    </xf>
    <xf numFmtId="0" fontId="54" fillId="20" borderId="0" xfId="15" applyFont="1" applyFill="1" applyAlignment="1">
      <alignment vertical="center" wrapText="1"/>
    </xf>
    <xf numFmtId="0" fontId="55" fillId="15" borderId="9" xfId="15" applyFont="1" applyFill="1" applyBorder="1" applyAlignment="1">
      <alignment vertical="top" wrapText="1"/>
    </xf>
    <xf numFmtId="0" fontId="55" fillId="21" borderId="2" xfId="15" applyFont="1" applyFill="1" applyBorder="1" applyAlignment="1">
      <alignment vertical="top" wrapText="1"/>
    </xf>
    <xf numFmtId="0" fontId="55" fillId="21" borderId="9" xfId="15" applyFont="1" applyFill="1" applyBorder="1" applyAlignment="1">
      <alignment vertical="top" wrapText="1"/>
    </xf>
    <xf numFmtId="0" fontId="4" fillId="21" borderId="1" xfId="0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56" fillId="20" borderId="16" xfId="18" applyFont="1" applyFill="1" applyBorder="1">
      <alignment vertical="center"/>
    </xf>
    <xf numFmtId="0" fontId="56" fillId="20" borderId="13" xfId="18" applyFont="1" applyFill="1" applyBorder="1">
      <alignment vertical="center"/>
    </xf>
    <xf numFmtId="0" fontId="56" fillId="20" borderId="14" xfId="18" applyFont="1" applyFill="1" applyBorder="1">
      <alignment vertical="center"/>
    </xf>
    <xf numFmtId="0" fontId="54" fillId="20" borderId="0" xfId="18" applyFont="1" applyFill="1">
      <alignment vertical="center"/>
    </xf>
    <xf numFmtId="0" fontId="54" fillId="0" borderId="0" xfId="15" applyFont="1">
      <alignment vertical="center"/>
    </xf>
    <xf numFmtId="0" fontId="4" fillId="20" borderId="8" xfId="15" applyFont="1" applyFill="1" applyBorder="1">
      <alignment vertical="center"/>
    </xf>
    <xf numFmtId="0" fontId="28" fillId="0" borderId="47" xfId="15" applyFont="1" applyBorder="1" applyAlignment="1">
      <alignment horizontal="center" vertical="center" wrapText="1"/>
    </xf>
    <xf numFmtId="0" fontId="54" fillId="0" borderId="47" xfId="15" applyFont="1" applyBorder="1" applyAlignment="1">
      <alignment horizontal="center" vertical="center" wrapText="1"/>
    </xf>
    <xf numFmtId="0" fontId="54" fillId="19" borderId="47" xfId="15" applyFont="1" applyFill="1" applyBorder="1" applyAlignment="1">
      <alignment horizontal="center" vertical="center" wrapText="1"/>
    </xf>
    <xf numFmtId="0" fontId="54" fillId="20" borderId="47" xfId="15" applyFont="1" applyFill="1" applyBorder="1">
      <alignment vertical="center"/>
    </xf>
    <xf numFmtId="0" fontId="1" fillId="0" borderId="47" xfId="15" applyBorder="1">
      <alignment vertical="center"/>
    </xf>
    <xf numFmtId="0" fontId="10" fillId="0" borderId="47" xfId="15" applyFont="1" applyBorder="1">
      <alignment vertical="center"/>
    </xf>
    <xf numFmtId="0" fontId="28" fillId="0" borderId="48" xfId="15" applyFont="1" applyBorder="1" applyAlignment="1">
      <alignment horizontal="center" vertical="center" wrapText="1"/>
    </xf>
    <xf numFmtId="0" fontId="54" fillId="0" borderId="48" xfId="15" applyFont="1" applyBorder="1" applyAlignment="1">
      <alignment horizontal="center" vertical="center" wrapText="1"/>
    </xf>
    <xf numFmtId="0" fontId="54" fillId="19" borderId="48" xfId="15" applyFont="1" applyFill="1" applyBorder="1" applyAlignment="1">
      <alignment horizontal="center" vertical="center" wrapText="1"/>
    </xf>
    <xf numFmtId="0" fontId="28" fillId="20" borderId="48" xfId="15" applyFont="1" applyFill="1" applyBorder="1" applyAlignment="1">
      <alignment horizontal="center" vertical="center" wrapText="1"/>
    </xf>
    <xf numFmtId="0" fontId="4" fillId="0" borderId="48" xfId="15" applyFont="1" applyBorder="1">
      <alignment vertical="center"/>
    </xf>
    <xf numFmtId="0" fontId="4" fillId="16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9" fontId="5" fillId="0" borderId="0" xfId="1" applyFont="1">
      <alignment vertical="center"/>
    </xf>
    <xf numFmtId="0" fontId="54" fillId="19" borderId="3" xfId="15" applyFont="1" applyFill="1" applyBorder="1" applyAlignment="1">
      <alignment horizontal="center" vertical="center" wrapText="1"/>
    </xf>
    <xf numFmtId="0" fontId="55" fillId="22" borderId="9" xfId="15" applyFont="1" applyFill="1" applyBorder="1" applyAlignment="1">
      <alignment vertical="top" wrapText="1"/>
    </xf>
    <xf numFmtId="0" fontId="55" fillId="22" borderId="2" xfId="15" applyFont="1" applyFill="1" applyBorder="1" applyAlignment="1">
      <alignment vertical="top" wrapText="1"/>
    </xf>
    <xf numFmtId="0" fontId="55" fillId="23" borderId="9" xfId="15" applyFont="1" applyFill="1" applyBorder="1" applyAlignment="1">
      <alignment vertical="top" wrapText="1"/>
    </xf>
    <xf numFmtId="0" fontId="55" fillId="24" borderId="9" xfId="15" applyFont="1" applyFill="1" applyBorder="1" applyAlignment="1">
      <alignment vertical="top" wrapText="1"/>
    </xf>
    <xf numFmtId="0" fontId="55" fillId="24" borderId="44" xfId="0" applyFont="1" applyFill="1" applyBorder="1" applyAlignment="1">
      <alignment horizontal="center" vertical="center" wrapText="1"/>
    </xf>
    <xf numFmtId="0" fontId="55" fillId="12" borderId="2" xfId="15" applyFont="1" applyFill="1" applyBorder="1" applyAlignment="1">
      <alignment vertical="top" wrapText="1"/>
    </xf>
    <xf numFmtId="0" fontId="54" fillId="0" borderId="3" xfId="15" applyFont="1" applyBorder="1" applyAlignment="1">
      <alignment horizontal="center" vertical="center" wrapText="1"/>
    </xf>
    <xf numFmtId="0" fontId="4" fillId="19" borderId="39" xfId="15" applyFont="1" applyFill="1" applyBorder="1" applyAlignment="1">
      <alignment horizontal="center" vertical="center" wrapText="1"/>
    </xf>
    <xf numFmtId="180" fontId="4" fillId="0" borderId="42" xfId="15" applyNumberFormat="1" applyFont="1" applyBorder="1" applyAlignment="1">
      <alignment horizontal="center" vertical="center" wrapText="1"/>
    </xf>
    <xf numFmtId="0" fontId="55" fillId="14" borderId="9" xfId="15" applyFont="1" applyFill="1" applyBorder="1" applyAlignment="1">
      <alignment vertical="top" wrapText="1"/>
    </xf>
    <xf numFmtId="0" fontId="55" fillId="13" borderId="9" xfId="15" applyFont="1" applyFill="1" applyBorder="1" applyAlignment="1">
      <alignment vertical="top" wrapText="1"/>
    </xf>
    <xf numFmtId="0" fontId="55" fillId="13" borderId="2" xfId="15" applyFont="1" applyFill="1" applyBorder="1" applyAlignment="1">
      <alignment vertical="top" wrapText="1"/>
    </xf>
    <xf numFmtId="0" fontId="55" fillId="14" borderId="2" xfId="15" applyFont="1" applyFill="1" applyBorder="1" applyAlignment="1">
      <alignment vertical="top" wrapText="1"/>
    </xf>
    <xf numFmtId="0" fontId="10" fillId="19" borderId="0" xfId="15" applyFont="1" applyFill="1">
      <alignment vertical="center"/>
    </xf>
    <xf numFmtId="0" fontId="18" fillId="19" borderId="0" xfId="15" applyFont="1" applyFill="1" applyAlignment="1">
      <alignment horizontal="center" vertical="center" wrapText="1"/>
    </xf>
    <xf numFmtId="0" fontId="18" fillId="19" borderId="50" xfId="15" applyFont="1" applyFill="1" applyBorder="1" applyAlignment="1">
      <alignment horizontal="center" vertical="center" wrapText="1"/>
    </xf>
    <xf numFmtId="0" fontId="55" fillId="19" borderId="50" xfId="15" applyFont="1" applyFill="1" applyBorder="1" applyAlignment="1">
      <alignment vertical="top" wrapText="1"/>
    </xf>
    <xf numFmtId="0" fontId="61" fillId="14" borderId="0" xfId="15" applyFont="1" applyFill="1" applyAlignment="1">
      <alignment horizontal="center" vertical="center" wrapText="1"/>
    </xf>
    <xf numFmtId="0" fontId="55" fillId="16" borderId="44" xfId="0" applyFont="1" applyFill="1" applyBorder="1" applyAlignment="1">
      <alignment horizontal="center" vertical="center" wrapText="1"/>
    </xf>
    <xf numFmtId="0" fontId="4" fillId="21" borderId="41" xfId="15" applyFont="1" applyFill="1" applyBorder="1" applyAlignment="1">
      <alignment horizontal="center" vertical="center" wrapText="1"/>
    </xf>
    <xf numFmtId="0" fontId="4" fillId="15" borderId="41" xfId="15" applyFont="1" applyFill="1" applyBorder="1" applyAlignment="1">
      <alignment horizontal="center" vertical="center" wrapText="1"/>
    </xf>
    <xf numFmtId="0" fontId="4" fillId="16" borderId="40" xfId="15" applyFont="1" applyFill="1" applyBorder="1" applyAlignment="1">
      <alignment horizontal="center" vertical="center" wrapText="1"/>
    </xf>
    <xf numFmtId="0" fontId="60" fillId="25" borderId="37" xfId="15" applyFont="1" applyFill="1" applyBorder="1" applyAlignment="1">
      <alignment horizontal="center" vertical="center" wrapText="1"/>
    </xf>
    <xf numFmtId="0" fontId="62" fillId="13" borderId="38" xfId="0" applyFont="1" applyFill="1" applyBorder="1" applyAlignment="1">
      <alignment horizontal="center" vertical="center" wrapText="1"/>
    </xf>
    <xf numFmtId="0" fontId="62" fillId="14" borderId="38" xfId="0" applyFont="1" applyFill="1" applyBorder="1" applyAlignment="1">
      <alignment horizontal="center" vertical="center" wrapText="1"/>
    </xf>
    <xf numFmtId="0" fontId="61" fillId="21" borderId="0" xfId="15" applyFont="1" applyFill="1" applyAlignment="1">
      <alignment horizontal="center" vertical="center" wrapText="1"/>
    </xf>
    <xf numFmtId="0" fontId="61" fillId="19" borderId="0" xfId="15" applyFont="1" applyFill="1" applyAlignment="1">
      <alignment vertical="top"/>
    </xf>
    <xf numFmtId="0" fontId="55" fillId="15" borderId="44" xfId="0" applyFont="1" applyFill="1" applyBorder="1" applyAlignment="1">
      <alignment horizontal="center" vertical="center" wrapText="1"/>
    </xf>
    <xf numFmtId="0" fontId="61" fillId="21" borderId="0" xfId="15" applyFont="1" applyFill="1" applyAlignment="1">
      <alignment vertical="top" wrapText="1"/>
    </xf>
    <xf numFmtId="0" fontId="4" fillId="19" borderId="37" xfId="15" applyFont="1" applyFill="1" applyBorder="1" applyAlignment="1">
      <alignment horizontal="center" vertical="center" wrapText="1"/>
    </xf>
    <xf numFmtId="0" fontId="54" fillId="19" borderId="39" xfId="0" applyFont="1" applyFill="1" applyBorder="1" applyAlignment="1">
      <alignment horizontal="center" vertical="center" wrapText="1"/>
    </xf>
    <xf numFmtId="0" fontId="4" fillId="0" borderId="40" xfId="15" applyFont="1" applyBorder="1" applyAlignment="1">
      <alignment horizontal="center" vertical="center" wrapText="1"/>
    </xf>
    <xf numFmtId="0" fontId="55" fillId="15" borderId="2" xfId="15" applyFont="1" applyFill="1" applyBorder="1" applyAlignment="1">
      <alignment vertical="top" wrapText="1"/>
    </xf>
    <xf numFmtId="0" fontId="55" fillId="26" borderId="9" xfId="15" applyFont="1" applyFill="1" applyBorder="1" applyAlignment="1">
      <alignment vertical="top" wrapText="1"/>
    </xf>
    <xf numFmtId="0" fontId="4" fillId="16" borderId="13" xfId="15" applyFont="1" applyFill="1" applyBorder="1" applyAlignment="1">
      <alignment horizontal="center" vertical="center"/>
    </xf>
    <xf numFmtId="0" fontId="54" fillId="0" borderId="0" xfId="15" applyFont="1" applyAlignment="1">
      <alignment horizontal="center" vertical="center"/>
    </xf>
    <xf numFmtId="0" fontId="54" fillId="19" borderId="0" xfId="15" applyFont="1" applyFill="1" applyAlignment="1">
      <alignment horizontal="center" vertical="center"/>
    </xf>
    <xf numFmtId="0" fontId="56" fillId="20" borderId="8" xfId="18" applyFont="1" applyFill="1" applyBorder="1" applyAlignment="1">
      <alignment horizontal="center" vertical="center"/>
    </xf>
    <xf numFmtId="0" fontId="56" fillId="20" borderId="0" xfId="18" applyFont="1" applyFill="1" applyAlignment="1">
      <alignment horizontal="center" vertical="center"/>
    </xf>
    <xf numFmtId="0" fontId="56" fillId="20" borderId="3" xfId="18" applyFont="1" applyFill="1" applyBorder="1" applyAlignment="1">
      <alignment horizontal="center" vertical="center"/>
    </xf>
    <xf numFmtId="0" fontId="4" fillId="19" borderId="8" xfId="15" applyFont="1" applyFill="1" applyBorder="1" applyAlignment="1">
      <alignment horizontal="center" vertical="center"/>
    </xf>
    <xf numFmtId="0" fontId="4" fillId="0" borderId="0" xfId="15" applyFont="1" applyAlignment="1">
      <alignment horizontal="center" vertical="center"/>
    </xf>
    <xf numFmtId="0" fontId="4" fillId="19" borderId="0" xfId="15" applyFont="1" applyFill="1" applyAlignment="1">
      <alignment horizontal="center" vertical="center"/>
    </xf>
    <xf numFmtId="0" fontId="4" fillId="0" borderId="6" xfId="15" applyFont="1" applyBorder="1" applyAlignment="1">
      <alignment horizontal="center" vertical="center"/>
    </xf>
    <xf numFmtId="0" fontId="4" fillId="0" borderId="11" xfId="15" applyFont="1" applyBorder="1" applyAlignment="1">
      <alignment horizontal="center" vertical="center"/>
    </xf>
    <xf numFmtId="0" fontId="4" fillId="0" borderId="12" xfId="15" applyFont="1" applyBorder="1" applyAlignment="1">
      <alignment horizontal="center" vertical="center"/>
    </xf>
    <xf numFmtId="0" fontId="4" fillId="0" borderId="4" xfId="15" applyFont="1" applyBorder="1" applyAlignment="1">
      <alignment horizontal="center" vertical="center"/>
    </xf>
    <xf numFmtId="0" fontId="4" fillId="0" borderId="5" xfId="15" applyFont="1" applyBorder="1" applyAlignment="1">
      <alignment horizontal="center" vertical="center"/>
    </xf>
    <xf numFmtId="0" fontId="4" fillId="0" borderId="7" xfId="15" applyFont="1" applyBorder="1" applyAlignment="1">
      <alignment horizontal="center" vertical="center"/>
    </xf>
    <xf numFmtId="0" fontId="4" fillId="0" borderId="0" xfId="15" applyFont="1" applyAlignment="1">
      <alignment horizontal="center" vertical="center" wrapText="1"/>
    </xf>
    <xf numFmtId="0" fontId="29" fillId="0" borderId="6" xfId="15" applyFont="1" applyBorder="1" applyAlignment="1">
      <alignment horizontal="center" vertical="center"/>
    </xf>
    <xf numFmtId="0" fontId="29" fillId="0" borderId="5" xfId="15" applyFont="1" applyBorder="1" applyAlignment="1">
      <alignment horizontal="center" vertical="center"/>
    </xf>
    <xf numFmtId="0" fontId="29" fillId="0" borderId="11" xfId="15" applyFont="1" applyBorder="1" applyAlignment="1">
      <alignment horizontal="center" vertical="center"/>
    </xf>
    <xf numFmtId="0" fontId="29" fillId="0" borderId="12" xfId="15" applyFont="1" applyBorder="1" applyAlignment="1">
      <alignment horizontal="center" vertical="center"/>
    </xf>
    <xf numFmtId="0" fontId="29" fillId="0" borderId="7" xfId="15" applyFont="1" applyBorder="1" applyAlignment="1">
      <alignment horizontal="center" vertical="center"/>
    </xf>
    <xf numFmtId="0" fontId="29" fillId="0" borderId="4" xfId="15" applyFont="1" applyBorder="1" applyAlignment="1">
      <alignment horizontal="center" vertical="center"/>
    </xf>
    <xf numFmtId="0" fontId="18" fillId="10" borderId="0" xfId="15" applyFont="1" applyFill="1" applyAlignment="1">
      <alignment horizontal="center" vertical="center" wrapText="1"/>
    </xf>
    <xf numFmtId="0" fontId="18" fillId="10" borderId="7" xfId="15" applyFont="1" applyFill="1" applyBorder="1" applyAlignment="1">
      <alignment horizontal="center" vertical="center" wrapText="1"/>
    </xf>
    <xf numFmtId="0" fontId="5" fillId="10" borderId="6" xfId="15" applyFont="1" applyFill="1" applyBorder="1" applyAlignment="1">
      <alignment horizontal="center" vertical="center" wrapText="1"/>
    </xf>
    <xf numFmtId="0" fontId="5" fillId="10" borderId="8" xfId="15" applyFont="1" applyFill="1" applyBorder="1" applyAlignment="1">
      <alignment horizontal="center" vertical="center" wrapText="1"/>
    </xf>
    <xf numFmtId="0" fontId="5" fillId="10" borderId="12" xfId="15" applyFont="1" applyFill="1" applyBorder="1" applyAlignment="1">
      <alignment horizontal="center" vertical="center" wrapText="1"/>
    </xf>
    <xf numFmtId="0" fontId="18" fillId="6" borderId="16" xfId="15" applyFont="1" applyFill="1" applyBorder="1" applyAlignment="1">
      <alignment horizontal="center" vertical="center"/>
    </xf>
    <xf numFmtId="0" fontId="18" fillId="6" borderId="13" xfId="15" applyFont="1" applyFill="1" applyBorder="1" applyAlignment="1">
      <alignment horizontal="center" vertical="center"/>
    </xf>
    <xf numFmtId="0" fontId="18" fillId="6" borderId="14" xfId="15" applyFont="1" applyFill="1" applyBorder="1" applyAlignment="1">
      <alignment horizontal="center" vertical="center"/>
    </xf>
    <xf numFmtId="14" fontId="18" fillId="6" borderId="16" xfId="15" applyNumberFormat="1" applyFont="1" applyFill="1" applyBorder="1" applyAlignment="1">
      <alignment horizontal="center" vertical="center"/>
    </xf>
    <xf numFmtId="14" fontId="18" fillId="6" borderId="13" xfId="15" applyNumberFormat="1" applyFont="1" applyFill="1" applyBorder="1" applyAlignment="1">
      <alignment horizontal="center" vertical="center"/>
    </xf>
    <xf numFmtId="14" fontId="18" fillId="6" borderId="14" xfId="15" applyNumberFormat="1" applyFont="1" applyFill="1" applyBorder="1" applyAlignment="1">
      <alignment horizontal="center" vertical="center"/>
    </xf>
    <xf numFmtId="0" fontId="4" fillId="16" borderId="16" xfId="15" applyFont="1" applyFill="1" applyBorder="1" applyAlignment="1">
      <alignment horizontal="center" vertical="center"/>
    </xf>
    <xf numFmtId="0" fontId="4" fillId="16" borderId="14" xfId="15" applyFont="1" applyFill="1" applyBorder="1" applyAlignment="1">
      <alignment horizontal="center" vertical="center"/>
    </xf>
    <xf numFmtId="0" fontId="54" fillId="16" borderId="6" xfId="15" applyFont="1" applyFill="1" applyBorder="1" applyAlignment="1">
      <alignment horizontal="center" vertical="center" wrapText="1"/>
    </xf>
    <xf numFmtId="0" fontId="54" fillId="16" borderId="5" xfId="15" applyFont="1" applyFill="1" applyBorder="1" applyAlignment="1">
      <alignment horizontal="center" vertical="center" wrapText="1"/>
    </xf>
    <xf numFmtId="0" fontId="54" fillId="16" borderId="11" xfId="15" applyFont="1" applyFill="1" applyBorder="1" applyAlignment="1">
      <alignment horizontal="center" vertical="center" wrapText="1"/>
    </xf>
    <xf numFmtId="0" fontId="37" fillId="0" borderId="6" xfId="15" applyFont="1" applyBorder="1" applyAlignment="1">
      <alignment horizontal="center" vertical="center" wrapText="1"/>
    </xf>
    <xf numFmtId="0" fontId="37" fillId="0" borderId="11" xfId="15" applyFont="1" applyBorder="1" applyAlignment="1">
      <alignment horizontal="center" vertical="center" wrapText="1"/>
    </xf>
    <xf numFmtId="0" fontId="37" fillId="0" borderId="8" xfId="15" applyFont="1" applyBorder="1" applyAlignment="1">
      <alignment horizontal="center" vertical="center" wrapText="1"/>
    </xf>
    <xf numFmtId="0" fontId="37" fillId="0" borderId="3" xfId="15" applyFont="1" applyBorder="1" applyAlignment="1">
      <alignment horizontal="center" vertical="center" wrapText="1"/>
    </xf>
    <xf numFmtId="0" fontId="37" fillId="0" borderId="0" xfId="15" applyFont="1" applyAlignment="1">
      <alignment horizontal="center" vertical="center" wrapText="1"/>
    </xf>
    <xf numFmtId="0" fontId="37" fillId="0" borderId="12" xfId="15" applyFont="1" applyBorder="1" applyAlignment="1">
      <alignment horizontal="center" vertical="center" wrapText="1"/>
    </xf>
    <xf numFmtId="0" fontId="37" fillId="0" borderId="4" xfId="15" applyFont="1" applyBorder="1" applyAlignment="1">
      <alignment horizontal="center" vertical="center" wrapText="1"/>
    </xf>
    <xf numFmtId="0" fontId="37" fillId="0" borderId="5" xfId="15" applyFont="1" applyBorder="1" applyAlignment="1">
      <alignment horizontal="center" vertical="center" wrapText="1"/>
    </xf>
    <xf numFmtId="0" fontId="37" fillId="0" borderId="7" xfId="15" applyFont="1" applyBorder="1" applyAlignment="1">
      <alignment horizontal="center" vertical="center" wrapText="1"/>
    </xf>
    <xf numFmtId="0" fontId="4" fillId="8" borderId="6" xfId="15" applyFont="1" applyFill="1" applyBorder="1" applyAlignment="1">
      <alignment horizontal="center" vertical="center"/>
    </xf>
    <xf numFmtId="0" fontId="4" fillId="8" borderId="5" xfId="15" applyFont="1" applyFill="1" applyBorder="1" applyAlignment="1">
      <alignment horizontal="center" vertical="center"/>
    </xf>
    <xf numFmtId="0" fontId="4" fillId="8" borderId="8" xfId="15" applyFont="1" applyFill="1" applyBorder="1" applyAlignment="1">
      <alignment horizontal="center" vertical="center"/>
    </xf>
    <xf numFmtId="0" fontId="4" fillId="8" borderId="0" xfId="15" applyFont="1" applyFill="1" applyAlignment="1">
      <alignment horizontal="center" vertical="center"/>
    </xf>
    <xf numFmtId="0" fontId="4" fillId="8" borderId="12" xfId="15" applyFont="1" applyFill="1" applyBorder="1" applyAlignment="1">
      <alignment horizontal="center" vertical="center"/>
    </xf>
    <xf numFmtId="0" fontId="4" fillId="8" borderId="7" xfId="15" applyFont="1" applyFill="1" applyBorder="1" applyAlignment="1">
      <alignment horizontal="center" vertical="center"/>
    </xf>
    <xf numFmtId="0" fontId="4" fillId="11" borderId="8" xfId="15" applyFont="1" applyFill="1" applyBorder="1" applyAlignment="1">
      <alignment horizontal="center" vertical="center" wrapText="1"/>
    </xf>
    <xf numFmtId="0" fontId="4" fillId="11" borderId="0" xfId="15" applyFont="1" applyFill="1" applyAlignment="1">
      <alignment horizontal="center" vertical="center" wrapText="1"/>
    </xf>
    <xf numFmtId="0" fontId="4" fillId="11" borderId="3" xfId="15" applyFont="1" applyFill="1" applyBorder="1" applyAlignment="1">
      <alignment horizontal="center" vertical="center" wrapText="1"/>
    </xf>
    <xf numFmtId="0" fontId="4" fillId="11" borderId="12" xfId="15" applyFont="1" applyFill="1" applyBorder="1" applyAlignment="1">
      <alignment horizontal="center" vertical="center" wrapText="1"/>
    </xf>
    <xf numFmtId="0" fontId="4" fillId="11" borderId="7" xfId="15" applyFont="1" applyFill="1" applyBorder="1" applyAlignment="1">
      <alignment horizontal="center" vertical="center" wrapText="1"/>
    </xf>
    <xf numFmtId="0" fontId="4" fillId="11" borderId="4" xfId="15" applyFont="1" applyFill="1" applyBorder="1" applyAlignment="1">
      <alignment horizontal="center" vertical="center" wrapText="1"/>
    </xf>
    <xf numFmtId="0" fontId="4" fillId="11" borderId="6" xfId="15" applyFont="1" applyFill="1" applyBorder="1" applyAlignment="1">
      <alignment horizontal="center" vertical="center" wrapText="1"/>
    </xf>
    <xf numFmtId="0" fontId="4" fillId="11" borderId="5" xfId="15" applyFont="1" applyFill="1" applyBorder="1" applyAlignment="1">
      <alignment horizontal="center" vertical="center" wrapText="1"/>
    </xf>
    <xf numFmtId="0" fontId="4" fillId="11" borderId="11" xfId="15" applyFont="1" applyFill="1" applyBorder="1" applyAlignment="1">
      <alignment horizontal="center" vertical="center" wrapText="1"/>
    </xf>
    <xf numFmtId="0" fontId="4" fillId="0" borderId="6" xfId="15" applyFont="1" applyBorder="1" applyAlignment="1">
      <alignment horizontal="center" vertical="center" wrapText="1"/>
    </xf>
    <xf numFmtId="0" fontId="4" fillId="0" borderId="11" xfId="15" applyFont="1" applyBorder="1" applyAlignment="1">
      <alignment horizontal="center" vertical="center" wrapText="1"/>
    </xf>
    <xf numFmtId="0" fontId="4" fillId="0" borderId="8" xfId="15" applyFont="1" applyBorder="1" applyAlignment="1">
      <alignment horizontal="center" vertical="center" wrapText="1"/>
    </xf>
    <xf numFmtId="0" fontId="4" fillId="0" borderId="3" xfId="15" applyFont="1" applyBorder="1" applyAlignment="1">
      <alignment horizontal="center" vertical="center" wrapText="1"/>
    </xf>
    <xf numFmtId="0" fontId="4" fillId="0" borderId="12" xfId="15" applyFont="1" applyBorder="1" applyAlignment="1">
      <alignment horizontal="center" vertical="center" wrapText="1"/>
    </xf>
    <xf numFmtId="0" fontId="4" fillId="0" borderId="4" xfId="15" applyFont="1" applyBorder="1" applyAlignment="1">
      <alignment horizontal="center" vertical="center" wrapText="1"/>
    </xf>
    <xf numFmtId="0" fontId="4" fillId="8" borderId="6" xfId="15" applyFont="1" applyFill="1" applyBorder="1" applyAlignment="1">
      <alignment horizontal="center" vertical="center" wrapText="1"/>
    </xf>
    <xf numFmtId="0" fontId="4" fillId="8" borderId="5" xfId="15" applyFont="1" applyFill="1" applyBorder="1" applyAlignment="1">
      <alignment horizontal="center" vertical="center" wrapText="1"/>
    </xf>
    <xf numFmtId="0" fontId="4" fillId="8" borderId="11" xfId="15" applyFont="1" applyFill="1" applyBorder="1" applyAlignment="1">
      <alignment horizontal="center" vertical="center" wrapText="1"/>
    </xf>
    <xf numFmtId="0" fontId="4" fillId="8" borderId="8" xfId="15" applyFont="1" applyFill="1" applyBorder="1" applyAlignment="1">
      <alignment horizontal="center" vertical="center" wrapText="1"/>
    </xf>
    <xf numFmtId="0" fontId="4" fillId="8" borderId="0" xfId="15" applyFont="1" applyFill="1" applyAlignment="1">
      <alignment horizontal="center" vertical="center" wrapText="1"/>
    </xf>
    <xf numFmtId="0" fontId="4" fillId="8" borderId="3" xfId="15" applyFont="1" applyFill="1" applyBorder="1" applyAlignment="1">
      <alignment horizontal="center" vertical="center" wrapText="1"/>
    </xf>
    <xf numFmtId="0" fontId="4" fillId="8" borderId="12" xfId="15" applyFont="1" applyFill="1" applyBorder="1" applyAlignment="1">
      <alignment horizontal="center" vertical="center" wrapText="1"/>
    </xf>
    <xf numFmtId="0" fontId="4" fillId="8" borderId="7" xfId="15" applyFont="1" applyFill="1" applyBorder="1" applyAlignment="1">
      <alignment horizontal="center" vertical="center" wrapText="1"/>
    </xf>
    <xf numFmtId="0" fontId="4" fillId="8" borderId="4" xfId="15" applyFont="1" applyFill="1" applyBorder="1" applyAlignment="1">
      <alignment horizontal="center" vertical="center" wrapText="1"/>
    </xf>
    <xf numFmtId="0" fontId="4" fillId="6" borderId="6" xfId="15" applyFont="1" applyFill="1" applyBorder="1" applyAlignment="1">
      <alignment horizontal="center" vertical="center" wrapText="1"/>
    </xf>
    <xf numFmtId="0" fontId="4" fillId="6" borderId="11" xfId="15" applyFont="1" applyFill="1" applyBorder="1" applyAlignment="1">
      <alignment horizontal="center" vertical="center"/>
    </xf>
    <xf numFmtId="0" fontId="4" fillId="6" borderId="8" xfId="15" applyFont="1" applyFill="1" applyBorder="1" applyAlignment="1">
      <alignment horizontal="center" vertical="center"/>
    </xf>
    <xf numFmtId="0" fontId="4" fillId="6" borderId="3" xfId="15" applyFont="1" applyFill="1" applyBorder="1" applyAlignment="1">
      <alignment horizontal="center" vertical="center"/>
    </xf>
    <xf numFmtId="0" fontId="4" fillId="6" borderId="12" xfId="15" applyFont="1" applyFill="1" applyBorder="1" applyAlignment="1">
      <alignment horizontal="center" vertical="center"/>
    </xf>
    <xf numFmtId="0" fontId="4" fillId="6" borderId="7" xfId="15" applyFont="1" applyFill="1" applyBorder="1" applyAlignment="1">
      <alignment horizontal="center" vertical="center"/>
    </xf>
    <xf numFmtId="0" fontId="4" fillId="6" borderId="5" xfId="15" applyFont="1" applyFill="1" applyBorder="1" applyAlignment="1">
      <alignment horizontal="center" vertical="center"/>
    </xf>
    <xf numFmtId="0" fontId="4" fillId="6" borderId="0" xfId="15" applyFont="1" applyFill="1" applyAlignment="1">
      <alignment horizontal="center" vertical="center"/>
    </xf>
    <xf numFmtId="0" fontId="5" fillId="8" borderId="6" xfId="15" applyFont="1" applyFill="1" applyBorder="1" applyAlignment="1">
      <alignment horizontal="center" vertical="center"/>
    </xf>
    <xf numFmtId="0" fontId="5" fillId="8" borderId="5" xfId="15" applyFont="1" applyFill="1" applyBorder="1" applyAlignment="1">
      <alignment horizontal="center" vertical="center"/>
    </xf>
    <xf numFmtId="0" fontId="5" fillId="8" borderId="11" xfId="15" applyFont="1" applyFill="1" applyBorder="1" applyAlignment="1">
      <alignment horizontal="center" vertical="center"/>
    </xf>
    <xf numFmtId="0" fontId="5" fillId="8" borderId="8" xfId="15" applyFont="1" applyFill="1" applyBorder="1" applyAlignment="1">
      <alignment horizontal="center" vertical="center"/>
    </xf>
    <xf numFmtId="0" fontId="5" fillId="8" borderId="0" xfId="15" applyFont="1" applyFill="1" applyAlignment="1">
      <alignment horizontal="center" vertical="center"/>
    </xf>
    <xf numFmtId="0" fontId="5" fillId="8" borderId="3" xfId="15" applyFont="1" applyFill="1" applyBorder="1" applyAlignment="1">
      <alignment horizontal="center" vertical="center"/>
    </xf>
    <xf numFmtId="0" fontId="5" fillId="8" borderId="12" xfId="15" applyFont="1" applyFill="1" applyBorder="1" applyAlignment="1">
      <alignment horizontal="center" vertical="center"/>
    </xf>
    <xf numFmtId="0" fontId="5" fillId="8" borderId="7" xfId="15" applyFont="1" applyFill="1" applyBorder="1" applyAlignment="1">
      <alignment horizontal="center" vertical="center"/>
    </xf>
    <xf numFmtId="0" fontId="5" fillId="8" borderId="4" xfId="15" applyFont="1" applyFill="1" applyBorder="1" applyAlignment="1">
      <alignment horizontal="center" vertical="center"/>
    </xf>
    <xf numFmtId="0" fontId="4" fillId="6" borderId="4" xfId="15" applyFont="1" applyFill="1" applyBorder="1" applyAlignment="1">
      <alignment horizontal="center" vertical="center"/>
    </xf>
    <xf numFmtId="0" fontId="42" fillId="8" borderId="6" xfId="15" applyFont="1" applyFill="1" applyBorder="1" applyAlignment="1">
      <alignment horizontal="center" vertical="center" wrapText="1"/>
    </xf>
    <xf numFmtId="0" fontId="42" fillId="8" borderId="5" xfId="15" applyFont="1" applyFill="1" applyBorder="1" applyAlignment="1">
      <alignment horizontal="center" vertical="center" wrapText="1"/>
    </xf>
    <xf numFmtId="0" fontId="42" fillId="8" borderId="11" xfId="15" applyFont="1" applyFill="1" applyBorder="1" applyAlignment="1">
      <alignment horizontal="center" vertical="center" wrapText="1"/>
    </xf>
    <xf numFmtId="0" fontId="42" fillId="8" borderId="8" xfId="15" applyFont="1" applyFill="1" applyBorder="1" applyAlignment="1">
      <alignment horizontal="center" vertical="center" wrapText="1"/>
    </xf>
    <xf numFmtId="0" fontId="42" fillId="8" borderId="0" xfId="15" applyFont="1" applyFill="1" applyAlignment="1">
      <alignment horizontal="center" vertical="center" wrapText="1"/>
    </xf>
    <xf numFmtId="0" fontId="42" fillId="8" borderId="3" xfId="15" applyFont="1" applyFill="1" applyBorder="1" applyAlignment="1">
      <alignment horizontal="center" vertical="center" wrapText="1"/>
    </xf>
    <xf numFmtId="0" fontId="5" fillId="0" borderId="13" xfId="15" applyFont="1" applyBorder="1" applyAlignment="1">
      <alignment horizontal="center" vertical="center"/>
    </xf>
    <xf numFmtId="0" fontId="4" fillId="0" borderId="26" xfId="15" applyFont="1" applyBorder="1" applyAlignment="1">
      <alignment horizontal="center" vertical="center" wrapText="1"/>
    </xf>
    <xf numFmtId="0" fontId="4" fillId="0" borderId="25" xfId="15" applyFont="1" applyBorder="1" applyAlignment="1">
      <alignment horizontal="center" vertical="center" wrapText="1"/>
    </xf>
    <xf numFmtId="0" fontId="14" fillId="3" borderId="16" xfId="15" applyFont="1" applyFill="1" applyBorder="1" applyAlignment="1">
      <alignment horizontal="center" vertical="center" wrapText="1"/>
    </xf>
    <xf numFmtId="0" fontId="14" fillId="3" borderId="13" xfId="15" applyFont="1" applyFill="1" applyBorder="1" applyAlignment="1">
      <alignment horizontal="center" vertical="center" wrapText="1"/>
    </xf>
    <xf numFmtId="0" fontId="8" fillId="3" borderId="13" xfId="16" applyFont="1" applyFill="1" applyBorder="1" applyAlignment="1">
      <alignment horizontal="center" vertical="center" wrapText="1"/>
    </xf>
    <xf numFmtId="0" fontId="15" fillId="0" borderId="28" xfId="15" applyFont="1" applyBorder="1" applyAlignment="1">
      <alignment horizontal="center" vertical="center" wrapText="1"/>
    </xf>
    <xf numFmtId="0" fontId="15" fillId="0" borderId="0" xfId="15" applyFont="1" applyAlignment="1">
      <alignment horizontal="center" vertical="center" wrapText="1"/>
    </xf>
    <xf numFmtId="0" fontId="48" fillId="0" borderId="6" xfId="15" applyFont="1" applyBorder="1" applyAlignment="1">
      <alignment horizontal="center" vertical="center" wrapText="1"/>
    </xf>
    <xf numFmtId="0" fontId="48" fillId="0" borderId="11" xfId="15" applyFont="1" applyBorder="1" applyAlignment="1">
      <alignment horizontal="center" vertical="center" wrapText="1"/>
    </xf>
    <xf numFmtId="0" fontId="48" fillId="0" borderId="12" xfId="15" applyFont="1" applyBorder="1" applyAlignment="1">
      <alignment horizontal="center" vertical="center" wrapText="1"/>
    </xf>
    <xf numFmtId="0" fontId="48" fillId="0" borderId="4" xfId="15" applyFont="1" applyBorder="1" applyAlignment="1">
      <alignment horizontal="center" vertical="center" wrapText="1"/>
    </xf>
    <xf numFmtId="0" fontId="48" fillId="0" borderId="18" xfId="15" applyFont="1" applyBorder="1" applyAlignment="1">
      <alignment horizontal="center" vertical="center" wrapText="1"/>
    </xf>
    <xf numFmtId="0" fontId="48" fillId="0" borderId="17" xfId="15" applyFont="1" applyBorder="1" applyAlignment="1">
      <alignment horizontal="center" vertical="center" wrapText="1"/>
    </xf>
    <xf numFmtId="0" fontId="18" fillId="0" borderId="0" xfId="15" applyFont="1" applyAlignment="1">
      <alignment horizontal="center" vertical="center" wrapText="1"/>
    </xf>
    <xf numFmtId="0" fontId="4" fillId="6" borderId="8" xfId="15" applyFont="1" applyFill="1" applyBorder="1" applyAlignment="1">
      <alignment horizontal="center" vertical="center" wrapText="1"/>
    </xf>
    <xf numFmtId="0" fontId="4" fillId="6" borderId="3" xfId="15" applyFont="1" applyFill="1" applyBorder="1" applyAlignment="1">
      <alignment horizontal="center" vertical="center" wrapText="1"/>
    </xf>
    <xf numFmtId="0" fontId="15" fillId="0" borderId="8" xfId="15" applyFont="1" applyBorder="1" applyAlignment="1">
      <alignment horizontal="center" vertical="center" wrapText="1"/>
    </xf>
    <xf numFmtId="0" fontId="4" fillId="19" borderId="49" xfId="15" applyFont="1" applyFill="1" applyBorder="1" applyAlignment="1">
      <alignment horizontal="center" vertical="center"/>
    </xf>
    <xf numFmtId="0" fontId="18" fillId="2" borderId="18" xfId="15" applyFont="1" applyFill="1" applyBorder="1" applyAlignment="1">
      <alignment horizontal="center" vertical="center" wrapText="1"/>
    </xf>
    <xf numFmtId="0" fontId="18" fillId="2" borderId="15" xfId="15" applyFont="1" applyFill="1" applyBorder="1" applyAlignment="1">
      <alignment horizontal="center" vertical="center" wrapText="1"/>
    </xf>
    <xf numFmtId="0" fontId="18" fillId="2" borderId="17" xfId="15" applyFont="1" applyFill="1" applyBorder="1" applyAlignment="1">
      <alignment horizontal="center" vertical="center" wrapText="1"/>
    </xf>
    <xf numFmtId="0" fontId="37" fillId="8" borderId="5" xfId="15" applyFont="1" applyFill="1" applyBorder="1" applyAlignment="1">
      <alignment horizontal="center" vertical="center" wrapText="1"/>
    </xf>
    <xf numFmtId="0" fontId="37" fillId="8" borderId="11" xfId="15" applyFont="1" applyFill="1" applyBorder="1" applyAlignment="1">
      <alignment horizontal="center" vertical="center" wrapText="1"/>
    </xf>
    <xf numFmtId="0" fontId="37" fillId="8" borderId="0" xfId="15" applyFont="1" applyFill="1" applyAlignment="1">
      <alignment horizontal="center" vertical="center" wrapText="1"/>
    </xf>
    <xf numFmtId="0" fontId="37" fillId="8" borderId="3" xfId="15" applyFont="1" applyFill="1" applyBorder="1" applyAlignment="1">
      <alignment horizontal="center" vertical="center" wrapText="1"/>
    </xf>
    <xf numFmtId="0" fontId="37" fillId="8" borderId="7" xfId="15" applyFont="1" applyFill="1" applyBorder="1" applyAlignment="1">
      <alignment horizontal="center" vertical="center" wrapText="1"/>
    </xf>
    <xf numFmtId="0" fontId="37" fillId="8" borderId="4" xfId="15" applyFont="1" applyFill="1" applyBorder="1" applyAlignment="1">
      <alignment horizontal="center" vertical="center" wrapText="1"/>
    </xf>
    <xf numFmtId="0" fontId="4" fillId="0" borderId="5" xfId="15" applyFont="1" applyBorder="1" applyAlignment="1">
      <alignment horizontal="center" vertical="center" wrapText="1"/>
    </xf>
    <xf numFmtId="0" fontId="41" fillId="0" borderId="16" xfId="15" applyFont="1" applyBorder="1" applyAlignment="1">
      <alignment horizontal="center" vertical="center" wrapText="1"/>
    </xf>
    <xf numFmtId="0" fontId="41" fillId="0" borderId="14" xfId="15" applyFont="1" applyBorder="1" applyAlignment="1">
      <alignment horizontal="center" vertical="center" wrapText="1"/>
    </xf>
    <xf numFmtId="0" fontId="4" fillId="6" borderId="16" xfId="15" applyFont="1" applyFill="1" applyBorder="1" applyAlignment="1">
      <alignment horizontal="center" vertical="center"/>
    </xf>
    <xf numFmtId="0" fontId="4" fillId="6" borderId="14" xfId="15" applyFont="1" applyFill="1" applyBorder="1" applyAlignment="1">
      <alignment horizontal="center" vertical="center"/>
    </xf>
    <xf numFmtId="0" fontId="50" fillId="5" borderId="6" xfId="15" applyFont="1" applyFill="1" applyBorder="1" applyAlignment="1">
      <alignment horizontal="center" vertical="center"/>
    </xf>
    <xf numFmtId="0" fontId="50" fillId="5" borderId="5" xfId="15" applyFont="1" applyFill="1" applyBorder="1" applyAlignment="1">
      <alignment horizontal="center" vertical="center"/>
    </xf>
    <xf numFmtId="0" fontId="50" fillId="5" borderId="11" xfId="15" applyFont="1" applyFill="1" applyBorder="1" applyAlignment="1">
      <alignment horizontal="center" vertical="center"/>
    </xf>
    <xf numFmtId="0" fontId="50" fillId="5" borderId="8" xfId="15" applyFont="1" applyFill="1" applyBorder="1" applyAlignment="1">
      <alignment horizontal="center" vertical="center"/>
    </xf>
    <xf numFmtId="0" fontId="50" fillId="5" borderId="0" xfId="15" applyFont="1" applyFill="1" applyAlignment="1">
      <alignment horizontal="center" vertical="center"/>
    </xf>
    <xf numFmtId="0" fontId="50" fillId="5" borderId="3" xfId="15" applyFont="1" applyFill="1" applyBorder="1" applyAlignment="1">
      <alignment horizontal="center" vertical="center"/>
    </xf>
    <xf numFmtId="0" fontId="50" fillId="5" borderId="12" xfId="15" applyFont="1" applyFill="1" applyBorder="1" applyAlignment="1">
      <alignment horizontal="center" vertical="center"/>
    </xf>
    <xf numFmtId="0" fontId="50" fillId="5" borderId="7" xfId="15" applyFont="1" applyFill="1" applyBorder="1" applyAlignment="1">
      <alignment horizontal="center" vertical="center"/>
    </xf>
    <xf numFmtId="0" fontId="50" fillId="5" borderId="4" xfId="15" applyFont="1" applyFill="1" applyBorder="1" applyAlignment="1">
      <alignment horizontal="center" vertical="center"/>
    </xf>
    <xf numFmtId="0" fontId="5" fillId="6" borderId="0" xfId="15" applyFont="1" applyFill="1" applyAlignment="1">
      <alignment horizontal="center" vertical="center"/>
    </xf>
    <xf numFmtId="0" fontId="5" fillId="6" borderId="3" xfId="15" applyFont="1" applyFill="1" applyBorder="1" applyAlignment="1">
      <alignment horizontal="center" vertical="center"/>
    </xf>
    <xf numFmtId="0" fontId="5" fillId="6" borderId="8" xfId="15" applyFont="1" applyFill="1" applyBorder="1" applyAlignment="1">
      <alignment horizontal="center" vertical="center"/>
    </xf>
    <xf numFmtId="0" fontId="5" fillId="6" borderId="12" xfId="15" applyFont="1" applyFill="1" applyBorder="1" applyAlignment="1">
      <alignment horizontal="center" vertical="center"/>
    </xf>
    <xf numFmtId="0" fontId="5" fillId="6" borderId="7" xfId="15" applyFont="1" applyFill="1" applyBorder="1" applyAlignment="1">
      <alignment horizontal="center" vertical="center"/>
    </xf>
    <xf numFmtId="0" fontId="5" fillId="6" borderId="4" xfId="15" applyFont="1" applyFill="1" applyBorder="1" applyAlignment="1">
      <alignment horizontal="center" vertical="center"/>
    </xf>
    <xf numFmtId="41" fontId="4" fillId="0" borderId="8" xfId="19" applyFont="1" applyBorder="1" applyAlignment="1">
      <alignment horizontal="center" vertical="center"/>
    </xf>
    <xf numFmtId="41" fontId="4" fillId="0" borderId="3" xfId="19" applyFont="1" applyBorder="1" applyAlignment="1">
      <alignment horizontal="center" vertical="center"/>
    </xf>
    <xf numFmtId="41" fontId="4" fillId="0" borderId="12" xfId="19" applyFont="1" applyBorder="1" applyAlignment="1">
      <alignment horizontal="center" vertical="center"/>
    </xf>
    <xf numFmtId="41" fontId="4" fillId="0" borderId="4" xfId="19" applyFont="1" applyBorder="1" applyAlignment="1">
      <alignment horizontal="center" vertical="center"/>
    </xf>
    <xf numFmtId="0" fontId="5" fillId="6" borderId="14" xfId="15" applyFont="1" applyFill="1" applyBorder="1" applyAlignment="1">
      <alignment horizontal="center" vertical="center"/>
    </xf>
    <xf numFmtId="0" fontId="41" fillId="0" borderId="10" xfId="15" applyFont="1" applyBorder="1" applyAlignment="1">
      <alignment horizontal="center" vertical="center" wrapText="1"/>
    </xf>
    <xf numFmtId="0" fontId="15" fillId="15" borderId="16" xfId="15" applyFont="1" applyFill="1" applyBorder="1" applyAlignment="1">
      <alignment horizontal="center" vertical="center" wrapText="1"/>
    </xf>
    <xf numFmtId="0" fontId="15" fillId="15" borderId="14" xfId="15" applyFont="1" applyFill="1" applyBorder="1" applyAlignment="1">
      <alignment horizontal="center" vertical="center" wrapText="1"/>
    </xf>
    <xf numFmtId="0" fontId="15" fillId="15" borderId="6" xfId="15" applyFont="1" applyFill="1" applyBorder="1" applyAlignment="1">
      <alignment horizontal="center" vertical="center" wrapText="1"/>
    </xf>
    <xf numFmtId="0" fontId="15" fillId="15" borderId="11" xfId="15" applyFont="1" applyFill="1" applyBorder="1" applyAlignment="1">
      <alignment horizontal="center" vertical="center" wrapText="1"/>
    </xf>
    <xf numFmtId="0" fontId="15" fillId="15" borderId="18" xfId="15" applyFont="1" applyFill="1" applyBorder="1" applyAlignment="1">
      <alignment horizontal="center" vertical="center" wrapText="1"/>
    </xf>
    <xf numFmtId="0" fontId="15" fillId="15" borderId="17" xfId="15" applyFont="1" applyFill="1" applyBorder="1" applyAlignment="1">
      <alignment horizontal="center" vertical="center" wrapText="1"/>
    </xf>
    <xf numFmtId="0" fontId="21" fillId="8" borderId="20" xfId="15" applyFont="1" applyFill="1" applyBorder="1" applyAlignment="1">
      <alignment horizontal="center" vertical="center"/>
    </xf>
    <xf numFmtId="0" fontId="21" fillId="8" borderId="21" xfId="15" applyFont="1" applyFill="1" applyBorder="1" applyAlignment="1">
      <alignment horizontal="center" vertical="center"/>
    </xf>
    <xf numFmtId="0" fontId="21" fillId="8" borderId="22" xfId="15" applyFont="1" applyFill="1" applyBorder="1" applyAlignment="1">
      <alignment horizontal="center" vertical="center"/>
    </xf>
    <xf numFmtId="0" fontId="21" fillId="8" borderId="23" xfId="15" applyFont="1" applyFill="1" applyBorder="1" applyAlignment="1">
      <alignment horizontal="center" vertical="center"/>
    </xf>
    <xf numFmtId="0" fontId="21" fillId="8" borderId="19" xfId="15" applyFont="1" applyFill="1" applyBorder="1" applyAlignment="1">
      <alignment horizontal="center" vertical="center"/>
    </xf>
    <xf numFmtId="0" fontId="21" fillId="8" borderId="24" xfId="15" applyFont="1" applyFill="1" applyBorder="1" applyAlignment="1">
      <alignment horizontal="center" vertical="center"/>
    </xf>
    <xf numFmtId="0" fontId="4" fillId="14" borderId="6" xfId="15" applyFont="1" applyFill="1" applyBorder="1" applyAlignment="1">
      <alignment horizontal="center" vertical="center" wrapText="1"/>
    </xf>
    <xf numFmtId="0" fontId="4" fillId="14" borderId="5" xfId="15" applyFont="1" applyFill="1" applyBorder="1" applyAlignment="1">
      <alignment horizontal="center" vertical="center" wrapText="1"/>
    </xf>
    <xf numFmtId="0" fontId="4" fillId="14" borderId="11" xfId="15" applyFont="1" applyFill="1" applyBorder="1" applyAlignment="1">
      <alignment horizontal="center" vertical="center" wrapText="1"/>
    </xf>
    <xf numFmtId="0" fontId="4" fillId="14" borderId="8" xfId="15" applyFont="1" applyFill="1" applyBorder="1" applyAlignment="1">
      <alignment horizontal="center" vertical="center" wrapText="1"/>
    </xf>
    <xf numFmtId="0" fontId="4" fillId="14" borderId="0" xfId="15" applyFont="1" applyFill="1" applyAlignment="1">
      <alignment horizontal="center" vertical="center" wrapText="1"/>
    </xf>
    <xf numFmtId="0" fontId="4" fillId="14" borderId="3" xfId="15" applyFont="1" applyFill="1" applyBorder="1" applyAlignment="1">
      <alignment horizontal="center" vertical="center" wrapText="1"/>
    </xf>
    <xf numFmtId="0" fontId="4" fillId="14" borderId="12" xfId="15" applyFont="1" applyFill="1" applyBorder="1" applyAlignment="1">
      <alignment horizontal="center" vertical="center" wrapText="1"/>
    </xf>
    <xf numFmtId="0" fontId="4" fillId="14" borderId="7" xfId="15" applyFont="1" applyFill="1" applyBorder="1" applyAlignment="1">
      <alignment horizontal="center" vertical="center" wrapText="1"/>
    </xf>
    <xf numFmtId="0" fontId="4" fillId="14" borderId="4" xfId="15" applyFont="1" applyFill="1" applyBorder="1" applyAlignment="1">
      <alignment horizontal="center" vertical="center" wrapText="1"/>
    </xf>
    <xf numFmtId="0" fontId="4" fillId="7" borderId="6" xfId="15" applyFont="1" applyFill="1" applyBorder="1" applyAlignment="1">
      <alignment horizontal="center" vertical="center"/>
    </xf>
    <xf numFmtId="0" fontId="4" fillId="7" borderId="5" xfId="15" applyFont="1" applyFill="1" applyBorder="1" applyAlignment="1">
      <alignment horizontal="center" vertical="center"/>
    </xf>
    <xf numFmtId="0" fontId="4" fillId="7" borderId="11" xfId="15" applyFont="1" applyFill="1" applyBorder="1" applyAlignment="1">
      <alignment horizontal="center" vertical="center"/>
    </xf>
    <xf numFmtId="0" fontId="4" fillId="7" borderId="8" xfId="15" applyFont="1" applyFill="1" applyBorder="1" applyAlignment="1">
      <alignment horizontal="center" vertical="center"/>
    </xf>
    <xf numFmtId="0" fontId="4" fillId="7" borderId="0" xfId="15" applyFont="1" applyFill="1" applyAlignment="1">
      <alignment horizontal="center" vertical="center"/>
    </xf>
    <xf numFmtId="0" fontId="4" fillId="7" borderId="3" xfId="15" applyFont="1" applyFill="1" applyBorder="1" applyAlignment="1">
      <alignment horizontal="center" vertical="center"/>
    </xf>
    <xf numFmtId="0" fontId="4" fillId="7" borderId="12" xfId="15" applyFont="1" applyFill="1" applyBorder="1" applyAlignment="1">
      <alignment horizontal="center" vertical="center"/>
    </xf>
    <xf numFmtId="0" fontId="4" fillId="7" borderId="7" xfId="15" applyFont="1" applyFill="1" applyBorder="1" applyAlignment="1">
      <alignment horizontal="center" vertical="center"/>
    </xf>
    <xf numFmtId="0" fontId="4" fillId="7" borderId="4" xfId="15" applyFont="1" applyFill="1" applyBorder="1" applyAlignment="1">
      <alignment horizontal="center" vertical="center"/>
    </xf>
    <xf numFmtId="0" fontId="37" fillId="8" borderId="6" xfId="15" applyFont="1" applyFill="1" applyBorder="1" applyAlignment="1">
      <alignment horizontal="center" vertical="center" wrapText="1"/>
    </xf>
    <xf numFmtId="0" fontId="37" fillId="8" borderId="8" xfId="15" applyFont="1" applyFill="1" applyBorder="1" applyAlignment="1">
      <alignment horizontal="center" vertical="center" wrapText="1"/>
    </xf>
    <xf numFmtId="0" fontId="37" fillId="8" borderId="12" xfId="15" applyFont="1" applyFill="1" applyBorder="1" applyAlignment="1">
      <alignment horizontal="center" vertical="center" wrapText="1"/>
    </xf>
    <xf numFmtId="0" fontId="4" fillId="6" borderId="6" xfId="16" applyFont="1" applyFill="1" applyBorder="1" applyAlignment="1">
      <alignment horizontal="center" vertical="center" wrapText="1"/>
    </xf>
    <xf numFmtId="0" fontId="4" fillId="6" borderId="5" xfId="16" applyFont="1" applyFill="1" applyBorder="1" applyAlignment="1">
      <alignment horizontal="center" vertical="center" wrapText="1"/>
    </xf>
    <xf numFmtId="0" fontId="4" fillId="6" borderId="11" xfId="16" applyFont="1" applyFill="1" applyBorder="1" applyAlignment="1">
      <alignment horizontal="center" vertical="center" wrapText="1"/>
    </xf>
    <xf numFmtId="0" fontId="4" fillId="6" borderId="8" xfId="16" applyFont="1" applyFill="1" applyBorder="1" applyAlignment="1">
      <alignment horizontal="center" vertical="center" wrapText="1"/>
    </xf>
    <xf numFmtId="0" fontId="4" fillId="6" borderId="0" xfId="16" applyFont="1" applyFill="1" applyAlignment="1">
      <alignment horizontal="center" vertical="center" wrapText="1"/>
    </xf>
    <xf numFmtId="0" fontId="4" fillId="6" borderId="3" xfId="16" applyFont="1" applyFill="1" applyBorder="1" applyAlignment="1">
      <alignment horizontal="center" vertical="center" wrapText="1"/>
    </xf>
    <xf numFmtId="0" fontId="4" fillId="6" borderId="12" xfId="16" applyFont="1" applyFill="1" applyBorder="1" applyAlignment="1">
      <alignment horizontal="center" vertical="center" wrapText="1"/>
    </xf>
    <xf numFmtId="0" fontId="4" fillId="6" borderId="7" xfId="16" applyFont="1" applyFill="1" applyBorder="1" applyAlignment="1">
      <alignment horizontal="center" vertical="center" wrapText="1"/>
    </xf>
    <xf numFmtId="0" fontId="4" fillId="6" borderId="4" xfId="16" applyFont="1" applyFill="1" applyBorder="1" applyAlignment="1">
      <alignment horizontal="center" vertical="center" wrapText="1"/>
    </xf>
    <xf numFmtId="0" fontId="45" fillId="0" borderId="16" xfId="15" applyFont="1" applyBorder="1" applyAlignment="1">
      <alignment horizontal="center" vertical="center" wrapText="1"/>
    </xf>
    <xf numFmtId="0" fontId="45" fillId="0" borderId="14" xfId="15" applyFont="1" applyBorder="1" applyAlignment="1">
      <alignment horizontal="center" vertical="center" wrapText="1"/>
    </xf>
    <xf numFmtId="0" fontId="41" fillId="0" borderId="10" xfId="15" applyFont="1" applyBorder="1" applyAlignment="1">
      <alignment horizontal="center" vertical="center"/>
    </xf>
  </cellXfs>
  <cellStyles count="21">
    <cellStyle name="백분율" xfId="1" builtinId="5"/>
    <cellStyle name="쉼표 [0] 2" xfId="2" xr:uid="{00000000-0005-0000-0000-000002000000}"/>
    <cellStyle name="쉼표 [0] 3" xfId="6" xr:uid="{00000000-0005-0000-0000-000003000000}"/>
    <cellStyle name="쉼표 [0] 5" xfId="19" xr:uid="{00000000-0005-0000-0000-000004000000}"/>
    <cellStyle name="표준" xfId="0" builtinId="0"/>
    <cellStyle name="표준 2" xfId="3" xr:uid="{00000000-0005-0000-0000-000006000000}"/>
    <cellStyle name="표준 2 2" xfId="7" xr:uid="{00000000-0005-0000-0000-000007000000}"/>
    <cellStyle name="표준 2 2 2" xfId="10" xr:uid="{00000000-0005-0000-0000-000008000000}"/>
    <cellStyle name="표준 2 2 2 2" xfId="13" xr:uid="{00000000-0005-0000-0000-000009000000}"/>
    <cellStyle name="표준 2 2 2 2 2" xfId="18" xr:uid="{00000000-0005-0000-0000-00000A000000}"/>
    <cellStyle name="표준 2 2 2 3" xfId="15" xr:uid="{00000000-0005-0000-0000-00000B000000}"/>
    <cellStyle name="표준 2 2 8" xfId="14" xr:uid="{00000000-0005-0000-0000-00000C000000}"/>
    <cellStyle name="표준 2 2 8 2" xfId="4" xr:uid="{00000000-0005-0000-0000-00000D000000}"/>
    <cellStyle name="표준 3" xfId="5" xr:uid="{00000000-0005-0000-0000-00000E000000}"/>
    <cellStyle name="표준 4" xfId="8" xr:uid="{00000000-0005-0000-0000-00000F000000}"/>
    <cellStyle name="표준 4 2" xfId="9" xr:uid="{00000000-0005-0000-0000-000010000000}"/>
    <cellStyle name="표준 5" xfId="11" xr:uid="{00000000-0005-0000-0000-000011000000}"/>
    <cellStyle name="표준 5 2" xfId="17" xr:uid="{00000000-0005-0000-0000-000012000000}"/>
    <cellStyle name="표준 6" xfId="12" xr:uid="{00000000-0005-0000-0000-000013000000}"/>
    <cellStyle name="표준 6 2" xfId="16" xr:uid="{00000000-0005-0000-0000-000014000000}"/>
    <cellStyle name="표준 7" xfId="20" xr:uid="{2C3D5F37-662A-47A9-80DE-156D496E1CB8}"/>
  </cellStyles>
  <dxfs count="0"/>
  <tableStyles count="0" defaultTableStyle="TableStyleMedium2" defaultPivotStyle="PivotStyleLight16"/>
  <colors>
    <mruColors>
      <color rgb="FFFF505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  <pageSetUpPr fitToPage="1"/>
  </sheetPr>
  <dimension ref="A1:CH99"/>
  <sheetViews>
    <sheetView showGridLines="0" tabSelected="1" topLeftCell="AA50" zoomScale="10" zoomScaleNormal="10" zoomScaleSheetLayoutView="10" zoomScalePageLayoutView="10" workbookViewId="0">
      <selection activeCell="CB49" sqref="CB49"/>
    </sheetView>
  </sheetViews>
  <sheetFormatPr defaultColWidth="26.125" defaultRowHeight="186" customHeight="1" x14ac:dyDescent="0.3"/>
  <cols>
    <col min="1" max="6" width="28.625" style="6" hidden="1" customWidth="1"/>
    <col min="7" max="7" width="28.625" style="5" hidden="1" customWidth="1"/>
    <col min="8" max="10" width="28.625" style="6" hidden="1" customWidth="1"/>
    <col min="11" max="11" width="28.625" style="5" hidden="1" customWidth="1"/>
    <col min="12" max="13" width="28.625" style="6" hidden="1" customWidth="1"/>
    <col min="14" max="16" width="22.625" style="6" hidden="1" customWidth="1"/>
    <col min="17" max="26" width="30.125" style="6" hidden="1" customWidth="1"/>
    <col min="27" max="27" width="30.125" style="199" customWidth="1"/>
    <col min="28" max="28" width="30.125" style="137" customWidth="1"/>
    <col min="29" max="29" width="29.875" style="6" customWidth="1"/>
    <col min="30" max="30" width="27" style="6" customWidth="1"/>
    <col min="31" max="31" width="29.125" style="6" customWidth="1"/>
    <col min="32" max="32" width="26.75" style="6" customWidth="1"/>
    <col min="33" max="33" width="29.25" style="6" customWidth="1"/>
    <col min="34" max="34" width="32.125" style="6" customWidth="1"/>
    <col min="35" max="36" width="33.125" style="6" customWidth="1"/>
    <col min="37" max="53" width="35.75" style="6" customWidth="1"/>
    <col min="54" max="55" width="37.625" style="21" customWidth="1"/>
    <col min="56" max="56" width="35.75" style="21" customWidth="1"/>
    <col min="57" max="65" width="38.125" style="21" customWidth="1"/>
    <col min="66" max="66" width="35.75" style="21" customWidth="1"/>
    <col min="67" max="74" width="38.125" style="21" customWidth="1"/>
    <col min="75" max="75" width="35.75" style="6" customWidth="1"/>
    <col min="76" max="16384" width="26.125" style="6"/>
  </cols>
  <sheetData>
    <row r="1" spans="1:76" ht="186" customHeight="1" thickBot="1" x14ac:dyDescent="0.35">
      <c r="A1" s="1" t="s">
        <v>15</v>
      </c>
      <c r="B1" s="2"/>
      <c r="C1" s="2"/>
      <c r="D1" s="2"/>
      <c r="E1" s="402"/>
      <c r="F1" s="403"/>
      <c r="G1" s="402"/>
      <c r="H1" s="406"/>
      <c r="I1" s="403"/>
      <c r="J1" s="402"/>
      <c r="K1" s="406"/>
      <c r="L1" s="406"/>
      <c r="M1" s="406"/>
      <c r="N1" s="406"/>
      <c r="O1" s="406"/>
      <c r="P1" s="403"/>
      <c r="Q1" s="3"/>
      <c r="R1" s="408"/>
      <c r="S1" s="400"/>
      <c r="T1" s="409" t="s">
        <v>16</v>
      </c>
      <c r="U1" s="410"/>
      <c r="V1" s="410"/>
      <c r="W1" s="410"/>
      <c r="X1" s="410"/>
      <c r="Y1" s="410"/>
      <c r="Z1" s="410"/>
      <c r="AA1" s="411"/>
      <c r="AB1" s="4"/>
      <c r="AC1" s="5"/>
      <c r="AI1" s="7"/>
      <c r="AJ1" s="8"/>
      <c r="AK1" s="9"/>
      <c r="AL1" s="10"/>
      <c r="AM1" s="11"/>
      <c r="AN1" s="12"/>
      <c r="AO1" s="13"/>
      <c r="AP1" s="14"/>
      <c r="AQ1" s="14"/>
      <c r="AR1" s="15"/>
      <c r="AS1" s="14"/>
      <c r="AT1" s="16"/>
      <c r="AU1" s="16"/>
      <c r="AV1" s="16"/>
      <c r="AW1" s="16"/>
      <c r="AX1" s="16"/>
      <c r="AY1" s="16"/>
      <c r="AZ1" s="16"/>
      <c r="BA1" s="16"/>
      <c r="BB1" s="415" t="s">
        <v>4</v>
      </c>
      <c r="BC1" s="17"/>
      <c r="BD1" s="17"/>
      <c r="BE1" s="18"/>
      <c r="BF1" s="19" t="s">
        <v>5</v>
      </c>
      <c r="BG1" s="20"/>
      <c r="BH1" s="17"/>
      <c r="BI1" s="17"/>
      <c r="BJ1" s="18"/>
    </row>
    <row r="2" spans="1:76" ht="186" customHeight="1" thickBot="1" x14ac:dyDescent="0.35">
      <c r="A2" s="22"/>
      <c r="B2" s="23"/>
      <c r="C2" s="23"/>
      <c r="D2" s="23"/>
      <c r="E2" s="404"/>
      <c r="F2" s="405"/>
      <c r="G2" s="404"/>
      <c r="H2" s="407"/>
      <c r="I2" s="405"/>
      <c r="J2" s="404"/>
      <c r="K2" s="407"/>
      <c r="L2" s="407"/>
      <c r="M2" s="407"/>
      <c r="N2" s="407"/>
      <c r="O2" s="407"/>
      <c r="P2" s="405"/>
      <c r="Q2" s="3"/>
      <c r="R2" s="400"/>
      <c r="S2" s="400"/>
      <c r="T2" s="412"/>
      <c r="U2" s="413"/>
      <c r="V2" s="413"/>
      <c r="W2" s="413"/>
      <c r="X2" s="413"/>
      <c r="Y2" s="413"/>
      <c r="Z2" s="413"/>
      <c r="AA2" s="414"/>
      <c r="AB2" s="24"/>
      <c r="AC2" s="5"/>
      <c r="AI2" s="417" t="s">
        <v>17</v>
      </c>
      <c r="AJ2" s="25"/>
      <c r="AK2" s="26"/>
      <c r="AL2" s="26"/>
      <c r="AM2" s="27"/>
      <c r="AN2" s="28"/>
      <c r="AO2" s="29"/>
      <c r="AP2" s="30"/>
      <c r="AQ2" s="30"/>
      <c r="AR2" s="31"/>
      <c r="AS2" s="30"/>
      <c r="AT2" s="32"/>
      <c r="AU2" s="32"/>
      <c r="AV2" s="32"/>
      <c r="AW2" s="32"/>
      <c r="AX2" s="32"/>
      <c r="AY2" s="32"/>
      <c r="AZ2" s="32"/>
      <c r="BA2" s="32"/>
      <c r="BB2" s="416"/>
      <c r="BC2" s="33"/>
      <c r="BD2" s="33"/>
      <c r="BE2" s="34"/>
      <c r="BF2" s="19" t="s">
        <v>5</v>
      </c>
      <c r="BG2" s="35"/>
      <c r="BH2" s="33"/>
      <c r="BI2" s="33"/>
      <c r="BJ2" s="34"/>
      <c r="BN2" s="19" t="s">
        <v>6</v>
      </c>
      <c r="BO2" s="36"/>
      <c r="BP2" s="36"/>
      <c r="BQ2" s="36"/>
      <c r="BR2" s="36"/>
      <c r="BS2" s="36"/>
    </row>
    <row r="3" spans="1:76" ht="186" customHeight="1" thickBot="1" x14ac:dyDescent="0.35">
      <c r="A3" s="37"/>
      <c r="B3" s="38"/>
      <c r="C3" s="39"/>
      <c r="E3" s="40"/>
      <c r="F3" s="40"/>
      <c r="G3" s="40"/>
      <c r="H3" s="40"/>
      <c r="I3" s="40"/>
      <c r="J3" s="40"/>
      <c r="K3" s="40"/>
      <c r="L3" s="40"/>
      <c r="M3" s="40"/>
      <c r="N3" s="40"/>
      <c r="O3" s="5"/>
      <c r="P3" s="5"/>
      <c r="Q3" s="5"/>
      <c r="R3" s="5"/>
      <c r="S3" s="5"/>
      <c r="T3" s="420" t="s">
        <v>18</v>
      </c>
      <c r="U3" s="421"/>
      <c r="V3" s="422"/>
      <c r="W3" s="41"/>
      <c r="X3" s="41"/>
      <c r="Y3" s="423" t="s">
        <v>18</v>
      </c>
      <c r="Z3" s="424"/>
      <c r="AA3" s="424"/>
      <c r="AB3" s="425"/>
      <c r="AC3" s="42"/>
      <c r="AI3" s="418"/>
      <c r="AJ3" s="43"/>
      <c r="AK3" s="26"/>
      <c r="AL3" s="26"/>
      <c r="AM3" s="27"/>
      <c r="AP3" s="44"/>
      <c r="AQ3" s="5"/>
      <c r="AT3" s="45"/>
      <c r="AU3" s="45"/>
      <c r="AV3" s="46"/>
      <c r="BF3" s="19" t="s">
        <v>5</v>
      </c>
    </row>
    <row r="4" spans="1:76" ht="186" customHeight="1" x14ac:dyDescent="0.3">
      <c r="A4" s="47"/>
      <c r="B4" s="48" t="s">
        <v>19</v>
      </c>
      <c r="C4" s="49"/>
      <c r="E4" s="40"/>
      <c r="F4" s="40"/>
      <c r="G4" s="40"/>
      <c r="H4" s="40"/>
      <c r="I4" s="40"/>
      <c r="J4" s="40"/>
      <c r="K4" s="40"/>
      <c r="L4" s="40"/>
      <c r="M4" s="40"/>
      <c r="N4" s="40"/>
      <c r="O4" s="5"/>
      <c r="P4" s="5"/>
      <c r="Q4" s="5"/>
      <c r="R4" s="5"/>
      <c r="S4" s="5"/>
      <c r="T4" s="5"/>
      <c r="U4" s="41"/>
      <c r="V4" s="41"/>
      <c r="W4" s="41"/>
      <c r="X4" s="41"/>
      <c r="Y4" s="41"/>
      <c r="Z4" s="41"/>
      <c r="AA4" s="50"/>
      <c r="AB4" s="41"/>
      <c r="AC4" s="42"/>
      <c r="AI4" s="418"/>
      <c r="AJ4" s="43"/>
      <c r="AK4" s="26"/>
      <c r="AL4" s="26"/>
      <c r="AM4" s="27"/>
      <c r="AP4" s="44"/>
      <c r="AQ4" s="5"/>
      <c r="BN4" s="6"/>
      <c r="BO4" s="6"/>
      <c r="BP4" s="6"/>
      <c r="BQ4" s="6"/>
      <c r="BR4" s="6"/>
      <c r="BS4" s="6"/>
      <c r="BT4" s="6"/>
      <c r="BU4" s="6"/>
      <c r="BV4" s="6"/>
    </row>
    <row r="5" spans="1:76" ht="186" customHeight="1" thickBot="1" x14ac:dyDescent="0.35">
      <c r="A5" s="22"/>
      <c r="B5" s="23"/>
      <c r="C5" s="51"/>
      <c r="E5" s="40"/>
      <c r="F5" s="40"/>
      <c r="G5" s="52"/>
      <c r="H5" s="40"/>
      <c r="I5" s="40"/>
      <c r="J5" s="40"/>
      <c r="K5" s="40"/>
      <c r="L5" s="40"/>
      <c r="M5" s="40"/>
      <c r="N5" s="40"/>
      <c r="O5" s="5"/>
      <c r="P5" s="5"/>
      <c r="Q5" s="5"/>
      <c r="R5" s="5"/>
      <c r="S5" s="5"/>
      <c r="T5" s="5"/>
      <c r="U5" s="41"/>
      <c r="V5" s="41"/>
      <c r="W5" s="41"/>
      <c r="X5" s="41"/>
      <c r="Y5" s="41"/>
      <c r="Z5" s="41"/>
      <c r="AA5" s="50"/>
      <c r="AB5" s="41"/>
      <c r="AC5" s="53"/>
      <c r="AI5" s="419"/>
      <c r="AJ5" s="54"/>
      <c r="AK5" s="55"/>
      <c r="AL5" s="55"/>
      <c r="AM5" s="56"/>
      <c r="AP5" s="44"/>
      <c r="AQ5" s="5"/>
      <c r="BN5" s="6"/>
      <c r="BO5" s="6"/>
      <c r="BP5" s="6"/>
      <c r="BQ5" s="6"/>
      <c r="BR5" s="6"/>
      <c r="BS5" s="6"/>
      <c r="BT5" s="6"/>
      <c r="BU5" s="6"/>
      <c r="BV5" s="6"/>
    </row>
    <row r="6" spans="1:76" ht="186" customHeight="1" x14ac:dyDescent="0.3">
      <c r="A6" s="1"/>
      <c r="B6" s="57"/>
      <c r="E6" s="40"/>
      <c r="F6" s="40"/>
      <c r="G6" s="52"/>
      <c r="H6" s="40"/>
      <c r="I6" s="40"/>
      <c r="J6" s="40"/>
      <c r="K6" s="40"/>
      <c r="L6" s="40"/>
      <c r="M6" s="40"/>
      <c r="N6" s="40"/>
      <c r="O6" s="5"/>
      <c r="P6" s="5"/>
      <c r="Q6" s="5"/>
      <c r="R6" s="5"/>
      <c r="S6" s="5"/>
      <c r="T6" s="5"/>
      <c r="U6" s="41"/>
      <c r="V6" s="41"/>
      <c r="W6" s="41"/>
      <c r="X6" s="41"/>
      <c r="Y6" s="41"/>
      <c r="Z6" s="41"/>
      <c r="AA6" s="50"/>
      <c r="AB6" s="40"/>
      <c r="AC6" s="53"/>
      <c r="AD6" s="53"/>
      <c r="AE6" s="5"/>
      <c r="AF6" s="58"/>
      <c r="AG6" s="59"/>
      <c r="AH6" s="59"/>
      <c r="AI6" s="60"/>
      <c r="AJ6" s="60"/>
      <c r="AK6" s="60"/>
      <c r="AL6" s="60"/>
      <c r="AM6" s="60"/>
      <c r="AN6" s="44"/>
      <c r="AO6" s="44"/>
      <c r="AP6" s="44"/>
      <c r="AQ6" s="5"/>
      <c r="AT6" s="44"/>
      <c r="AU6" s="44"/>
      <c r="AV6" s="44"/>
      <c r="AW6" s="44"/>
      <c r="AX6" s="44"/>
      <c r="AY6" s="44"/>
      <c r="AZ6" s="44"/>
      <c r="BA6" s="44"/>
      <c r="BN6" s="6"/>
      <c r="BO6" s="6"/>
      <c r="BP6" s="6"/>
      <c r="BQ6" s="6"/>
      <c r="BR6" s="6"/>
      <c r="BS6" s="6"/>
      <c r="BT6" s="6"/>
      <c r="BU6" s="6"/>
      <c r="BV6" s="6"/>
    </row>
    <row r="7" spans="1:76" ht="186" customHeight="1" x14ac:dyDescent="0.3">
      <c r="A7" s="47" t="s">
        <v>19</v>
      </c>
      <c r="B7" s="61"/>
      <c r="E7" s="40"/>
      <c r="F7" s="40"/>
      <c r="G7" s="52"/>
      <c r="H7" s="40"/>
      <c r="I7" s="40"/>
      <c r="J7" s="40"/>
      <c r="K7" s="40"/>
      <c r="L7" s="40"/>
      <c r="M7" s="40"/>
      <c r="N7" s="40"/>
      <c r="O7" s="5"/>
      <c r="P7" s="5"/>
      <c r="Q7" s="5"/>
      <c r="R7" s="5"/>
      <c r="S7" s="5"/>
      <c r="T7" s="5"/>
      <c r="U7" s="41"/>
      <c r="V7" s="41"/>
      <c r="W7" s="41"/>
      <c r="X7" s="41"/>
      <c r="Y7" s="41"/>
      <c r="Z7" s="41"/>
      <c r="AA7" s="50"/>
      <c r="AB7" s="40"/>
      <c r="AC7" s="53"/>
      <c r="AD7" s="53"/>
      <c r="AE7" s="5"/>
      <c r="AF7" s="58"/>
      <c r="AG7" s="59"/>
      <c r="AH7" s="59"/>
      <c r="AI7" s="44"/>
      <c r="AJ7" s="44"/>
      <c r="AK7" s="44"/>
      <c r="AL7" s="44"/>
      <c r="AM7" s="44"/>
      <c r="AN7" s="62"/>
      <c r="AO7" s="62"/>
      <c r="AP7" s="62"/>
      <c r="AQ7" s="62"/>
      <c r="AR7" s="62"/>
      <c r="AS7" s="62"/>
      <c r="AT7" s="44"/>
      <c r="AU7" s="44"/>
      <c r="AV7" s="44"/>
      <c r="AW7" s="44"/>
      <c r="AX7" s="44"/>
      <c r="AY7" s="44"/>
      <c r="AZ7" s="44"/>
      <c r="BA7" s="44"/>
      <c r="BN7" s="6"/>
      <c r="BO7" s="6"/>
      <c r="BP7" s="6"/>
      <c r="BQ7" s="6"/>
      <c r="BR7" s="6"/>
      <c r="BS7" s="6"/>
      <c r="BT7" s="6"/>
      <c r="BU7" s="6"/>
      <c r="BV7" s="6"/>
    </row>
    <row r="8" spans="1:76" s="64" customFormat="1" ht="186" customHeight="1" thickBot="1" x14ac:dyDescent="0.35">
      <c r="A8" s="22"/>
      <c r="B8" s="63"/>
      <c r="C8" s="6"/>
      <c r="D8" s="6"/>
      <c r="E8" s="40"/>
      <c r="F8" s="40"/>
      <c r="G8" s="52"/>
      <c r="H8" s="40"/>
      <c r="I8" s="40"/>
      <c r="J8" s="40"/>
      <c r="K8" s="40"/>
      <c r="L8" s="40"/>
      <c r="M8" s="40"/>
      <c r="N8" s="40"/>
      <c r="O8" s="5"/>
      <c r="P8" s="5"/>
      <c r="Q8" s="5"/>
      <c r="R8" s="5"/>
      <c r="S8" s="5"/>
      <c r="T8" s="5"/>
      <c r="U8" s="41"/>
      <c r="V8" s="41"/>
      <c r="W8" s="41"/>
      <c r="X8" s="41"/>
      <c r="Y8" s="41"/>
      <c r="Z8" s="41"/>
      <c r="AA8" s="50"/>
      <c r="AB8" s="40"/>
      <c r="AC8" s="53"/>
      <c r="AD8" s="53"/>
      <c r="AE8" s="5"/>
      <c r="AF8" s="58"/>
      <c r="AG8" s="59"/>
      <c r="AH8" s="59"/>
      <c r="AI8" s="44"/>
      <c r="AJ8" s="44"/>
      <c r="AK8" s="44"/>
      <c r="AL8" s="44"/>
      <c r="AM8" s="44"/>
      <c r="AN8" s="62"/>
      <c r="AO8" s="62"/>
      <c r="AP8" s="62"/>
      <c r="AQ8" s="62"/>
      <c r="AR8" s="62"/>
      <c r="AS8" s="62"/>
      <c r="AT8" s="44"/>
      <c r="AU8" s="44"/>
      <c r="AV8" s="44"/>
      <c r="AW8" s="44"/>
      <c r="AX8" s="44"/>
      <c r="AY8" s="44"/>
      <c r="AZ8" s="44"/>
      <c r="BA8" s="44"/>
      <c r="BB8" s="21"/>
      <c r="BC8" s="21"/>
      <c r="BD8" s="21"/>
      <c r="BE8" s="21"/>
      <c r="BF8" s="21"/>
      <c r="BG8" s="21"/>
      <c r="BH8" s="21"/>
      <c r="BI8" s="21"/>
      <c r="BJ8" s="21"/>
      <c r="BK8" s="21"/>
      <c r="BL8" s="21"/>
      <c r="BM8" s="21"/>
      <c r="BN8" s="6"/>
      <c r="BO8" s="6"/>
      <c r="BP8" s="6"/>
      <c r="BQ8" s="6"/>
      <c r="BR8" s="6"/>
      <c r="BS8" s="6"/>
      <c r="BT8" s="6"/>
      <c r="BU8" s="6"/>
      <c r="BV8" s="6"/>
    </row>
    <row r="9" spans="1:76" ht="186" customHeight="1" thickBot="1" x14ac:dyDescent="0.35">
      <c r="A9" s="47"/>
      <c r="B9" s="61"/>
      <c r="E9" s="40"/>
      <c r="F9" s="40"/>
      <c r="G9" s="52"/>
      <c r="H9" s="40"/>
      <c r="I9" s="40"/>
      <c r="J9" s="40"/>
      <c r="K9" s="40"/>
      <c r="L9" s="40"/>
      <c r="M9" s="40"/>
      <c r="N9" s="40"/>
      <c r="O9" s="5"/>
      <c r="P9" s="5"/>
      <c r="Q9" s="5"/>
      <c r="R9" s="5"/>
      <c r="S9" s="5"/>
      <c r="T9" s="5"/>
      <c r="U9" s="41"/>
      <c r="V9" s="41"/>
      <c r="W9" s="41"/>
      <c r="X9" s="41"/>
      <c r="Y9" s="41"/>
      <c r="Z9" s="41"/>
      <c r="AA9" s="50"/>
      <c r="AB9" s="40"/>
      <c r="AC9" s="53"/>
      <c r="AD9" s="53"/>
      <c r="AE9" s="5"/>
      <c r="AF9" s="58"/>
      <c r="AG9" s="59"/>
      <c r="AH9" s="59"/>
      <c r="AI9" s="44"/>
      <c r="AJ9" s="44"/>
      <c r="AK9" s="21" t="s">
        <v>547</v>
      </c>
      <c r="AL9" s="21" t="s">
        <v>548</v>
      </c>
      <c r="AM9" s="21" t="s">
        <v>549</v>
      </c>
      <c r="AN9" s="21" t="s">
        <v>550</v>
      </c>
      <c r="AO9" s="21" t="s">
        <v>551</v>
      </c>
      <c r="AP9" s="21" t="s">
        <v>554</v>
      </c>
      <c r="AQ9" s="21" t="s">
        <v>552</v>
      </c>
      <c r="AR9" s="21" t="s">
        <v>553</v>
      </c>
      <c r="AS9" s="62"/>
      <c r="AT9" s="44"/>
      <c r="AU9" s="21" t="s">
        <v>395</v>
      </c>
      <c r="AV9" s="21" t="s">
        <v>396</v>
      </c>
      <c r="AW9" s="21" t="s">
        <v>397</v>
      </c>
      <c r="AX9" s="21" t="s">
        <v>398</v>
      </c>
      <c r="AY9" s="21" t="s">
        <v>399</v>
      </c>
      <c r="AZ9" s="21" t="s">
        <v>400</v>
      </c>
      <c r="BA9" s="21" t="s">
        <v>401</v>
      </c>
      <c r="BB9" s="21" t="s">
        <v>402</v>
      </c>
      <c r="BE9" s="21" t="s">
        <v>387</v>
      </c>
      <c r="BF9" s="21" t="s">
        <v>388</v>
      </c>
      <c r="BG9" s="21" t="s">
        <v>389</v>
      </c>
      <c r="BH9" s="21" t="s">
        <v>390</v>
      </c>
      <c r="BI9" s="21" t="s">
        <v>391</v>
      </c>
      <c r="BJ9" s="21" t="s">
        <v>392</v>
      </c>
      <c r="BK9" s="21" t="s">
        <v>393</v>
      </c>
      <c r="BL9" s="21" t="s">
        <v>394</v>
      </c>
      <c r="BO9" s="21" t="s">
        <v>386</v>
      </c>
      <c r="BP9" s="21" t="s">
        <v>385</v>
      </c>
      <c r="BQ9" s="21" t="s">
        <v>384</v>
      </c>
      <c r="BR9" s="21" t="s">
        <v>383</v>
      </c>
      <c r="BS9" s="21" t="s">
        <v>382</v>
      </c>
      <c r="BT9" s="21" t="s">
        <v>381</v>
      </c>
      <c r="BU9" s="21" t="s">
        <v>380</v>
      </c>
      <c r="BV9" s="21" t="s">
        <v>379</v>
      </c>
    </row>
    <row r="10" spans="1:76" ht="186" customHeight="1" thickBot="1" x14ac:dyDescent="0.35">
      <c r="A10" s="1"/>
      <c r="B10" s="57"/>
      <c r="G10" s="65"/>
      <c r="H10" s="66"/>
      <c r="I10" s="66"/>
      <c r="J10" s="67"/>
      <c r="K10" s="67"/>
      <c r="L10" s="67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68"/>
      <c r="AB10" s="69"/>
      <c r="AC10" s="42"/>
      <c r="AD10" s="42"/>
      <c r="AE10" s="42"/>
      <c r="AF10" s="70"/>
      <c r="AG10" s="59"/>
      <c r="AH10" s="59"/>
      <c r="AI10" s="44"/>
      <c r="AJ10" s="354"/>
      <c r="AK10" s="426" t="s">
        <v>7</v>
      </c>
      <c r="AL10" s="393"/>
      <c r="AM10" s="393"/>
      <c r="AN10" s="393"/>
      <c r="AO10" s="393"/>
      <c r="AP10" s="393"/>
      <c r="AQ10" s="393"/>
      <c r="AR10" s="427"/>
      <c r="AS10" s="3"/>
      <c r="AT10" s="354"/>
      <c r="AU10" s="324"/>
      <c r="AV10" s="325"/>
      <c r="AW10" s="325"/>
      <c r="AX10" s="393" t="s">
        <v>8</v>
      </c>
      <c r="AY10" s="393"/>
      <c r="AZ10" s="325"/>
      <c r="BA10" s="325"/>
      <c r="BB10" s="326"/>
      <c r="BC10" s="3"/>
      <c r="BD10" s="350"/>
      <c r="BE10" s="428" t="s">
        <v>9</v>
      </c>
      <c r="BF10" s="429"/>
      <c r="BG10" s="429"/>
      <c r="BH10" s="429"/>
      <c r="BI10" s="429"/>
      <c r="BJ10" s="429"/>
      <c r="BK10" s="429"/>
      <c r="BL10" s="430"/>
      <c r="BM10" s="314"/>
      <c r="BN10" s="344"/>
      <c r="BO10" s="428" t="s">
        <v>10</v>
      </c>
      <c r="BP10" s="429"/>
      <c r="BQ10" s="429"/>
      <c r="BR10" s="429"/>
      <c r="BS10" s="429"/>
      <c r="BT10" s="429"/>
      <c r="BU10" s="429"/>
      <c r="BV10" s="430"/>
      <c r="BX10" s="348"/>
    </row>
    <row r="11" spans="1:76" ht="279.95" customHeight="1" x14ac:dyDescent="0.3">
      <c r="A11" s="47" t="s">
        <v>19</v>
      </c>
      <c r="B11" s="61"/>
      <c r="E11" s="71" t="s">
        <v>20</v>
      </c>
      <c r="F11" s="72"/>
      <c r="G11" s="72"/>
      <c r="H11" s="431" t="s">
        <v>21</v>
      </c>
      <c r="I11" s="432"/>
      <c r="J11" s="431" t="s">
        <v>22</v>
      </c>
      <c r="K11" s="432"/>
      <c r="L11" s="438" t="s">
        <v>23</v>
      </c>
      <c r="M11" s="438"/>
      <c r="N11" s="73"/>
      <c r="O11" s="440" t="s">
        <v>24</v>
      </c>
      <c r="P11" s="441"/>
      <c r="Q11" s="441"/>
      <c r="R11" s="441"/>
      <c r="S11" s="441"/>
      <c r="T11" s="441"/>
      <c r="U11" s="441"/>
      <c r="V11" s="74"/>
      <c r="W11" s="75"/>
      <c r="X11" s="75"/>
      <c r="Y11" s="75"/>
      <c r="Z11" s="76"/>
      <c r="AA11" s="69"/>
      <c r="AB11" s="77"/>
      <c r="AC11" s="77"/>
      <c r="AD11" s="77"/>
      <c r="AE11" s="77"/>
      <c r="AF11" s="70"/>
      <c r="AG11" s="59"/>
      <c r="AH11" s="59"/>
      <c r="AI11" s="44"/>
      <c r="AJ11" s="351" t="s">
        <v>300</v>
      </c>
      <c r="AK11" s="391" t="s">
        <v>612</v>
      </c>
      <c r="AL11" s="391" t="s">
        <v>632</v>
      </c>
      <c r="AM11" s="312"/>
      <c r="AN11" s="312"/>
      <c r="AO11" s="312"/>
      <c r="AP11" s="371" t="s">
        <v>636</v>
      </c>
      <c r="AQ11" s="312"/>
      <c r="AR11" s="312"/>
      <c r="AS11" s="394" t="s">
        <v>533</v>
      </c>
      <c r="AT11" s="351" t="s">
        <v>300</v>
      </c>
      <c r="AU11" s="312"/>
      <c r="AV11" s="312"/>
      <c r="AW11" s="312"/>
      <c r="AX11" s="312"/>
      <c r="AY11" s="312"/>
      <c r="AZ11" s="312"/>
      <c r="BA11" s="312"/>
      <c r="BB11" s="312"/>
      <c r="BC11" s="394" t="s">
        <v>355</v>
      </c>
      <c r="BD11" s="351" t="s">
        <v>300</v>
      </c>
      <c r="BE11" s="312"/>
      <c r="BF11" s="312"/>
      <c r="BG11" s="312"/>
      <c r="BH11" s="312"/>
      <c r="BI11" s="312"/>
      <c r="BJ11" s="312"/>
      <c r="BK11" s="312"/>
      <c r="BL11" s="312"/>
      <c r="BM11" s="394" t="s">
        <v>329</v>
      </c>
      <c r="BN11" s="345" t="s">
        <v>300</v>
      </c>
      <c r="BO11" s="312"/>
      <c r="BP11" s="312"/>
      <c r="BQ11" s="312"/>
      <c r="BR11" s="312"/>
      <c r="BS11" s="312"/>
      <c r="BT11" s="312"/>
      <c r="BU11" s="312"/>
      <c r="BV11" s="312"/>
      <c r="BW11" s="394" t="s">
        <v>301</v>
      </c>
      <c r="BX11" s="348"/>
    </row>
    <row r="12" spans="1:76" ht="279.95" customHeight="1" thickBot="1" x14ac:dyDescent="0.35">
      <c r="A12" s="22"/>
      <c r="B12" s="63"/>
      <c r="E12" s="78"/>
      <c r="F12" s="79"/>
      <c r="G12" s="79"/>
      <c r="H12" s="433"/>
      <c r="I12" s="434"/>
      <c r="J12" s="433"/>
      <c r="K12" s="434"/>
      <c r="L12" s="435"/>
      <c r="M12" s="435"/>
      <c r="N12" s="81"/>
      <c r="O12" s="442"/>
      <c r="P12" s="443"/>
      <c r="Q12" s="443"/>
      <c r="R12" s="443"/>
      <c r="S12" s="443"/>
      <c r="T12" s="443"/>
      <c r="U12" s="443"/>
      <c r="V12" s="82"/>
      <c r="W12" s="53"/>
      <c r="X12" s="53"/>
      <c r="Y12" s="53"/>
      <c r="Z12" s="83"/>
      <c r="AA12" s="69"/>
      <c r="AB12" s="77"/>
      <c r="AC12" s="77"/>
      <c r="AD12" s="77"/>
      <c r="AE12" s="77"/>
      <c r="AF12" s="70"/>
      <c r="AG12" s="84"/>
      <c r="AH12" s="84"/>
      <c r="AI12" s="44"/>
      <c r="AJ12" s="351"/>
      <c r="AK12" s="361" t="s">
        <v>565</v>
      </c>
      <c r="AL12" s="361" t="s">
        <v>568</v>
      </c>
      <c r="AM12" s="313"/>
      <c r="AN12" s="313"/>
      <c r="AO12" s="313"/>
      <c r="AP12" s="359" t="s">
        <v>615</v>
      </c>
      <c r="AQ12" s="359" t="s">
        <v>575</v>
      </c>
      <c r="AR12" s="359" t="s">
        <v>566</v>
      </c>
      <c r="AS12" s="394"/>
      <c r="AT12" s="351"/>
      <c r="AU12" s="313"/>
      <c r="AV12" s="313"/>
      <c r="AW12" s="313"/>
      <c r="AX12" s="313"/>
      <c r="AY12" s="313"/>
      <c r="AZ12" s="313"/>
      <c r="BA12" s="313"/>
      <c r="BB12" s="313"/>
      <c r="BC12" s="394"/>
      <c r="BD12" s="351"/>
      <c r="BE12" s="313"/>
      <c r="BF12" s="313"/>
      <c r="BG12" s="313"/>
      <c r="BH12" s="313"/>
      <c r="BI12" s="313"/>
      <c r="BJ12" s="313"/>
      <c r="BK12" s="313"/>
      <c r="BL12" s="313"/>
      <c r="BM12" s="394"/>
      <c r="BN12" s="345"/>
      <c r="BO12" s="362" t="s">
        <v>172</v>
      </c>
      <c r="BP12" s="320" t="s">
        <v>174</v>
      </c>
      <c r="BQ12" s="313"/>
      <c r="BR12" s="313"/>
      <c r="BS12" s="313"/>
      <c r="BT12" s="313"/>
      <c r="BU12" s="313"/>
      <c r="BV12" s="313"/>
      <c r="BW12" s="394"/>
      <c r="BX12" s="348"/>
    </row>
    <row r="13" spans="1:76" ht="279.95" customHeight="1" x14ac:dyDescent="0.3">
      <c r="A13" s="1"/>
      <c r="B13" s="57"/>
      <c r="E13" s="78"/>
      <c r="F13" s="79"/>
      <c r="G13" s="79"/>
      <c r="H13" s="433"/>
      <c r="I13" s="434"/>
      <c r="J13" s="433"/>
      <c r="K13" s="434"/>
      <c r="L13" s="435"/>
      <c r="M13" s="435"/>
      <c r="N13" s="81"/>
      <c r="O13" s="442"/>
      <c r="P13" s="443"/>
      <c r="Q13" s="443"/>
      <c r="R13" s="443"/>
      <c r="S13" s="443"/>
      <c r="T13" s="443"/>
      <c r="U13" s="443"/>
      <c r="V13" s="82"/>
      <c r="W13" s="53"/>
      <c r="X13" s="53"/>
      <c r="Y13" s="53"/>
      <c r="Z13" s="83"/>
      <c r="AA13" s="77"/>
      <c r="AB13" s="89"/>
      <c r="AC13" s="90"/>
      <c r="AD13" s="90"/>
      <c r="AE13" s="91"/>
      <c r="AF13" s="70"/>
      <c r="AG13" s="84"/>
      <c r="AH13" s="84"/>
      <c r="AI13" s="84"/>
      <c r="AJ13" s="352" t="s">
        <v>300</v>
      </c>
      <c r="AK13" s="391" t="s">
        <v>633</v>
      </c>
      <c r="AL13" s="391" t="s">
        <v>639</v>
      </c>
      <c r="AM13" s="328"/>
      <c r="AN13" s="328"/>
      <c r="AO13" s="328"/>
      <c r="AP13" s="371" t="s">
        <v>637</v>
      </c>
      <c r="AQ13" s="328"/>
      <c r="AR13" s="328"/>
      <c r="AS13" s="395" t="s">
        <v>534</v>
      </c>
      <c r="AT13" s="352" t="s">
        <v>300</v>
      </c>
      <c r="AU13" s="328"/>
      <c r="AV13" s="328"/>
      <c r="AW13" s="328"/>
      <c r="AX13" s="328"/>
      <c r="AY13" s="328"/>
      <c r="AZ13" s="328"/>
      <c r="BA13" s="328"/>
      <c r="BB13" s="328"/>
      <c r="BC13" s="395" t="s">
        <v>356</v>
      </c>
      <c r="BD13" s="352" t="s">
        <v>300</v>
      </c>
      <c r="BE13" s="328"/>
      <c r="BF13" s="328"/>
      <c r="BG13" s="328"/>
      <c r="BH13" s="328"/>
      <c r="BI13" s="328"/>
      <c r="BJ13" s="328"/>
      <c r="BK13" s="328"/>
      <c r="BL13" s="328"/>
      <c r="BM13" s="395" t="s">
        <v>330</v>
      </c>
      <c r="BN13" s="346" t="s">
        <v>300</v>
      </c>
      <c r="BO13" s="328"/>
      <c r="BP13" s="328"/>
      <c r="BQ13" s="328"/>
      <c r="BR13" s="328"/>
      <c r="BS13" s="328"/>
      <c r="BT13" s="328"/>
      <c r="BU13" s="328"/>
      <c r="BV13" s="328"/>
      <c r="BW13" s="395" t="s">
        <v>302</v>
      </c>
      <c r="BX13" s="348"/>
    </row>
    <row r="14" spans="1:76" ht="279.95" customHeight="1" thickBot="1" x14ac:dyDescent="0.35">
      <c r="A14" s="47"/>
      <c r="B14" s="61"/>
      <c r="E14" s="78"/>
      <c r="F14" s="79"/>
      <c r="G14" s="79"/>
      <c r="H14" s="433"/>
      <c r="I14" s="434"/>
      <c r="J14" s="433"/>
      <c r="K14" s="434"/>
      <c r="L14" s="435"/>
      <c r="M14" s="435"/>
      <c r="N14" s="81"/>
      <c r="O14" s="442"/>
      <c r="P14" s="443"/>
      <c r="Q14" s="443"/>
      <c r="R14" s="443"/>
      <c r="S14" s="443"/>
      <c r="T14" s="443"/>
      <c r="U14" s="443"/>
      <c r="V14" s="82"/>
      <c r="W14" s="53"/>
      <c r="X14" s="53"/>
      <c r="Y14" s="53"/>
      <c r="Z14" s="83"/>
      <c r="AA14" s="77"/>
      <c r="AB14" s="89"/>
      <c r="AC14" s="90"/>
      <c r="AD14" s="90"/>
      <c r="AE14" s="91"/>
      <c r="AF14" s="70"/>
      <c r="AG14" s="84"/>
      <c r="AH14" s="84"/>
      <c r="AI14" s="84"/>
      <c r="AJ14" s="352"/>
      <c r="AK14" s="369" t="s">
        <v>606</v>
      </c>
      <c r="AL14" s="361" t="s">
        <v>607</v>
      </c>
      <c r="AM14" s="333" t="s">
        <v>613</v>
      </c>
      <c r="AN14" s="327"/>
      <c r="AO14" s="368" t="s">
        <v>614</v>
      </c>
      <c r="AP14" s="359" t="s">
        <v>672</v>
      </c>
      <c r="AQ14" s="359" t="s">
        <v>608</v>
      </c>
      <c r="AR14" s="359" t="s">
        <v>609</v>
      </c>
      <c r="AS14" s="395"/>
      <c r="AT14" s="352"/>
      <c r="AU14" s="327"/>
      <c r="AV14" s="327"/>
      <c r="AW14" s="327"/>
      <c r="AX14" s="327"/>
      <c r="AY14" s="327"/>
      <c r="AZ14" s="327"/>
      <c r="BA14" s="327"/>
      <c r="BB14" s="327"/>
      <c r="BC14" s="395"/>
      <c r="BD14" s="352"/>
      <c r="BE14" s="327"/>
      <c r="BF14" s="327"/>
      <c r="BG14" s="327"/>
      <c r="BH14" s="327"/>
      <c r="BI14" s="327"/>
      <c r="BJ14" s="327"/>
      <c r="BK14" s="327"/>
      <c r="BL14" s="327"/>
      <c r="BM14" s="395"/>
      <c r="BN14" s="346"/>
      <c r="BO14" s="335" t="s">
        <v>434</v>
      </c>
      <c r="BP14" s="320" t="s">
        <v>175</v>
      </c>
      <c r="BQ14" s="327"/>
      <c r="BR14" s="327"/>
      <c r="BS14" s="327"/>
      <c r="BT14" s="327"/>
      <c r="BU14" s="327"/>
      <c r="BV14" s="327"/>
      <c r="BW14" s="395"/>
      <c r="BX14" s="348"/>
    </row>
    <row r="15" spans="1:76" ht="279.95" customHeight="1" thickBot="1" x14ac:dyDescent="0.35">
      <c r="A15" s="47" t="s">
        <v>19</v>
      </c>
      <c r="B15" s="61"/>
      <c r="D15" s="65"/>
      <c r="E15" s="78"/>
      <c r="F15" s="79"/>
      <c r="G15" s="79"/>
      <c r="H15" s="433"/>
      <c r="I15" s="434"/>
      <c r="J15" s="433"/>
      <c r="K15" s="434"/>
      <c r="L15" s="435"/>
      <c r="M15" s="435"/>
      <c r="N15" s="81"/>
      <c r="O15" s="444"/>
      <c r="P15" s="445"/>
      <c r="Q15" s="445"/>
      <c r="R15" s="445"/>
      <c r="S15" s="445"/>
      <c r="T15" s="445"/>
      <c r="U15" s="445"/>
      <c r="V15" s="82"/>
      <c r="W15" s="53"/>
      <c r="X15" s="53"/>
      <c r="Y15" s="53"/>
      <c r="Z15" s="83"/>
      <c r="AA15" s="94"/>
      <c r="AB15" s="94"/>
      <c r="AC15" s="94"/>
      <c r="AD15" s="95"/>
      <c r="AE15" s="95"/>
      <c r="AF15" s="95"/>
      <c r="AG15" s="42"/>
      <c r="AH15" s="42"/>
      <c r="AI15" s="42"/>
      <c r="AJ15" s="351" t="s">
        <v>300</v>
      </c>
      <c r="AK15" s="391" t="s">
        <v>640</v>
      </c>
      <c r="AL15" s="391" t="s">
        <v>641</v>
      </c>
      <c r="AM15" s="312"/>
      <c r="AN15" s="312"/>
      <c r="AO15" s="312"/>
      <c r="AP15" s="312"/>
      <c r="AQ15" s="312"/>
      <c r="AR15" s="312"/>
      <c r="AS15" s="394" t="s">
        <v>535</v>
      </c>
      <c r="AT15" s="351" t="s">
        <v>300</v>
      </c>
      <c r="AU15" s="312"/>
      <c r="AV15" s="312"/>
      <c r="AW15" s="312"/>
      <c r="AX15" s="312"/>
      <c r="AY15" s="312"/>
      <c r="AZ15" s="312"/>
      <c r="BA15" s="312"/>
      <c r="BB15" s="312"/>
      <c r="BC15" s="394" t="s">
        <v>357</v>
      </c>
      <c r="BD15" s="351" t="s">
        <v>300</v>
      </c>
      <c r="BE15" s="312"/>
      <c r="BF15" s="312"/>
      <c r="BG15" s="312"/>
      <c r="BH15" s="312"/>
      <c r="BI15" s="312"/>
      <c r="BJ15" s="312"/>
      <c r="BK15" s="312"/>
      <c r="BL15" s="312"/>
      <c r="BM15" s="394" t="s">
        <v>331</v>
      </c>
      <c r="BN15" s="345" t="s">
        <v>300</v>
      </c>
      <c r="BO15" s="312"/>
      <c r="BP15" s="312"/>
      <c r="BQ15" s="312"/>
      <c r="BR15" s="312"/>
      <c r="BS15" s="312"/>
      <c r="BT15" s="312"/>
      <c r="BU15" s="312"/>
      <c r="BV15" s="312"/>
      <c r="BW15" s="394" t="s">
        <v>303</v>
      </c>
      <c r="BX15" s="348"/>
    </row>
    <row r="16" spans="1:76" ht="279.95" customHeight="1" thickBot="1" x14ac:dyDescent="0.35">
      <c r="A16" s="22"/>
      <c r="B16" s="63"/>
      <c r="E16" s="78"/>
      <c r="F16" s="79"/>
      <c r="G16" s="79"/>
      <c r="H16" s="433"/>
      <c r="I16" s="434"/>
      <c r="J16" s="433"/>
      <c r="K16" s="434"/>
      <c r="L16" s="435"/>
      <c r="M16" s="435"/>
      <c r="N16" s="81"/>
      <c r="O16" s="440" t="s">
        <v>25</v>
      </c>
      <c r="P16" s="441"/>
      <c r="Q16" s="441"/>
      <c r="R16" s="441"/>
      <c r="S16" s="441"/>
      <c r="T16" s="441"/>
      <c r="U16" s="441"/>
      <c r="V16" s="82"/>
      <c r="W16" s="53"/>
      <c r="X16" s="53"/>
      <c r="Y16" s="53"/>
      <c r="Z16" s="83"/>
      <c r="AA16" s="94"/>
      <c r="AB16" s="94"/>
      <c r="AC16" s="94"/>
      <c r="AD16" s="95"/>
      <c r="AE16" s="95"/>
      <c r="AF16" s="95"/>
      <c r="AG16" s="42"/>
      <c r="AH16" s="42"/>
      <c r="AI16" s="42"/>
      <c r="AJ16" s="351"/>
      <c r="AK16" s="369" t="s">
        <v>620</v>
      </c>
      <c r="AL16" s="369" t="s">
        <v>619</v>
      </c>
      <c r="AM16" s="369" t="s">
        <v>618</v>
      </c>
      <c r="AN16" s="369" t="s">
        <v>617</v>
      </c>
      <c r="AO16" s="359" t="s">
        <v>616</v>
      </c>
      <c r="AP16" s="320" t="s">
        <v>276</v>
      </c>
      <c r="AQ16" s="359" t="s">
        <v>610</v>
      </c>
      <c r="AR16" s="333" t="s">
        <v>638</v>
      </c>
      <c r="AS16" s="394"/>
      <c r="AT16" s="351"/>
      <c r="AU16" s="313"/>
      <c r="AV16" s="313"/>
      <c r="AW16" s="313"/>
      <c r="AX16" s="313"/>
      <c r="AY16" s="313"/>
      <c r="AZ16" s="313"/>
      <c r="BA16" s="313"/>
      <c r="BB16" s="313"/>
      <c r="BC16" s="394"/>
      <c r="BD16" s="351"/>
      <c r="BE16" s="313"/>
      <c r="BF16" s="313"/>
      <c r="BG16" s="313"/>
      <c r="BH16" s="313"/>
      <c r="BI16" s="313"/>
      <c r="BJ16" s="313"/>
      <c r="BK16" s="313"/>
      <c r="BL16" s="313"/>
      <c r="BM16" s="394"/>
      <c r="BN16" s="345"/>
      <c r="BO16" s="362" t="s">
        <v>176</v>
      </c>
      <c r="BP16" s="320" t="s">
        <v>177</v>
      </c>
      <c r="BQ16" s="313"/>
      <c r="BR16" s="313"/>
      <c r="BS16" s="313"/>
      <c r="BT16" s="313"/>
      <c r="BU16" s="313"/>
      <c r="BV16" s="313"/>
      <c r="BW16" s="394"/>
      <c r="BX16" s="348"/>
    </row>
    <row r="17" spans="1:76" ht="279.95" customHeight="1" thickBot="1" x14ac:dyDescent="0.35">
      <c r="A17" s="1"/>
      <c r="B17" s="57"/>
      <c r="C17" s="65"/>
      <c r="E17" s="78"/>
      <c r="F17" s="79"/>
      <c r="G17" s="79"/>
      <c r="H17" s="433"/>
      <c r="I17" s="434"/>
      <c r="J17" s="433"/>
      <c r="K17" s="434"/>
      <c r="L17" s="435"/>
      <c r="M17" s="435"/>
      <c r="N17" s="81"/>
      <c r="O17" s="442"/>
      <c r="P17" s="443"/>
      <c r="Q17" s="443"/>
      <c r="R17" s="443"/>
      <c r="S17" s="443"/>
      <c r="T17" s="443"/>
      <c r="U17" s="443"/>
      <c r="V17" s="82"/>
      <c r="W17" s="53"/>
      <c r="X17" s="53"/>
      <c r="Y17" s="53"/>
      <c r="Z17" s="83"/>
      <c r="AA17" s="97"/>
      <c r="AB17" s="97"/>
      <c r="AC17" s="97"/>
      <c r="AD17" s="95"/>
      <c r="AE17" s="95"/>
      <c r="AF17" s="95"/>
      <c r="AG17" s="42"/>
      <c r="AH17" s="42"/>
      <c r="AI17" s="42"/>
      <c r="AJ17" s="352" t="s">
        <v>300</v>
      </c>
      <c r="AK17" s="370" t="s">
        <v>621</v>
      </c>
      <c r="AL17" s="391" t="s">
        <v>622</v>
      </c>
      <c r="AM17" s="328"/>
      <c r="AN17" s="328"/>
      <c r="AO17" s="328"/>
      <c r="AP17" s="328"/>
      <c r="AQ17" s="328"/>
      <c r="AR17" s="328"/>
      <c r="AS17" s="395" t="s">
        <v>536</v>
      </c>
      <c r="AT17" s="352" t="s">
        <v>300</v>
      </c>
      <c r="AU17" s="328"/>
      <c r="AV17" s="328"/>
      <c r="AW17" s="328"/>
      <c r="AX17" s="328"/>
      <c r="AY17" s="328"/>
      <c r="AZ17" s="328"/>
      <c r="BA17" s="328"/>
      <c r="BB17" s="328"/>
      <c r="BC17" s="395" t="s">
        <v>358</v>
      </c>
      <c r="BD17" s="352" t="s">
        <v>300</v>
      </c>
      <c r="BE17" s="334" t="s">
        <v>576</v>
      </c>
      <c r="BF17" s="328"/>
      <c r="BG17" s="328"/>
      <c r="BH17" s="328"/>
      <c r="BI17" s="328"/>
      <c r="BJ17" s="328"/>
      <c r="BK17" s="321" t="s">
        <v>106</v>
      </c>
      <c r="BL17" s="362" t="s">
        <v>107</v>
      </c>
      <c r="BM17" s="395" t="s">
        <v>332</v>
      </c>
      <c r="BN17" s="346" t="s">
        <v>300</v>
      </c>
      <c r="BO17" s="321" t="s">
        <v>180</v>
      </c>
      <c r="BP17" s="328"/>
      <c r="BQ17" s="328"/>
      <c r="BR17" s="328"/>
      <c r="BS17" s="328"/>
      <c r="BT17" s="328"/>
      <c r="BU17" s="328"/>
      <c r="BV17" s="328"/>
      <c r="BW17" s="399" t="s">
        <v>304</v>
      </c>
      <c r="BX17" s="348"/>
    </row>
    <row r="18" spans="1:76" ht="279.95" customHeight="1" thickBot="1" x14ac:dyDescent="0.35">
      <c r="A18" s="47" t="s">
        <v>19</v>
      </c>
      <c r="B18" s="61"/>
      <c r="E18" s="78"/>
      <c r="F18" s="455" t="s">
        <v>26</v>
      </c>
      <c r="G18" s="456"/>
      <c r="H18" s="435"/>
      <c r="I18" s="434"/>
      <c r="J18" s="433"/>
      <c r="K18" s="434"/>
      <c r="L18" s="435"/>
      <c r="M18" s="435"/>
      <c r="N18" s="81"/>
      <c r="O18" s="442"/>
      <c r="P18" s="443"/>
      <c r="Q18" s="443"/>
      <c r="R18" s="443"/>
      <c r="S18" s="443"/>
      <c r="T18" s="443"/>
      <c r="U18" s="443"/>
      <c r="V18" s="82"/>
      <c r="W18" s="53"/>
      <c r="X18" s="53"/>
      <c r="Y18" s="53"/>
      <c r="Z18" s="83"/>
      <c r="AA18" s="97"/>
      <c r="AB18" s="97"/>
      <c r="AC18" s="97"/>
      <c r="AD18" s="95"/>
      <c r="AE18" s="95"/>
      <c r="AF18" s="95"/>
      <c r="AG18" s="42"/>
      <c r="AH18" s="42"/>
      <c r="AI18" s="42"/>
      <c r="AJ18" s="352"/>
      <c r="AK18" s="369" t="s">
        <v>623</v>
      </c>
      <c r="AL18" s="369" t="s">
        <v>624</v>
      </c>
      <c r="AM18" s="369" t="s">
        <v>625</v>
      </c>
      <c r="AN18" s="369" t="s">
        <v>626</v>
      </c>
      <c r="AO18" s="359" t="s">
        <v>627</v>
      </c>
      <c r="AP18" s="359" t="s">
        <v>628</v>
      </c>
      <c r="AQ18" s="327"/>
      <c r="AR18" s="327"/>
      <c r="AS18" s="395"/>
      <c r="AT18" s="352"/>
      <c r="AU18" s="327"/>
      <c r="AV18" s="327"/>
      <c r="AW18" s="327"/>
      <c r="AX18" s="327"/>
      <c r="AY18" s="327"/>
      <c r="AZ18" s="327"/>
      <c r="BA18" s="327"/>
      <c r="BB18" s="327"/>
      <c r="BC18" s="395"/>
      <c r="BD18" s="352"/>
      <c r="BE18" s="374"/>
      <c r="BF18" s="320" t="s">
        <v>196</v>
      </c>
      <c r="BG18" s="327"/>
      <c r="BH18" s="327"/>
      <c r="BI18" s="359" t="s">
        <v>416</v>
      </c>
      <c r="BJ18" s="334" t="s">
        <v>577</v>
      </c>
      <c r="BK18" s="320" t="s">
        <v>108</v>
      </c>
      <c r="BL18" s="362" t="s">
        <v>109</v>
      </c>
      <c r="BM18" s="395"/>
      <c r="BN18" s="346"/>
      <c r="BO18" s="362" t="s">
        <v>179</v>
      </c>
      <c r="BP18" s="368" t="s">
        <v>453</v>
      </c>
      <c r="BQ18" s="327"/>
      <c r="BR18" s="327"/>
      <c r="BS18" s="327"/>
      <c r="BT18" s="359" t="s">
        <v>173</v>
      </c>
      <c r="BU18" s="320" t="s">
        <v>181</v>
      </c>
      <c r="BV18" s="362" t="s">
        <v>182</v>
      </c>
      <c r="BW18" s="399"/>
      <c r="BX18" s="348"/>
    </row>
    <row r="19" spans="1:76" ht="279.95" customHeight="1" thickBot="1" x14ac:dyDescent="0.35">
      <c r="A19" s="22"/>
      <c r="B19" s="63"/>
      <c r="E19" s="78"/>
      <c r="F19" s="457"/>
      <c r="G19" s="458"/>
      <c r="H19" s="435"/>
      <c r="I19" s="434"/>
      <c r="J19" s="433"/>
      <c r="K19" s="434"/>
      <c r="L19" s="435"/>
      <c r="M19" s="435"/>
      <c r="N19" s="81"/>
      <c r="O19" s="461" t="s">
        <v>27</v>
      </c>
      <c r="P19" s="462"/>
      <c r="Q19" s="462"/>
      <c r="R19" s="462"/>
      <c r="S19" s="462"/>
      <c r="T19" s="462"/>
      <c r="U19" s="463"/>
      <c r="V19" s="82"/>
      <c r="W19" s="53"/>
      <c r="X19" s="53"/>
      <c r="Y19" s="53"/>
      <c r="Z19" s="83"/>
      <c r="AA19" s="101"/>
      <c r="AB19" s="101"/>
      <c r="AC19" s="101"/>
      <c r="AD19" s="95"/>
      <c r="AE19" s="95"/>
      <c r="AF19" s="95"/>
      <c r="AG19" s="86"/>
      <c r="AH19" s="86"/>
      <c r="AI19" s="86"/>
      <c r="AJ19" s="351" t="s">
        <v>300</v>
      </c>
      <c r="AK19" s="312"/>
      <c r="AL19" s="391" t="s">
        <v>653</v>
      </c>
      <c r="AM19" s="312"/>
      <c r="AN19" s="312"/>
      <c r="AO19" s="312"/>
      <c r="AP19" s="312"/>
      <c r="AQ19" s="312"/>
      <c r="AR19" s="312"/>
      <c r="AS19" s="394" t="s">
        <v>537</v>
      </c>
      <c r="AT19" s="351" t="s">
        <v>300</v>
      </c>
      <c r="AU19" s="312"/>
      <c r="AV19" s="312"/>
      <c r="AW19" s="312"/>
      <c r="AX19" s="312"/>
      <c r="AY19" s="312"/>
      <c r="AZ19" s="312"/>
      <c r="BA19" s="312"/>
      <c r="BB19" s="312"/>
      <c r="BC19" s="394" t="s">
        <v>359</v>
      </c>
      <c r="BD19" s="351" t="s">
        <v>300</v>
      </c>
      <c r="BE19" s="312"/>
      <c r="BG19" s="312"/>
      <c r="BH19" s="312"/>
      <c r="BI19" s="321" t="s">
        <v>111</v>
      </c>
      <c r="BJ19" s="321" t="s">
        <v>183</v>
      </c>
      <c r="BK19" s="321" t="s">
        <v>184</v>
      </c>
      <c r="BL19" s="321" t="s">
        <v>185</v>
      </c>
      <c r="BM19" s="394" t="s">
        <v>333</v>
      </c>
      <c r="BN19" s="345" t="s">
        <v>300</v>
      </c>
      <c r="BO19" s="321" t="s">
        <v>190</v>
      </c>
      <c r="BP19" s="312"/>
      <c r="BQ19" s="312"/>
      <c r="BR19" s="312"/>
      <c r="BS19" s="312"/>
      <c r="BT19" s="312"/>
      <c r="BU19" s="312"/>
      <c r="BV19" s="312"/>
      <c r="BW19" s="400" t="s">
        <v>305</v>
      </c>
      <c r="BX19" s="348"/>
    </row>
    <row r="20" spans="1:76" ht="279.95" customHeight="1" thickBot="1" x14ac:dyDescent="0.35">
      <c r="A20" s="470" t="s">
        <v>28</v>
      </c>
      <c r="B20" s="471"/>
      <c r="E20" s="103"/>
      <c r="F20" s="459"/>
      <c r="G20" s="460"/>
      <c r="H20" s="435"/>
      <c r="I20" s="434"/>
      <c r="J20" s="433"/>
      <c r="K20" s="434"/>
      <c r="L20" s="435"/>
      <c r="M20" s="435"/>
      <c r="N20" s="81"/>
      <c r="O20" s="464"/>
      <c r="P20" s="465"/>
      <c r="Q20" s="465"/>
      <c r="R20" s="465"/>
      <c r="S20" s="465"/>
      <c r="T20" s="465"/>
      <c r="U20" s="466"/>
      <c r="V20" s="82"/>
      <c r="W20" s="53"/>
      <c r="X20" s="53"/>
      <c r="Y20" s="53"/>
      <c r="Z20" s="83"/>
      <c r="AA20" s="101"/>
      <c r="AB20" s="101"/>
      <c r="AC20" s="101"/>
      <c r="AD20" s="95"/>
      <c r="AE20" s="95"/>
      <c r="AF20" s="95"/>
      <c r="AG20" s="102"/>
      <c r="AH20" s="102"/>
      <c r="AI20" s="102"/>
      <c r="AJ20" s="351"/>
      <c r="AK20" s="313"/>
      <c r="AL20" s="369" t="s">
        <v>629</v>
      </c>
      <c r="AM20" s="313"/>
      <c r="AN20" s="313"/>
      <c r="AO20" s="313"/>
      <c r="AP20" s="313"/>
      <c r="AQ20" s="313"/>
      <c r="AR20" s="313"/>
      <c r="AS20" s="394"/>
      <c r="AT20" s="351"/>
      <c r="AU20" s="313"/>
      <c r="AV20" s="313"/>
      <c r="AW20" s="313"/>
      <c r="AX20" s="313"/>
      <c r="AY20" s="313"/>
      <c r="AZ20" s="313"/>
      <c r="BA20" s="313"/>
      <c r="BB20" s="313"/>
      <c r="BC20" s="394"/>
      <c r="BD20" s="351"/>
      <c r="BE20" s="369" t="s">
        <v>674</v>
      </c>
      <c r="BF20" s="335" t="s">
        <v>578</v>
      </c>
      <c r="BG20" s="313"/>
      <c r="BI20" s="320" t="s">
        <v>110</v>
      </c>
      <c r="BJ20" s="362" t="s">
        <v>187</v>
      </c>
      <c r="BK20" s="362" t="s">
        <v>188</v>
      </c>
      <c r="BL20" s="320" t="s">
        <v>189</v>
      </c>
      <c r="BM20" s="394"/>
      <c r="BN20" s="345"/>
      <c r="BO20" s="362" t="s">
        <v>59</v>
      </c>
      <c r="BP20" s="335" t="s">
        <v>440</v>
      </c>
      <c r="BQ20" s="313"/>
      <c r="BR20" s="313"/>
      <c r="BS20" s="335" t="s">
        <v>662</v>
      </c>
      <c r="BT20" s="320" t="s">
        <v>95</v>
      </c>
      <c r="BU20" s="362" t="s">
        <v>60</v>
      </c>
      <c r="BV20" s="362" t="s">
        <v>191</v>
      </c>
      <c r="BW20" s="400"/>
      <c r="BX20" s="348"/>
    </row>
    <row r="21" spans="1:76" ht="279.95" customHeight="1" thickBot="1" x14ac:dyDescent="0.35">
      <c r="A21" s="472"/>
      <c r="B21" s="473"/>
      <c r="E21" s="106"/>
      <c r="F21" s="107"/>
      <c r="G21" s="107"/>
      <c r="H21" s="433"/>
      <c r="I21" s="434"/>
      <c r="J21" s="433"/>
      <c r="K21" s="434"/>
      <c r="L21" s="435"/>
      <c r="M21" s="435"/>
      <c r="N21" s="81"/>
      <c r="O21" s="464"/>
      <c r="P21" s="465"/>
      <c r="Q21" s="465"/>
      <c r="R21" s="465"/>
      <c r="S21" s="465"/>
      <c r="T21" s="465"/>
      <c r="U21" s="466"/>
      <c r="V21" s="82"/>
      <c r="W21" s="53"/>
      <c r="X21" s="53"/>
      <c r="Y21" s="53"/>
      <c r="Z21" s="83"/>
      <c r="AA21" s="101"/>
      <c r="AB21" s="101"/>
      <c r="AC21" s="101"/>
      <c r="AD21" s="95"/>
      <c r="AE21" s="95"/>
      <c r="AF21" s="95"/>
      <c r="AG21" s="102"/>
      <c r="AH21" s="102"/>
      <c r="AI21" s="102"/>
      <c r="AJ21" s="352" t="s">
        <v>300</v>
      </c>
      <c r="AK21" s="328"/>
      <c r="AL21" s="328"/>
      <c r="AM21" s="328"/>
      <c r="AN21" s="328"/>
      <c r="AO21" s="328"/>
      <c r="AP21" s="328"/>
      <c r="AQ21" s="328"/>
      <c r="AR21" s="328"/>
      <c r="AS21" s="395" t="s">
        <v>538</v>
      </c>
      <c r="AT21" s="352" t="s">
        <v>300</v>
      </c>
      <c r="AU21" s="328"/>
      <c r="AV21" s="328"/>
      <c r="AW21" s="328"/>
      <c r="AX21" s="328"/>
      <c r="AY21" s="328"/>
      <c r="AZ21" s="328"/>
      <c r="BA21" s="328"/>
      <c r="BB21" s="328"/>
      <c r="BC21" s="395" t="s">
        <v>360</v>
      </c>
      <c r="BD21" s="352" t="s">
        <v>300</v>
      </c>
      <c r="BE21" s="328"/>
      <c r="BG21" s="328"/>
      <c r="BH21" s="321" t="s">
        <v>112</v>
      </c>
      <c r="BI21" s="328"/>
      <c r="BJ21" s="321" t="s">
        <v>178</v>
      </c>
      <c r="BK21" s="328"/>
      <c r="BL21" s="320" t="s">
        <v>125</v>
      </c>
      <c r="BM21" s="395" t="s">
        <v>334</v>
      </c>
      <c r="BN21" s="346" t="s">
        <v>300</v>
      </c>
      <c r="BO21" s="328"/>
      <c r="BP21" s="328"/>
      <c r="BQ21" s="328"/>
      <c r="BR21" s="328"/>
      <c r="BS21" s="328"/>
      <c r="BT21" s="328"/>
      <c r="BU21" s="328"/>
      <c r="BV21" s="328"/>
      <c r="BW21" s="401" t="s">
        <v>306</v>
      </c>
      <c r="BX21" s="348"/>
    </row>
    <row r="22" spans="1:76" ht="279.95" customHeight="1" thickBot="1" x14ac:dyDescent="0.35">
      <c r="A22" s="474"/>
      <c r="B22" s="475"/>
      <c r="C22" s="109"/>
      <c r="D22" s="93"/>
      <c r="E22" s="453" t="s">
        <v>29</v>
      </c>
      <c r="F22" s="453"/>
      <c r="G22" s="454"/>
      <c r="H22" s="433"/>
      <c r="I22" s="434"/>
      <c r="J22" s="433"/>
      <c r="K22" s="434"/>
      <c r="L22" s="435"/>
      <c r="M22" s="435"/>
      <c r="N22" s="81"/>
      <c r="O22" s="467"/>
      <c r="P22" s="468"/>
      <c r="Q22" s="468"/>
      <c r="R22" s="468"/>
      <c r="S22" s="468"/>
      <c r="T22" s="468"/>
      <c r="U22" s="469"/>
      <c r="V22" s="82"/>
      <c r="W22" s="53"/>
      <c r="X22" s="53"/>
      <c r="Y22" s="53"/>
      <c r="Z22" s="83"/>
      <c r="AA22" s="110"/>
      <c r="AB22" s="110"/>
      <c r="AC22" s="110"/>
      <c r="AD22" s="95"/>
      <c r="AE22" s="95"/>
      <c r="AF22" s="95"/>
      <c r="AG22" s="111"/>
      <c r="AH22" s="102"/>
      <c r="AI22" s="102"/>
      <c r="AJ22" s="352"/>
      <c r="AK22" s="327"/>
      <c r="AL22" s="327"/>
      <c r="AM22" s="327"/>
      <c r="AN22" s="327"/>
      <c r="AO22" s="359" t="s">
        <v>630</v>
      </c>
      <c r="AP22" s="327"/>
      <c r="AQ22" s="327"/>
      <c r="AR22" s="327"/>
      <c r="AS22" s="395"/>
      <c r="AT22" s="352"/>
      <c r="AU22" s="327"/>
      <c r="AV22" s="327"/>
      <c r="AW22" s="327"/>
      <c r="AX22" s="327"/>
      <c r="AY22" s="327"/>
      <c r="AZ22" s="327"/>
      <c r="BA22" s="327"/>
      <c r="BB22" s="327"/>
      <c r="BC22" s="395"/>
      <c r="BD22" s="352"/>
      <c r="BE22" s="320" t="s">
        <v>186</v>
      </c>
      <c r="BF22" s="335" t="s">
        <v>580</v>
      </c>
      <c r="BG22" s="327"/>
      <c r="BH22" s="362" t="s">
        <v>114</v>
      </c>
      <c r="BI22" s="320" t="s">
        <v>192</v>
      </c>
      <c r="BJ22" s="320" t="s">
        <v>118</v>
      </c>
      <c r="BK22" s="375"/>
      <c r="BL22" s="320" t="s">
        <v>113</v>
      </c>
      <c r="BM22" s="395"/>
      <c r="BN22" s="346"/>
      <c r="BO22" s="320" t="s">
        <v>193</v>
      </c>
      <c r="BP22" s="362" t="s">
        <v>194</v>
      </c>
      <c r="BQ22" s="327"/>
      <c r="BR22" s="359" t="s">
        <v>418</v>
      </c>
      <c r="BS22" s="320" t="s">
        <v>61</v>
      </c>
      <c r="BT22" s="359" t="s">
        <v>417</v>
      </c>
      <c r="BU22" s="359" t="s">
        <v>420</v>
      </c>
      <c r="BV22" s="320" t="s">
        <v>195</v>
      </c>
      <c r="BW22" s="401"/>
      <c r="BX22" s="348"/>
    </row>
    <row r="23" spans="1:76" ht="279.95" customHeight="1" thickBot="1" x14ac:dyDescent="0.35">
      <c r="A23" s="470" t="s">
        <v>30</v>
      </c>
      <c r="B23" s="476"/>
      <c r="C23" s="109"/>
      <c r="D23" s="112"/>
      <c r="E23" s="450"/>
      <c r="F23" s="450"/>
      <c r="G23" s="451"/>
      <c r="H23" s="433"/>
      <c r="I23" s="434"/>
      <c r="J23" s="433"/>
      <c r="K23" s="434"/>
      <c r="L23" s="435"/>
      <c r="M23" s="435"/>
      <c r="N23" s="81"/>
      <c r="O23" s="478"/>
      <c r="P23" s="479"/>
      <c r="Q23" s="479"/>
      <c r="R23" s="479"/>
      <c r="S23" s="479"/>
      <c r="T23" s="479"/>
      <c r="U23" s="480"/>
      <c r="V23" s="74"/>
      <c r="W23" s="75"/>
      <c r="X23" s="75"/>
      <c r="Y23" s="75"/>
      <c r="Z23" s="76"/>
      <c r="AA23" s="110"/>
      <c r="AB23" s="110"/>
      <c r="AC23" s="95"/>
      <c r="AD23" s="95"/>
      <c r="AE23" s="95"/>
      <c r="AF23" s="95"/>
      <c r="AG23" s="95"/>
      <c r="AH23" s="95"/>
      <c r="AI23" s="86"/>
      <c r="AJ23" s="351" t="s">
        <v>300</v>
      </c>
      <c r="AK23" s="312"/>
      <c r="AL23" s="312"/>
      <c r="AM23" s="312"/>
      <c r="AN23" s="312"/>
      <c r="AO23" s="312"/>
      <c r="AP23" s="312"/>
      <c r="AQ23" s="312"/>
      <c r="AR23" s="312"/>
      <c r="AS23" s="394" t="s">
        <v>539</v>
      </c>
      <c r="AT23" s="351" t="s">
        <v>300</v>
      </c>
      <c r="AU23" s="312"/>
      <c r="AV23" s="312"/>
      <c r="AW23" s="312"/>
      <c r="AX23" s="312"/>
      <c r="AY23" s="312"/>
      <c r="AZ23" s="312"/>
      <c r="BA23" s="312"/>
      <c r="BB23" s="312"/>
      <c r="BC23" s="394" t="s">
        <v>361</v>
      </c>
      <c r="BD23" s="351" t="s">
        <v>300</v>
      </c>
      <c r="BE23" s="334" t="s">
        <v>581</v>
      </c>
      <c r="BF23" s="334" t="s">
        <v>582</v>
      </c>
      <c r="BG23" s="312"/>
      <c r="BH23" s="334" t="s">
        <v>122</v>
      </c>
      <c r="BI23" s="312"/>
      <c r="BJ23" s="360" t="s">
        <v>419</v>
      </c>
      <c r="BK23" s="312"/>
      <c r="BL23" s="312"/>
      <c r="BM23" s="394" t="s">
        <v>335</v>
      </c>
      <c r="BN23" s="345" t="s">
        <v>300</v>
      </c>
      <c r="BO23" s="312"/>
      <c r="BP23" s="312"/>
      <c r="BQ23" s="312"/>
      <c r="BR23" s="312"/>
      <c r="BS23" s="312"/>
      <c r="BU23" s="312"/>
      <c r="BV23" s="312"/>
      <c r="BW23" s="400" t="s">
        <v>307</v>
      </c>
      <c r="BX23" s="348"/>
    </row>
    <row r="24" spans="1:76" ht="279.95" customHeight="1" thickBot="1" x14ac:dyDescent="0.35">
      <c r="A24" s="472"/>
      <c r="B24" s="477"/>
      <c r="C24" s="113"/>
      <c r="D24" s="112"/>
      <c r="E24" s="453" t="s">
        <v>29</v>
      </c>
      <c r="F24" s="453"/>
      <c r="G24" s="454"/>
      <c r="H24" s="433"/>
      <c r="I24" s="434"/>
      <c r="J24" s="433"/>
      <c r="K24" s="434"/>
      <c r="L24" s="435"/>
      <c r="M24" s="435"/>
      <c r="N24" s="81"/>
      <c r="O24" s="481"/>
      <c r="P24" s="482"/>
      <c r="Q24" s="482"/>
      <c r="R24" s="482"/>
      <c r="S24" s="482"/>
      <c r="T24" s="482"/>
      <c r="U24" s="483"/>
      <c r="V24" s="82"/>
      <c r="W24" s="53"/>
      <c r="X24" s="90"/>
      <c r="Y24" s="90"/>
      <c r="Z24" s="83"/>
      <c r="AA24" s="97"/>
      <c r="AB24" s="97"/>
      <c r="AC24" s="97"/>
      <c r="AD24" s="86"/>
      <c r="AE24" s="86"/>
      <c r="AF24" s="86"/>
      <c r="AG24" s="86"/>
      <c r="AH24" s="114"/>
      <c r="AI24" s="114"/>
      <c r="AJ24" s="351"/>
      <c r="AK24" s="313"/>
      <c r="AL24" s="313"/>
      <c r="AM24" s="313"/>
      <c r="AN24" s="313"/>
      <c r="AO24" s="313"/>
      <c r="AP24" s="313"/>
      <c r="AQ24" s="313"/>
      <c r="AR24" s="313"/>
      <c r="AS24" s="394"/>
      <c r="AT24" s="351"/>
      <c r="AU24" s="313"/>
      <c r="AV24" s="313"/>
      <c r="AW24" s="313"/>
      <c r="AX24" s="313"/>
      <c r="AY24" s="313"/>
      <c r="AZ24" s="313"/>
      <c r="BA24" s="313"/>
      <c r="BB24" s="313"/>
      <c r="BC24" s="394"/>
      <c r="BD24" s="351"/>
      <c r="BE24" s="359" t="s">
        <v>583</v>
      </c>
      <c r="BF24" s="359" t="s">
        <v>197</v>
      </c>
      <c r="BG24" s="313"/>
      <c r="BH24" s="335" t="s">
        <v>116</v>
      </c>
      <c r="BI24" s="368" t="s">
        <v>426</v>
      </c>
      <c r="BJ24" s="335" t="s">
        <v>117</v>
      </c>
      <c r="BK24" s="369" t="s">
        <v>669</v>
      </c>
      <c r="BL24" s="359" t="s">
        <v>119</v>
      </c>
      <c r="BM24" s="394"/>
      <c r="BN24" s="345"/>
      <c r="BO24" s="320" t="s">
        <v>62</v>
      </c>
      <c r="BP24" s="320" t="s">
        <v>198</v>
      </c>
      <c r="BQ24" s="313"/>
      <c r="BR24" s="359" t="s">
        <v>424</v>
      </c>
      <c r="BS24" s="359" t="s">
        <v>423</v>
      </c>
      <c r="BT24" s="359" t="s">
        <v>422</v>
      </c>
      <c r="BU24" s="359" t="s">
        <v>421</v>
      </c>
      <c r="BV24" s="320" t="s">
        <v>200</v>
      </c>
      <c r="BW24" s="400"/>
      <c r="BX24" s="348"/>
    </row>
    <row r="25" spans="1:76" ht="279.95" customHeight="1" thickBot="1" x14ac:dyDescent="0.35">
      <c r="A25" s="474"/>
      <c r="B25" s="475"/>
      <c r="C25" s="109"/>
      <c r="D25" s="115"/>
      <c r="E25" s="447"/>
      <c r="F25" s="447"/>
      <c r="G25" s="448"/>
      <c r="H25" s="433"/>
      <c r="I25" s="434"/>
      <c r="J25" s="433"/>
      <c r="K25" s="434"/>
      <c r="L25" s="435"/>
      <c r="M25" s="435"/>
      <c r="N25" s="81"/>
      <c r="O25" s="481"/>
      <c r="P25" s="482"/>
      <c r="Q25" s="482"/>
      <c r="R25" s="482"/>
      <c r="S25" s="482"/>
      <c r="T25" s="482"/>
      <c r="U25" s="483"/>
      <c r="V25" s="104"/>
      <c r="W25" s="97"/>
      <c r="X25" s="97"/>
      <c r="Y25" s="97"/>
      <c r="Z25" s="93"/>
      <c r="AA25" s="97"/>
      <c r="AB25" s="97"/>
      <c r="AC25" s="97"/>
      <c r="AD25" s="100"/>
      <c r="AE25" s="100"/>
      <c r="AF25" s="100"/>
      <c r="AG25" s="100"/>
      <c r="AH25" s="116"/>
      <c r="AI25" s="116"/>
      <c r="AJ25" s="352" t="s">
        <v>300</v>
      </c>
      <c r="AK25" s="328"/>
      <c r="AL25" s="328"/>
      <c r="AM25" s="328"/>
      <c r="AN25" s="328"/>
      <c r="AO25" s="328"/>
      <c r="AP25" s="328"/>
      <c r="AQ25" s="328"/>
      <c r="AR25" s="328"/>
      <c r="AS25" s="395" t="s">
        <v>540</v>
      </c>
      <c r="AT25" s="352" t="s">
        <v>300</v>
      </c>
      <c r="AU25" s="328"/>
      <c r="AV25" s="328"/>
      <c r="AW25" s="328"/>
      <c r="AX25" s="328"/>
      <c r="AY25" s="328"/>
      <c r="AZ25" s="328"/>
      <c r="BA25" s="328"/>
      <c r="BB25" s="328"/>
      <c r="BC25" s="395" t="s">
        <v>362</v>
      </c>
      <c r="BD25" s="352" t="s">
        <v>300</v>
      </c>
      <c r="BF25" s="321" t="s">
        <v>292</v>
      </c>
      <c r="BG25" s="328"/>
      <c r="BH25" s="373"/>
      <c r="BI25" s="371" t="s">
        <v>121</v>
      </c>
      <c r="BJ25" s="359" t="s">
        <v>204</v>
      </c>
      <c r="BL25" s="328"/>
      <c r="BM25" s="395" t="s">
        <v>336</v>
      </c>
      <c r="BN25" s="346" t="s">
        <v>300</v>
      </c>
      <c r="BO25" s="328"/>
      <c r="BP25" s="328"/>
      <c r="BQ25" s="328"/>
      <c r="BR25" s="328"/>
      <c r="BS25" s="328"/>
      <c r="BT25" s="321" t="s">
        <v>205</v>
      </c>
      <c r="BU25" s="321" t="s">
        <v>199</v>
      </c>
      <c r="BV25" s="328"/>
      <c r="BW25" s="401" t="s">
        <v>308</v>
      </c>
      <c r="BX25" s="348"/>
    </row>
    <row r="26" spans="1:76" ht="279.95" customHeight="1" thickBot="1" x14ac:dyDescent="0.35">
      <c r="A26" s="470" t="s">
        <v>31</v>
      </c>
      <c r="B26" s="471"/>
      <c r="C26" s="65"/>
      <c r="D26" s="65"/>
      <c r="E26" s="446"/>
      <c r="F26" s="447"/>
      <c r="G26" s="448"/>
      <c r="H26" s="433"/>
      <c r="I26" s="434"/>
      <c r="J26" s="433"/>
      <c r="K26" s="434"/>
      <c r="L26" s="435"/>
      <c r="M26" s="435"/>
      <c r="N26" s="81"/>
      <c r="O26" s="484"/>
      <c r="P26" s="485"/>
      <c r="Q26" s="485"/>
      <c r="R26" s="485"/>
      <c r="S26" s="485"/>
      <c r="T26" s="485"/>
      <c r="U26" s="486"/>
      <c r="V26" s="104"/>
      <c r="Z26" s="93"/>
      <c r="AA26" s="101"/>
      <c r="AB26" s="101"/>
      <c r="AC26" s="101"/>
      <c r="AD26" s="86"/>
      <c r="AE26" s="86"/>
      <c r="AF26" s="86"/>
      <c r="AG26" s="86"/>
      <c r="AH26" s="114"/>
      <c r="AI26" s="42"/>
      <c r="AJ26" s="352"/>
      <c r="AK26" s="327"/>
      <c r="AL26" s="333" t="s">
        <v>634</v>
      </c>
      <c r="AM26" s="327"/>
      <c r="AN26" s="327"/>
      <c r="AO26" s="327"/>
      <c r="AP26" s="327"/>
      <c r="AQ26" s="327"/>
      <c r="AR26" s="327"/>
      <c r="AS26" s="395"/>
      <c r="AT26" s="352"/>
      <c r="AU26" s="327"/>
      <c r="AV26" s="327"/>
      <c r="AW26" s="327"/>
      <c r="AX26" s="327"/>
      <c r="AY26" s="327"/>
      <c r="AZ26" s="327"/>
      <c r="BA26" s="327"/>
      <c r="BB26" s="327"/>
      <c r="BC26" s="395"/>
      <c r="BD26" s="352"/>
      <c r="BE26" s="335" t="s">
        <v>201</v>
      </c>
      <c r="BF26" s="320" t="s">
        <v>224</v>
      </c>
      <c r="BG26" s="327"/>
      <c r="BH26" s="359" t="s">
        <v>587</v>
      </c>
      <c r="BI26" s="359" t="s">
        <v>202</v>
      </c>
      <c r="BJ26" s="359" t="s">
        <v>203</v>
      </c>
      <c r="BK26" s="334" t="s">
        <v>579</v>
      </c>
      <c r="BL26" s="359" t="s">
        <v>120</v>
      </c>
      <c r="BM26" s="395"/>
      <c r="BN26" s="346"/>
      <c r="BO26" s="359" t="s">
        <v>431</v>
      </c>
      <c r="BP26" s="359" t="s">
        <v>438</v>
      </c>
      <c r="BQ26" s="327"/>
      <c r="BR26" s="359" t="s">
        <v>429</v>
      </c>
      <c r="BS26" s="359" t="s">
        <v>430</v>
      </c>
      <c r="BT26" s="320" t="s">
        <v>63</v>
      </c>
      <c r="BU26" s="362" t="s">
        <v>64</v>
      </c>
      <c r="BV26" s="327"/>
      <c r="BW26" s="401"/>
      <c r="BX26" s="348"/>
    </row>
    <row r="27" spans="1:76" ht="279.95" customHeight="1" thickBot="1" x14ac:dyDescent="0.35">
      <c r="A27" s="472"/>
      <c r="B27" s="473"/>
      <c r="C27" s="65"/>
      <c r="D27" s="117"/>
      <c r="E27" s="118"/>
      <c r="F27" s="119"/>
      <c r="G27" s="119"/>
      <c r="H27" s="433"/>
      <c r="I27" s="434"/>
      <c r="J27" s="433"/>
      <c r="K27" s="434"/>
      <c r="L27" s="435"/>
      <c r="M27" s="435"/>
      <c r="N27" s="81"/>
      <c r="O27" s="488" t="s">
        <v>32</v>
      </c>
      <c r="P27" s="489"/>
      <c r="Q27" s="489"/>
      <c r="R27" s="489"/>
      <c r="S27" s="489"/>
      <c r="T27" s="489"/>
      <c r="U27" s="490"/>
      <c r="Z27" s="93"/>
      <c r="AA27" s="101"/>
      <c r="AB27" s="101"/>
      <c r="AC27" s="101"/>
      <c r="AD27" s="100"/>
      <c r="AE27" s="100"/>
      <c r="AF27" s="100"/>
      <c r="AG27" s="100"/>
      <c r="AH27" s="114"/>
      <c r="AI27" s="108"/>
      <c r="AJ27" s="351" t="s">
        <v>300</v>
      </c>
      <c r="AK27" s="312"/>
      <c r="AL27" s="312"/>
      <c r="AM27" s="312"/>
      <c r="AN27" s="312"/>
      <c r="AO27" s="312"/>
      <c r="AP27" s="312"/>
      <c r="AQ27" s="312"/>
      <c r="AR27" s="312"/>
      <c r="AS27" s="394" t="s">
        <v>541</v>
      </c>
      <c r="AT27" s="351" t="s">
        <v>300</v>
      </c>
      <c r="AU27" s="312"/>
      <c r="AV27" s="312"/>
      <c r="AW27" s="312"/>
      <c r="AX27" s="312"/>
      <c r="AY27" s="312"/>
      <c r="AZ27" s="312"/>
      <c r="BA27" s="312"/>
      <c r="BB27" s="312"/>
      <c r="BC27" s="394" t="s">
        <v>363</v>
      </c>
      <c r="BD27" s="351" t="s">
        <v>300</v>
      </c>
      <c r="BE27" s="371" t="s">
        <v>207</v>
      </c>
      <c r="BF27" s="371" t="s">
        <v>124</v>
      </c>
      <c r="BG27" s="312"/>
      <c r="BH27" s="312"/>
      <c r="BI27" s="312"/>
      <c r="BJ27" s="312"/>
      <c r="BK27" s="371" t="s">
        <v>291</v>
      </c>
      <c r="BL27" s="371" t="s">
        <v>208</v>
      </c>
      <c r="BM27" s="394" t="s">
        <v>337</v>
      </c>
      <c r="BN27" s="345" t="s">
        <v>300</v>
      </c>
      <c r="BO27" s="364"/>
      <c r="BQ27" s="312"/>
      <c r="BR27" s="312"/>
      <c r="BS27" s="312"/>
      <c r="BU27" s="321" t="s">
        <v>70</v>
      </c>
      <c r="BV27" s="312"/>
      <c r="BW27" s="400" t="s">
        <v>309</v>
      </c>
      <c r="BX27" s="348"/>
    </row>
    <row r="28" spans="1:76" ht="279.95" customHeight="1" thickBot="1" x14ac:dyDescent="0.35">
      <c r="A28" s="474"/>
      <c r="B28" s="487"/>
      <c r="E28" s="452" t="s">
        <v>33</v>
      </c>
      <c r="F28" s="453"/>
      <c r="G28" s="454"/>
      <c r="H28" s="433"/>
      <c r="I28" s="434"/>
      <c r="J28" s="433"/>
      <c r="K28" s="434"/>
      <c r="L28" s="435"/>
      <c r="M28" s="435"/>
      <c r="N28" s="81"/>
      <c r="O28" s="491"/>
      <c r="P28" s="492"/>
      <c r="Q28" s="492"/>
      <c r="R28" s="492"/>
      <c r="S28" s="492"/>
      <c r="T28" s="492"/>
      <c r="U28" s="493"/>
      <c r="V28" s="120"/>
      <c r="X28" s="92"/>
      <c r="Z28" s="93"/>
      <c r="AA28" s="101"/>
      <c r="AB28" s="101"/>
      <c r="AC28" s="101"/>
      <c r="AD28" s="86"/>
      <c r="AE28" s="42"/>
      <c r="AG28" s="86"/>
      <c r="AH28" s="108"/>
      <c r="AI28" s="108"/>
      <c r="AJ28" s="351"/>
      <c r="AK28" s="313"/>
      <c r="AL28" s="333" t="s">
        <v>635</v>
      </c>
      <c r="AM28" s="313"/>
      <c r="AN28" s="313"/>
      <c r="AO28" s="313"/>
      <c r="AP28" s="313"/>
      <c r="AQ28" s="313"/>
      <c r="AR28" s="313"/>
      <c r="AS28" s="394"/>
      <c r="AT28" s="351"/>
      <c r="AU28" s="313"/>
      <c r="AV28" s="313"/>
      <c r="AW28" s="313"/>
      <c r="AX28" s="313"/>
      <c r="AY28" s="313"/>
      <c r="AZ28" s="313"/>
      <c r="BA28" s="313"/>
      <c r="BB28" s="313"/>
      <c r="BC28" s="394"/>
      <c r="BD28" s="351"/>
      <c r="BE28" s="359" t="s">
        <v>206</v>
      </c>
      <c r="BF28" s="359" t="s">
        <v>584</v>
      </c>
      <c r="BG28" s="313"/>
      <c r="BH28" s="335" t="s">
        <v>586</v>
      </c>
      <c r="BI28" s="359" t="s">
        <v>427</v>
      </c>
      <c r="BJ28" s="360" t="s">
        <v>428</v>
      </c>
      <c r="BK28" s="359" t="s">
        <v>123</v>
      </c>
      <c r="BL28" s="359" t="s">
        <v>209</v>
      </c>
      <c r="BM28" s="394"/>
      <c r="BN28" s="345"/>
      <c r="BO28" s="320" t="s">
        <v>65</v>
      </c>
      <c r="BP28" s="359" t="s">
        <v>432</v>
      </c>
      <c r="BQ28" s="313"/>
      <c r="BR28" s="333" t="s">
        <v>642</v>
      </c>
      <c r="BS28" s="320" t="s">
        <v>66</v>
      </c>
      <c r="BT28" s="359" t="s">
        <v>671</v>
      </c>
      <c r="BU28" s="362" t="s">
        <v>210</v>
      </c>
      <c r="BV28" s="362" t="s">
        <v>67</v>
      </c>
      <c r="BW28" s="400"/>
      <c r="BX28" s="348"/>
    </row>
    <row r="29" spans="1:76" ht="279.95" customHeight="1" thickBot="1" x14ac:dyDescent="0.35">
      <c r="A29" s="90"/>
      <c r="B29" s="90"/>
      <c r="E29" s="446"/>
      <c r="F29" s="447"/>
      <c r="G29" s="448"/>
      <c r="H29" s="433"/>
      <c r="I29" s="434"/>
      <c r="J29" s="433"/>
      <c r="K29" s="434"/>
      <c r="L29" s="435"/>
      <c r="M29" s="435"/>
      <c r="N29" s="81"/>
      <c r="O29" s="491"/>
      <c r="P29" s="492"/>
      <c r="Q29" s="492"/>
      <c r="R29" s="492"/>
      <c r="S29" s="492"/>
      <c r="T29" s="492"/>
      <c r="U29" s="493"/>
      <c r="V29" s="86"/>
      <c r="W29" s="121"/>
      <c r="X29" s="92"/>
      <c r="Z29" s="93"/>
      <c r="AA29" s="101"/>
      <c r="AB29" s="101"/>
      <c r="AC29" s="101"/>
      <c r="AD29" s="100"/>
      <c r="AE29" s="86"/>
      <c r="AG29" s="86"/>
      <c r="AH29" s="108"/>
      <c r="AI29" s="108"/>
      <c r="AJ29" s="352" t="s">
        <v>300</v>
      </c>
      <c r="AK29" s="328"/>
      <c r="AL29" s="328"/>
      <c r="AM29" s="328"/>
      <c r="AN29" s="328"/>
      <c r="AO29" s="328"/>
      <c r="AP29" s="328"/>
      <c r="AQ29" s="328"/>
      <c r="AR29" s="328"/>
      <c r="AS29" s="395" t="s">
        <v>542</v>
      </c>
      <c r="AT29" s="352" t="s">
        <v>300</v>
      </c>
      <c r="AU29" s="328"/>
      <c r="AV29" s="328"/>
      <c r="AW29" s="328"/>
      <c r="AX29" s="328"/>
      <c r="AY29" s="328"/>
      <c r="AZ29" s="328"/>
      <c r="BA29" s="328"/>
      <c r="BB29" s="328"/>
      <c r="BC29" s="395" t="s">
        <v>364</v>
      </c>
      <c r="BD29" s="352" t="s">
        <v>300</v>
      </c>
      <c r="BE29" s="371" t="s">
        <v>128</v>
      </c>
      <c r="BF29" s="328"/>
      <c r="BG29" s="328"/>
      <c r="BH29" s="320" t="s">
        <v>213</v>
      </c>
      <c r="BI29" s="328"/>
      <c r="BJ29" s="328"/>
      <c r="BK29" s="328"/>
      <c r="BL29" s="328"/>
      <c r="BM29" s="395" t="s">
        <v>338</v>
      </c>
      <c r="BN29" s="346" t="s">
        <v>300</v>
      </c>
      <c r="BO29" s="328"/>
      <c r="BP29" s="328"/>
      <c r="BQ29" s="328"/>
      <c r="BR29" s="328"/>
      <c r="BS29" s="328"/>
      <c r="BT29" s="328"/>
      <c r="BU29" s="328"/>
      <c r="BV29" s="328"/>
      <c r="BW29" s="401" t="s">
        <v>310</v>
      </c>
      <c r="BX29" s="348"/>
    </row>
    <row r="30" spans="1:76" ht="279.95" customHeight="1" thickBot="1" x14ac:dyDescent="0.35">
      <c r="A30" s="90"/>
      <c r="B30" s="90"/>
      <c r="E30" s="446"/>
      <c r="F30" s="447"/>
      <c r="G30" s="448"/>
      <c r="H30" s="433"/>
      <c r="I30" s="434"/>
      <c r="J30" s="433"/>
      <c r="K30" s="434"/>
      <c r="L30" s="435"/>
      <c r="M30" s="435"/>
      <c r="N30" s="81"/>
      <c r="O30" s="491"/>
      <c r="P30" s="492"/>
      <c r="Q30" s="492"/>
      <c r="R30" s="492"/>
      <c r="S30" s="492"/>
      <c r="T30" s="492"/>
      <c r="U30" s="493"/>
      <c r="V30" s="99"/>
      <c r="X30" s="42"/>
      <c r="Y30" s="70"/>
      <c r="Z30" s="93"/>
      <c r="AA30" s="122"/>
      <c r="AB30" s="101"/>
      <c r="AC30" s="101"/>
      <c r="AD30" s="86"/>
      <c r="AE30" s="86"/>
      <c r="AF30" s="86"/>
      <c r="AG30" s="86"/>
      <c r="AH30" s="42"/>
      <c r="AI30" s="42"/>
      <c r="AJ30" s="352"/>
      <c r="AK30" s="327"/>
      <c r="AL30" s="327"/>
      <c r="AM30" s="327"/>
      <c r="AN30" s="327"/>
      <c r="AO30" s="327"/>
      <c r="AP30" s="327"/>
      <c r="AQ30" s="327"/>
      <c r="AR30" s="327"/>
      <c r="AS30" s="395"/>
      <c r="AT30" s="352"/>
      <c r="AU30" s="327"/>
      <c r="AV30" s="327"/>
      <c r="AW30" s="327"/>
      <c r="AX30" s="327"/>
      <c r="AY30" s="327"/>
      <c r="AZ30" s="327"/>
      <c r="BA30" s="327"/>
      <c r="BB30" s="327"/>
      <c r="BC30" s="395"/>
      <c r="BD30" s="352"/>
      <c r="BE30" s="359" t="s">
        <v>425</v>
      </c>
      <c r="BF30" s="369" t="s">
        <v>670</v>
      </c>
      <c r="BG30" s="327"/>
      <c r="BH30" s="320" t="s">
        <v>211</v>
      </c>
      <c r="BI30" s="360" t="s">
        <v>445</v>
      </c>
      <c r="BJ30" s="335" t="s">
        <v>433</v>
      </c>
      <c r="BK30" s="360" t="s">
        <v>585</v>
      </c>
      <c r="BL30" s="369" t="s">
        <v>668</v>
      </c>
      <c r="BM30" s="395"/>
      <c r="BN30" s="346"/>
      <c r="BO30" s="320" t="s">
        <v>68</v>
      </c>
      <c r="BP30" s="359" t="s">
        <v>435</v>
      </c>
      <c r="BQ30" s="327"/>
      <c r="BR30" s="333" t="s">
        <v>643</v>
      </c>
      <c r="BS30" s="320" t="s">
        <v>69</v>
      </c>
      <c r="BT30" s="320" t="s">
        <v>115</v>
      </c>
      <c r="BU30" s="359" t="s">
        <v>71</v>
      </c>
      <c r="BV30" s="320" t="s">
        <v>214</v>
      </c>
      <c r="BW30" s="401"/>
      <c r="BX30" s="348"/>
    </row>
    <row r="31" spans="1:76" ht="279.95" customHeight="1" x14ac:dyDescent="0.3">
      <c r="A31" s="90"/>
      <c r="B31" s="90"/>
      <c r="E31" s="446"/>
      <c r="F31" s="447"/>
      <c r="G31" s="448"/>
      <c r="H31" s="433"/>
      <c r="I31" s="434"/>
      <c r="J31" s="433"/>
      <c r="K31" s="434"/>
      <c r="L31" s="435"/>
      <c r="M31" s="435"/>
      <c r="N31" s="81"/>
      <c r="O31" s="491"/>
      <c r="P31" s="492"/>
      <c r="Q31" s="492"/>
      <c r="R31" s="492"/>
      <c r="S31" s="492"/>
      <c r="T31" s="492"/>
      <c r="U31" s="493"/>
      <c r="V31" s="123"/>
      <c r="Z31" s="93"/>
      <c r="AA31" s="124"/>
      <c r="AB31" s="125"/>
      <c r="AC31" s="125"/>
      <c r="AD31" s="100"/>
      <c r="AE31" s="126"/>
      <c r="AF31" s="42"/>
      <c r="AG31" s="86"/>
      <c r="AH31" s="108"/>
      <c r="AI31" s="42"/>
      <c r="AJ31" s="351" t="s">
        <v>300</v>
      </c>
      <c r="AK31" s="312"/>
      <c r="AL31" s="312"/>
      <c r="AM31" s="312"/>
      <c r="AN31" s="312"/>
      <c r="AO31" s="312"/>
      <c r="AP31" s="312"/>
      <c r="AQ31" s="312"/>
      <c r="AR31" s="312"/>
      <c r="AS31" s="394" t="s">
        <v>543</v>
      </c>
      <c r="AT31" s="351" t="s">
        <v>300</v>
      </c>
      <c r="AU31" s="312"/>
      <c r="AV31" s="312"/>
      <c r="AW31" s="312"/>
      <c r="AX31" s="312"/>
      <c r="AY31" s="312"/>
      <c r="AZ31" s="312"/>
      <c r="BA31" s="312"/>
      <c r="BB31" s="312"/>
      <c r="BC31" s="394" t="s">
        <v>365</v>
      </c>
      <c r="BD31" s="351" t="s">
        <v>300</v>
      </c>
      <c r="BE31" s="312"/>
      <c r="BF31" s="371" t="s">
        <v>212</v>
      </c>
      <c r="BG31" s="312"/>
      <c r="BH31" s="334" t="s">
        <v>216</v>
      </c>
      <c r="BI31" s="312"/>
      <c r="BJ31" s="321" t="s">
        <v>126</v>
      </c>
      <c r="BK31" s="312"/>
      <c r="BL31" s="334" t="s">
        <v>129</v>
      </c>
      <c r="BM31" s="394" t="s">
        <v>339</v>
      </c>
      <c r="BN31" s="345" t="s">
        <v>300</v>
      </c>
      <c r="BO31" s="312"/>
      <c r="BQ31" s="312"/>
      <c r="BR31" s="312"/>
      <c r="BS31" s="312"/>
      <c r="BT31" s="312"/>
      <c r="BU31" s="312"/>
      <c r="BV31" s="312"/>
      <c r="BW31" s="400" t="s">
        <v>311</v>
      </c>
      <c r="BX31" s="348"/>
    </row>
    <row r="32" spans="1:76" ht="279.95" customHeight="1" thickBot="1" x14ac:dyDescent="0.35">
      <c r="A32" s="90"/>
      <c r="B32" s="90"/>
      <c r="E32" s="449"/>
      <c r="F32" s="450"/>
      <c r="G32" s="451"/>
      <c r="H32" s="433"/>
      <c r="I32" s="434"/>
      <c r="J32" s="433"/>
      <c r="K32" s="434"/>
      <c r="L32" s="435"/>
      <c r="M32" s="435"/>
      <c r="N32" s="81"/>
      <c r="O32" s="491"/>
      <c r="P32" s="492"/>
      <c r="Q32" s="492"/>
      <c r="R32" s="492"/>
      <c r="S32" s="492"/>
      <c r="T32" s="492"/>
      <c r="U32" s="493"/>
      <c r="V32" s="123"/>
      <c r="Z32" s="93"/>
      <c r="AA32" s="124"/>
      <c r="AB32" s="125"/>
      <c r="AC32" s="101"/>
      <c r="AD32" s="114"/>
      <c r="AE32" s="114"/>
      <c r="AF32" s="114"/>
      <c r="AG32" s="114"/>
      <c r="AH32" s="108"/>
      <c r="AJ32" s="351"/>
      <c r="AK32" s="313"/>
      <c r="AL32" s="313"/>
      <c r="AM32" s="313"/>
      <c r="AN32" s="313"/>
      <c r="AO32" s="313"/>
      <c r="AP32" s="313"/>
      <c r="AQ32" s="313"/>
      <c r="AR32" s="313"/>
      <c r="AS32" s="394"/>
      <c r="AT32" s="351"/>
      <c r="AU32" s="313"/>
      <c r="AV32" s="313"/>
      <c r="AW32" s="313"/>
      <c r="AX32" s="313"/>
      <c r="AY32" s="313"/>
      <c r="AZ32" s="313"/>
      <c r="BA32" s="313"/>
      <c r="BB32" s="313"/>
      <c r="BC32" s="394"/>
      <c r="BD32" s="351"/>
      <c r="BE32" s="362" t="s">
        <v>215</v>
      </c>
      <c r="BF32" s="359" t="s">
        <v>127</v>
      </c>
      <c r="BG32" s="313"/>
      <c r="BH32" s="376" t="s">
        <v>436</v>
      </c>
      <c r="BI32" s="368" t="s">
        <v>444</v>
      </c>
      <c r="BJ32" s="362" t="s">
        <v>217</v>
      </c>
      <c r="BK32" s="335" t="s">
        <v>588</v>
      </c>
      <c r="BL32" s="359" t="s">
        <v>437</v>
      </c>
      <c r="BM32" s="394"/>
      <c r="BN32" s="345"/>
      <c r="BO32" s="320" t="s">
        <v>72</v>
      </c>
      <c r="BP32" s="359" t="s">
        <v>439</v>
      </c>
      <c r="BQ32" s="313"/>
      <c r="BR32" s="333" t="s">
        <v>644</v>
      </c>
      <c r="BS32" s="320" t="s">
        <v>73</v>
      </c>
      <c r="BT32" s="362" t="s">
        <v>74</v>
      </c>
      <c r="BU32" s="333" t="s">
        <v>645</v>
      </c>
      <c r="BV32" s="313"/>
      <c r="BW32" s="400"/>
      <c r="BX32" s="348"/>
    </row>
    <row r="33" spans="1:79" ht="279.95" customHeight="1" x14ac:dyDescent="0.3">
      <c r="A33" s="90"/>
      <c r="B33" s="90"/>
      <c r="E33" s="446" t="s">
        <v>34</v>
      </c>
      <c r="F33" s="447"/>
      <c r="G33" s="448"/>
      <c r="H33" s="433"/>
      <c r="I33" s="434"/>
      <c r="J33" s="433"/>
      <c r="K33" s="434"/>
      <c r="L33" s="435"/>
      <c r="M33" s="435"/>
      <c r="N33" s="81"/>
      <c r="O33" s="491"/>
      <c r="P33" s="492"/>
      <c r="Q33" s="492"/>
      <c r="R33" s="492"/>
      <c r="S33" s="492"/>
      <c r="T33" s="492"/>
      <c r="U33" s="493"/>
      <c r="V33" s="123"/>
      <c r="W33" s="87"/>
      <c r="X33" s="42"/>
      <c r="Y33" s="42"/>
      <c r="Z33" s="93"/>
      <c r="AA33" s="87"/>
      <c r="AB33" s="87"/>
      <c r="AC33" s="87"/>
      <c r="AD33" s="114"/>
      <c r="AE33" s="114"/>
      <c r="AF33" s="116"/>
      <c r="AG33" s="116"/>
      <c r="AJ33" s="352" t="s">
        <v>300</v>
      </c>
      <c r="AK33" s="328"/>
      <c r="AL33" s="328"/>
      <c r="AM33" s="328"/>
      <c r="AN33" s="328"/>
      <c r="AO33" s="328"/>
      <c r="AP33" s="328"/>
      <c r="AQ33" s="328"/>
      <c r="AR33" s="328"/>
      <c r="AS33" s="395" t="s">
        <v>544</v>
      </c>
      <c r="AT33" s="352" t="s">
        <v>300</v>
      </c>
      <c r="AU33" s="328"/>
      <c r="AV33" s="328"/>
      <c r="AW33" s="328"/>
      <c r="AX33" s="328"/>
      <c r="AY33" s="328"/>
      <c r="AZ33" s="328"/>
      <c r="BA33" s="328"/>
      <c r="BB33" s="328"/>
      <c r="BC33" s="395" t="s">
        <v>366</v>
      </c>
      <c r="BD33" s="352" t="s">
        <v>300</v>
      </c>
      <c r="BE33" s="334" t="s">
        <v>442</v>
      </c>
      <c r="BF33" s="328"/>
      <c r="BG33" s="328"/>
      <c r="BH33" s="328"/>
      <c r="BJ33" s="328"/>
      <c r="BK33" s="328"/>
      <c r="BL33" s="360" t="s">
        <v>407</v>
      </c>
      <c r="BM33" s="395" t="s">
        <v>340</v>
      </c>
      <c r="BN33" s="346" t="s">
        <v>300</v>
      </c>
      <c r="BO33" s="328"/>
      <c r="BP33" s="328"/>
      <c r="BQ33" s="328"/>
      <c r="BR33" s="328"/>
      <c r="BS33" s="328"/>
      <c r="BT33" s="328"/>
      <c r="BU33" s="328"/>
      <c r="BV33" s="328"/>
      <c r="BW33" s="401" t="s">
        <v>312</v>
      </c>
      <c r="BX33" s="348"/>
    </row>
    <row r="34" spans="1:79" ht="279.95" customHeight="1" thickBot="1" x14ac:dyDescent="0.35">
      <c r="A34" s="90"/>
      <c r="B34" s="90"/>
      <c r="E34" s="446"/>
      <c r="F34" s="447"/>
      <c r="G34" s="448"/>
      <c r="H34" s="433"/>
      <c r="I34" s="434"/>
      <c r="J34" s="433"/>
      <c r="K34" s="434"/>
      <c r="L34" s="435"/>
      <c r="M34" s="435"/>
      <c r="N34" s="81"/>
      <c r="O34" s="491"/>
      <c r="P34" s="492"/>
      <c r="Q34" s="492"/>
      <c r="R34" s="492"/>
      <c r="S34" s="492"/>
      <c r="T34" s="492"/>
      <c r="U34" s="493"/>
      <c r="V34" s="127"/>
      <c r="W34" s="87"/>
      <c r="X34" s="42"/>
      <c r="Y34" s="42"/>
      <c r="Z34" s="128"/>
      <c r="AA34" s="111"/>
      <c r="AB34" s="111"/>
      <c r="AC34" s="87"/>
      <c r="AD34" s="42"/>
      <c r="AJ34" s="352"/>
      <c r="AK34" s="327"/>
      <c r="AL34" s="327"/>
      <c r="AM34" s="327"/>
      <c r="AN34" s="327"/>
      <c r="AO34" s="327"/>
      <c r="AP34" s="327"/>
      <c r="AQ34" s="327"/>
      <c r="AR34" s="327"/>
      <c r="AS34" s="395"/>
      <c r="AT34" s="352"/>
      <c r="AU34" s="327"/>
      <c r="AV34" s="327"/>
      <c r="AW34" s="327"/>
      <c r="AX34" s="327"/>
      <c r="AY34" s="327"/>
      <c r="AZ34" s="327"/>
      <c r="BA34" s="327"/>
      <c r="BB34" s="335" t="s">
        <v>493</v>
      </c>
      <c r="BC34" s="395"/>
      <c r="BD34" s="352"/>
      <c r="BE34" s="335" t="s">
        <v>448</v>
      </c>
      <c r="BF34" s="359" t="s">
        <v>446</v>
      </c>
      <c r="BG34" s="327"/>
      <c r="BH34" s="359" t="s">
        <v>441</v>
      </c>
      <c r="BI34" s="359" t="s">
        <v>218</v>
      </c>
      <c r="BJ34" s="359" t="s">
        <v>447</v>
      </c>
      <c r="BK34" s="359" t="s">
        <v>219</v>
      </c>
      <c r="BL34" s="359" t="s">
        <v>130</v>
      </c>
      <c r="BM34" s="395"/>
      <c r="BN34" s="346"/>
      <c r="BO34" s="320" t="s">
        <v>75</v>
      </c>
      <c r="BP34" s="335" t="s">
        <v>589</v>
      </c>
      <c r="BQ34" s="327"/>
      <c r="BR34" s="333" t="s">
        <v>646</v>
      </c>
      <c r="BS34" s="362" t="s">
        <v>220</v>
      </c>
      <c r="BT34" s="320" t="s">
        <v>76</v>
      </c>
      <c r="BU34" s="320" t="s">
        <v>77</v>
      </c>
      <c r="BV34" s="362" t="s">
        <v>221</v>
      </c>
      <c r="BW34" s="401"/>
      <c r="BX34" s="348"/>
    </row>
    <row r="35" spans="1:79" ht="279.95" customHeight="1" x14ac:dyDescent="0.3">
      <c r="A35" s="90"/>
      <c r="B35" s="90"/>
      <c r="E35" s="446"/>
      <c r="F35" s="447"/>
      <c r="G35" s="448"/>
      <c r="H35" s="433"/>
      <c r="I35" s="434"/>
      <c r="J35" s="433"/>
      <c r="K35" s="434"/>
      <c r="L35" s="435"/>
      <c r="M35" s="435"/>
      <c r="N35" s="81"/>
      <c r="O35" s="491"/>
      <c r="P35" s="492"/>
      <c r="Q35" s="492"/>
      <c r="R35" s="492"/>
      <c r="S35" s="492"/>
      <c r="T35" s="492"/>
      <c r="U35" s="493"/>
      <c r="V35" s="127"/>
      <c r="W35" s="87"/>
      <c r="X35" s="42"/>
      <c r="Y35" s="42"/>
      <c r="Z35" s="128"/>
      <c r="AA35" s="97"/>
      <c r="AB35" s="97"/>
      <c r="AC35" s="97"/>
      <c r="AD35" s="42"/>
      <c r="AI35" s="42"/>
      <c r="AJ35" s="351" t="s">
        <v>300</v>
      </c>
      <c r="AK35" s="312"/>
      <c r="AL35" s="312"/>
      <c r="AM35" s="312"/>
      <c r="AN35" s="312"/>
      <c r="AO35" s="312"/>
      <c r="AP35" s="312"/>
      <c r="AQ35" s="312"/>
      <c r="AR35" s="312"/>
      <c r="AS35" s="394" t="s">
        <v>545</v>
      </c>
      <c r="AT35" s="351" t="s">
        <v>300</v>
      </c>
      <c r="AU35" s="312"/>
      <c r="AV35" s="312"/>
      <c r="AW35" s="312"/>
      <c r="AX35" s="312"/>
      <c r="AY35" s="312"/>
      <c r="AZ35" s="312"/>
      <c r="BA35" s="312"/>
      <c r="BB35" s="312"/>
      <c r="BC35" s="394" t="s">
        <v>367</v>
      </c>
      <c r="BD35" s="351" t="s">
        <v>300</v>
      </c>
      <c r="BE35" s="371" t="s">
        <v>132</v>
      </c>
      <c r="BF35" s="360" t="s">
        <v>449</v>
      </c>
      <c r="BG35" s="312"/>
      <c r="BH35" s="312"/>
      <c r="BJ35" s="312"/>
      <c r="BL35" s="312"/>
      <c r="BM35" s="394" t="s">
        <v>341</v>
      </c>
      <c r="BN35" s="345" t="s">
        <v>300</v>
      </c>
      <c r="BO35" s="312"/>
      <c r="BP35" s="312"/>
      <c r="BQ35" s="312"/>
      <c r="BR35" s="312"/>
      <c r="BS35" s="312"/>
      <c r="BT35" s="312"/>
      <c r="BU35" s="312"/>
      <c r="BV35" s="312"/>
      <c r="BW35" s="400" t="s">
        <v>313</v>
      </c>
      <c r="BX35" s="348"/>
    </row>
    <row r="36" spans="1:79" ht="279.95" customHeight="1" thickBot="1" x14ac:dyDescent="0.35">
      <c r="A36" s="42"/>
      <c r="B36" s="97"/>
      <c r="E36" s="446"/>
      <c r="F36" s="447"/>
      <c r="G36" s="448"/>
      <c r="H36" s="433"/>
      <c r="I36" s="434"/>
      <c r="J36" s="433"/>
      <c r="K36" s="434"/>
      <c r="L36" s="435"/>
      <c r="M36" s="435"/>
      <c r="N36" s="81"/>
      <c r="O36" s="491"/>
      <c r="P36" s="492"/>
      <c r="Q36" s="492"/>
      <c r="R36" s="492"/>
      <c r="S36" s="492"/>
      <c r="T36" s="492"/>
      <c r="U36" s="493"/>
      <c r="V36" s="127"/>
      <c r="W36" s="86"/>
      <c r="X36" s="86"/>
      <c r="Z36" s="130"/>
      <c r="AA36" s="101"/>
      <c r="AB36" s="114"/>
      <c r="AC36" s="101"/>
      <c r="AD36" s="114"/>
      <c r="AE36" s="42"/>
      <c r="AF36" s="90"/>
      <c r="AG36" s="114"/>
      <c r="AH36" s="108"/>
      <c r="AI36" s="42"/>
      <c r="AJ36" s="351"/>
      <c r="AK36" s="313"/>
      <c r="AL36" s="313"/>
      <c r="AM36" s="313"/>
      <c r="AN36" s="313"/>
      <c r="AO36" s="313"/>
      <c r="AP36" s="313"/>
      <c r="AQ36" s="313"/>
      <c r="AR36" s="313"/>
      <c r="AS36" s="394"/>
      <c r="AT36" s="351"/>
      <c r="AU36" s="313"/>
      <c r="AV36" s="313"/>
      <c r="AW36" s="313"/>
      <c r="AX36" s="313"/>
      <c r="AY36" s="313"/>
      <c r="AZ36" s="313"/>
      <c r="BA36" s="313"/>
      <c r="BB36" s="335" t="s">
        <v>454</v>
      </c>
      <c r="BC36" s="394"/>
      <c r="BD36" s="351"/>
      <c r="BE36" s="359" t="s">
        <v>455</v>
      </c>
      <c r="BF36" s="335" t="s">
        <v>134</v>
      </c>
      <c r="BH36" s="359" t="s">
        <v>135</v>
      </c>
      <c r="BI36" s="335" t="s">
        <v>136</v>
      </c>
      <c r="BJ36" s="359" t="s">
        <v>226</v>
      </c>
      <c r="BK36" s="335" t="s">
        <v>137</v>
      </c>
      <c r="BL36" s="320" t="s">
        <v>138</v>
      </c>
      <c r="BM36" s="394"/>
      <c r="BN36" s="345"/>
      <c r="BO36" s="362" t="s">
        <v>78</v>
      </c>
      <c r="BP36" s="359" t="s">
        <v>456</v>
      </c>
      <c r="BQ36" s="313"/>
      <c r="BR36" s="359" t="s">
        <v>457</v>
      </c>
      <c r="BS36" s="320" t="s">
        <v>227</v>
      </c>
      <c r="BT36" s="362" t="s">
        <v>79</v>
      </c>
      <c r="BU36" s="362" t="s">
        <v>228</v>
      </c>
      <c r="BV36" s="362" t="s">
        <v>80</v>
      </c>
      <c r="BW36" s="400"/>
      <c r="BX36" s="348"/>
      <c r="CA36" s="6" t="s">
        <v>14</v>
      </c>
    </row>
    <row r="37" spans="1:79" ht="279.95" customHeight="1" thickBot="1" x14ac:dyDescent="0.35">
      <c r="A37" s="42"/>
      <c r="B37" s="97"/>
      <c r="E37" s="446"/>
      <c r="F37" s="447"/>
      <c r="G37" s="448"/>
      <c r="H37" s="433"/>
      <c r="I37" s="434"/>
      <c r="J37" s="433"/>
      <c r="K37" s="434"/>
      <c r="L37" s="435"/>
      <c r="M37" s="435"/>
      <c r="N37" s="81"/>
      <c r="O37" s="491"/>
      <c r="P37" s="492"/>
      <c r="Q37" s="492"/>
      <c r="R37" s="492"/>
      <c r="S37" s="492"/>
      <c r="T37" s="492"/>
      <c r="U37" s="493"/>
      <c r="V37" s="97"/>
      <c r="W37" s="86"/>
      <c r="X37" s="86"/>
      <c r="Z37" s="130"/>
      <c r="AA37" s="101"/>
      <c r="AB37" s="114"/>
      <c r="AC37" s="101"/>
      <c r="AD37" s="114"/>
      <c r="AE37" s="70"/>
      <c r="AF37" s="42"/>
      <c r="AG37" s="116"/>
      <c r="AH37" s="108"/>
      <c r="AI37" s="42"/>
      <c r="AJ37" s="353"/>
      <c r="AK37" s="338" t="s">
        <v>57</v>
      </c>
      <c r="AL37" s="339"/>
      <c r="AM37" s="339"/>
      <c r="AN37" s="339"/>
      <c r="AO37" s="339"/>
      <c r="AP37" s="339"/>
      <c r="AQ37" s="339"/>
      <c r="AR37" s="340"/>
      <c r="AS37" s="341" t="s">
        <v>546</v>
      </c>
      <c r="AT37" s="353"/>
      <c r="AU37" s="329" t="s">
        <v>57</v>
      </c>
      <c r="AV37" s="330"/>
      <c r="AW37" s="330"/>
      <c r="AX37" s="330"/>
      <c r="AY37" s="330"/>
      <c r="AZ37" s="330"/>
      <c r="BA37" s="330"/>
      <c r="BB37" s="331"/>
      <c r="BC37" s="332" t="s">
        <v>368</v>
      </c>
      <c r="BD37" s="353"/>
      <c r="BE37" s="396" t="s">
        <v>57</v>
      </c>
      <c r="BF37" s="397"/>
      <c r="BG37" s="397"/>
      <c r="BH37" s="397"/>
      <c r="BI37" s="397"/>
      <c r="BJ37" s="397"/>
      <c r="BK37" s="397"/>
      <c r="BL37" s="398"/>
      <c r="BM37" s="332" t="s">
        <v>342</v>
      </c>
      <c r="BN37" s="347"/>
      <c r="BO37" s="396" t="s">
        <v>58</v>
      </c>
      <c r="BP37" s="397"/>
      <c r="BQ37" s="397"/>
      <c r="BR37" s="397"/>
      <c r="BS37" s="397"/>
      <c r="BT37" s="397"/>
      <c r="BU37" s="397"/>
      <c r="BV37" s="398"/>
      <c r="BW37" s="343" t="s">
        <v>314</v>
      </c>
      <c r="BX37" s="348"/>
    </row>
    <row r="38" spans="1:79" ht="279.95" customHeight="1" thickBot="1" x14ac:dyDescent="0.35">
      <c r="A38" s="42"/>
      <c r="B38" s="97"/>
      <c r="E38" s="449"/>
      <c r="F38" s="450"/>
      <c r="G38" s="451"/>
      <c r="H38" s="433"/>
      <c r="I38" s="434"/>
      <c r="J38" s="433"/>
      <c r="K38" s="434"/>
      <c r="L38" s="435"/>
      <c r="M38" s="435"/>
      <c r="N38" s="81"/>
      <c r="O38" s="491"/>
      <c r="P38" s="492"/>
      <c r="Q38" s="492"/>
      <c r="R38" s="492"/>
      <c r="S38" s="492"/>
      <c r="T38" s="492"/>
      <c r="U38" s="493"/>
      <c r="V38" s="97"/>
      <c r="W38" s="86"/>
      <c r="X38" s="86"/>
      <c r="Y38" s="132"/>
      <c r="Z38" s="130"/>
      <c r="AA38" s="101"/>
      <c r="AB38" s="101"/>
      <c r="AC38" s="101"/>
      <c r="AD38" s="42"/>
      <c r="AE38" s="42"/>
      <c r="AF38" s="42"/>
      <c r="AG38" s="102"/>
      <c r="AH38" s="87"/>
      <c r="AI38" s="100"/>
      <c r="AJ38" s="351" t="s">
        <v>300</v>
      </c>
      <c r="AK38" s="312"/>
      <c r="AL38" s="312"/>
      <c r="AM38" s="312"/>
      <c r="AN38" s="312"/>
      <c r="AO38" s="312"/>
      <c r="AP38" s="312"/>
      <c r="AQ38" s="312"/>
      <c r="AR38" s="312"/>
      <c r="AS38" s="394" t="s">
        <v>555</v>
      </c>
      <c r="AT38" s="351" t="s">
        <v>300</v>
      </c>
      <c r="AU38" s="312"/>
      <c r="AV38" s="312"/>
      <c r="AW38" s="312"/>
      <c r="AX38" s="312"/>
      <c r="AY38" s="312"/>
      <c r="AZ38" s="312"/>
      <c r="BA38" s="312"/>
      <c r="BB38" s="312"/>
      <c r="BC38" s="394" t="s">
        <v>369</v>
      </c>
      <c r="BD38" s="351" t="s">
        <v>300</v>
      </c>
      <c r="BE38" s="371" t="s">
        <v>131</v>
      </c>
      <c r="BF38" s="312"/>
      <c r="BG38" s="312"/>
      <c r="BH38" s="312"/>
      <c r="BI38" s="312"/>
      <c r="BJ38" s="371" t="s">
        <v>225</v>
      </c>
      <c r="BK38" s="312"/>
      <c r="BL38" s="312"/>
      <c r="BM38" s="394" t="s">
        <v>343</v>
      </c>
      <c r="BN38" s="345" t="s">
        <v>300</v>
      </c>
      <c r="BO38" s="312"/>
      <c r="BP38" s="312"/>
      <c r="BQ38" s="312"/>
      <c r="BR38" s="312"/>
      <c r="BS38" s="312"/>
      <c r="BT38" s="312"/>
      <c r="BU38" s="312"/>
      <c r="BV38" s="312"/>
      <c r="BW38" s="400" t="s">
        <v>315</v>
      </c>
      <c r="BX38" s="348"/>
    </row>
    <row r="39" spans="1:79" ht="279.95" customHeight="1" thickTop="1" thickBot="1" x14ac:dyDescent="0.35">
      <c r="A39" s="42"/>
      <c r="B39" s="97"/>
      <c r="E39" s="452" t="s">
        <v>35</v>
      </c>
      <c r="F39" s="453"/>
      <c r="G39" s="454"/>
      <c r="H39" s="433"/>
      <c r="I39" s="434"/>
      <c r="J39" s="433"/>
      <c r="K39" s="434"/>
      <c r="L39" s="435"/>
      <c r="M39" s="435"/>
      <c r="N39" s="133"/>
      <c r="O39" s="491"/>
      <c r="P39" s="492"/>
      <c r="Q39" s="492"/>
      <c r="R39" s="492"/>
      <c r="S39" s="492"/>
      <c r="T39" s="492"/>
      <c r="U39" s="493"/>
      <c r="V39" s="97"/>
      <c r="W39" s="86"/>
      <c r="X39" s="86"/>
      <c r="Y39" s="132"/>
      <c r="Z39" s="134"/>
      <c r="AA39" s="101"/>
      <c r="AB39" s="101"/>
      <c r="AC39" s="101"/>
      <c r="AD39" s="42"/>
      <c r="AE39" s="42"/>
      <c r="AF39" s="42"/>
      <c r="AG39" s="102"/>
      <c r="AH39" s="87"/>
      <c r="AI39" s="100"/>
      <c r="AJ39" s="351"/>
      <c r="AK39" s="313"/>
      <c r="AL39" s="313"/>
      <c r="AM39" s="313"/>
      <c r="AN39" s="313"/>
      <c r="AO39" s="313"/>
      <c r="AP39" s="313"/>
      <c r="AQ39" s="313"/>
      <c r="AR39" s="313"/>
      <c r="AS39" s="394"/>
      <c r="AT39" s="351"/>
      <c r="AU39" s="313"/>
      <c r="AV39" s="335" t="s">
        <v>657</v>
      </c>
      <c r="AW39" s="313"/>
      <c r="AX39" s="313"/>
      <c r="AY39" s="313"/>
      <c r="AZ39" s="313"/>
      <c r="BA39" s="335" t="s">
        <v>658</v>
      </c>
      <c r="BB39" s="313"/>
      <c r="BC39" s="394"/>
      <c r="BD39" s="351"/>
      <c r="BE39" s="335" t="s">
        <v>443</v>
      </c>
      <c r="BF39" s="335" t="s">
        <v>471</v>
      </c>
      <c r="BG39" s="313"/>
      <c r="BH39" s="335" t="s">
        <v>459</v>
      </c>
      <c r="BI39" s="335" t="s">
        <v>460</v>
      </c>
      <c r="BJ39" s="335" t="s">
        <v>461</v>
      </c>
      <c r="BK39" s="335" t="s">
        <v>462</v>
      </c>
      <c r="BL39" s="335" t="s">
        <v>463</v>
      </c>
      <c r="BM39" s="394"/>
      <c r="BN39" s="345"/>
      <c r="BO39" s="320" t="s">
        <v>83</v>
      </c>
      <c r="BP39" s="320" t="s">
        <v>572</v>
      </c>
      <c r="BQ39" s="313"/>
      <c r="BR39" s="368" t="s">
        <v>648</v>
      </c>
      <c r="BS39" s="335" t="s">
        <v>649</v>
      </c>
      <c r="BT39" s="368" t="s">
        <v>650</v>
      </c>
      <c r="BU39" s="320" t="s">
        <v>82</v>
      </c>
      <c r="BV39" s="320" t="s">
        <v>232</v>
      </c>
      <c r="BW39" s="400"/>
      <c r="BX39" s="348"/>
    </row>
    <row r="40" spans="1:79" ht="279.95" customHeight="1" thickTop="1" x14ac:dyDescent="0.3">
      <c r="A40" s="42"/>
      <c r="B40" s="97"/>
      <c r="E40" s="446"/>
      <c r="F40" s="447"/>
      <c r="G40" s="448"/>
      <c r="H40" s="433"/>
      <c r="I40" s="434"/>
      <c r="J40" s="433"/>
      <c r="K40" s="434"/>
      <c r="L40" s="435"/>
      <c r="M40" s="435"/>
      <c r="N40" s="81"/>
      <c r="O40" s="491"/>
      <c r="P40" s="492"/>
      <c r="Q40" s="492"/>
      <c r="R40" s="492"/>
      <c r="S40" s="492"/>
      <c r="T40" s="492"/>
      <c r="U40" s="493"/>
      <c r="W40" s="86"/>
      <c r="X40" s="86"/>
      <c r="Y40" s="132"/>
      <c r="Z40" s="135"/>
      <c r="AA40" s="136"/>
      <c r="AB40" s="136"/>
      <c r="AC40" s="136"/>
      <c r="AH40" s="42"/>
      <c r="AI40" s="42"/>
      <c r="AJ40" s="352" t="s">
        <v>300</v>
      </c>
      <c r="AK40" s="328"/>
      <c r="AL40" s="328"/>
      <c r="AM40" s="328"/>
      <c r="AN40" s="328"/>
      <c r="AO40" s="328"/>
      <c r="AP40" s="328"/>
      <c r="AQ40" s="328"/>
      <c r="AR40" s="328"/>
      <c r="AS40" s="395" t="s">
        <v>556</v>
      </c>
      <c r="AT40" s="352" t="s">
        <v>300</v>
      </c>
      <c r="AU40" s="328"/>
      <c r="AV40" s="328"/>
      <c r="AW40" s="328"/>
      <c r="AX40" s="328"/>
      <c r="AY40" s="328"/>
      <c r="AZ40" s="328"/>
      <c r="BA40" s="328"/>
      <c r="BB40" s="328"/>
      <c r="BC40" s="395" t="s">
        <v>370</v>
      </c>
      <c r="BD40" s="352" t="s">
        <v>300</v>
      </c>
      <c r="BE40" s="371" t="s">
        <v>250</v>
      </c>
      <c r="BF40" s="328"/>
      <c r="BG40" s="328"/>
      <c r="BH40" s="328"/>
      <c r="BI40" s="328"/>
      <c r="BJ40" s="328"/>
      <c r="BK40" s="328"/>
      <c r="BL40" s="328"/>
      <c r="BM40" s="395" t="s">
        <v>344</v>
      </c>
      <c r="BN40" s="346" t="s">
        <v>300</v>
      </c>
      <c r="BO40" s="321" t="s">
        <v>84</v>
      </c>
      <c r="BP40" s="328"/>
      <c r="BQ40" s="328"/>
      <c r="BR40" s="328"/>
      <c r="BS40" s="328"/>
      <c r="BT40" s="328"/>
      <c r="BU40" s="328"/>
      <c r="BV40" s="328"/>
      <c r="BW40" s="401" t="s">
        <v>316</v>
      </c>
      <c r="BX40" s="348"/>
    </row>
    <row r="41" spans="1:79" ht="279.95" customHeight="1" thickBot="1" x14ac:dyDescent="0.35">
      <c r="A41" s="42"/>
      <c r="B41" s="97"/>
      <c r="E41" s="449"/>
      <c r="F41" s="450"/>
      <c r="G41" s="451"/>
      <c r="H41" s="433"/>
      <c r="I41" s="434"/>
      <c r="J41" s="433"/>
      <c r="K41" s="434"/>
      <c r="L41" s="435"/>
      <c r="M41" s="435"/>
      <c r="N41" s="81"/>
      <c r="O41" s="491"/>
      <c r="P41" s="492"/>
      <c r="Q41" s="492"/>
      <c r="R41" s="492"/>
      <c r="S41" s="492"/>
      <c r="T41" s="492"/>
      <c r="U41" s="493"/>
      <c r="W41" s="86"/>
      <c r="X41" s="86"/>
      <c r="Z41" s="135"/>
      <c r="AA41" s="136"/>
      <c r="AB41" s="136"/>
      <c r="AC41" s="136"/>
      <c r="AH41" s="90"/>
      <c r="AJ41" s="352"/>
      <c r="AK41" s="327"/>
      <c r="AL41" s="327"/>
      <c r="AM41" s="327"/>
      <c r="AN41" s="327"/>
      <c r="AO41" s="327"/>
      <c r="AP41" s="327"/>
      <c r="AQ41" s="327"/>
      <c r="AR41" s="327"/>
      <c r="AS41" s="395"/>
      <c r="AT41" s="352"/>
      <c r="AU41" s="333" t="s">
        <v>494</v>
      </c>
      <c r="AV41" s="333" t="s">
        <v>495</v>
      </c>
      <c r="AW41" s="361" t="s">
        <v>496</v>
      </c>
      <c r="AX41" s="327"/>
      <c r="AY41" s="361" t="s">
        <v>497</v>
      </c>
      <c r="AZ41" s="361" t="s">
        <v>498</v>
      </c>
      <c r="BA41" s="361" t="s">
        <v>408</v>
      </c>
      <c r="BB41" s="361" t="s">
        <v>458</v>
      </c>
      <c r="BC41" s="395"/>
      <c r="BD41" s="352"/>
      <c r="BE41" s="359" t="s">
        <v>465</v>
      </c>
      <c r="BF41" s="359" t="s">
        <v>466</v>
      </c>
      <c r="BG41" s="327"/>
      <c r="BH41" s="359" t="s">
        <v>467</v>
      </c>
      <c r="BI41" s="359" t="s">
        <v>143</v>
      </c>
      <c r="BJ41" s="359" t="s">
        <v>468</v>
      </c>
      <c r="BK41" s="359" t="s">
        <v>469</v>
      </c>
      <c r="BL41" s="335" t="s">
        <v>233</v>
      </c>
      <c r="BM41" s="395"/>
      <c r="BN41" s="346"/>
      <c r="BO41" s="320" t="s">
        <v>574</v>
      </c>
      <c r="BP41" s="320" t="s">
        <v>573</v>
      </c>
      <c r="BQ41" s="327"/>
      <c r="BR41" s="368" t="s">
        <v>665</v>
      </c>
      <c r="BS41" s="359" t="s">
        <v>230</v>
      </c>
      <c r="BT41" s="387" t="s">
        <v>590</v>
      </c>
      <c r="BU41" s="335" t="s">
        <v>651</v>
      </c>
      <c r="BV41" s="368" t="s">
        <v>652</v>
      </c>
      <c r="BW41" s="401"/>
      <c r="BX41" s="348"/>
    </row>
    <row r="42" spans="1:79" ht="279.95" customHeight="1" x14ac:dyDescent="0.3">
      <c r="A42" s="42"/>
      <c r="B42" s="97"/>
      <c r="E42" s="452" t="s">
        <v>36</v>
      </c>
      <c r="F42" s="453"/>
      <c r="G42" s="454"/>
      <c r="H42" s="433"/>
      <c r="I42" s="434"/>
      <c r="J42" s="433"/>
      <c r="K42" s="434"/>
      <c r="L42" s="435"/>
      <c r="M42" s="435"/>
      <c r="N42" s="81"/>
      <c r="O42" s="491"/>
      <c r="P42" s="492"/>
      <c r="Q42" s="492"/>
      <c r="R42" s="492"/>
      <c r="S42" s="492"/>
      <c r="T42" s="492"/>
      <c r="U42" s="493"/>
      <c r="V42" s="92"/>
      <c r="W42" s="86"/>
      <c r="X42" s="86"/>
      <c r="Z42" s="134"/>
      <c r="AA42" s="136"/>
      <c r="AD42" s="42"/>
      <c r="AE42" s="136"/>
      <c r="AF42" s="136"/>
      <c r="AG42" s="108"/>
      <c r="AH42" s="108"/>
      <c r="AJ42" s="351" t="s">
        <v>300</v>
      </c>
      <c r="AK42" s="312"/>
      <c r="AL42" s="312"/>
      <c r="AM42" s="312"/>
      <c r="AN42" s="312"/>
      <c r="AO42" s="312"/>
      <c r="AP42" s="312"/>
      <c r="AQ42" s="312"/>
      <c r="AR42" s="312"/>
      <c r="AS42" s="394" t="s">
        <v>557</v>
      </c>
      <c r="AT42" s="351" t="s">
        <v>300</v>
      </c>
      <c r="AU42" s="312"/>
      <c r="AV42" s="312"/>
      <c r="AW42" s="312"/>
      <c r="AX42" s="312"/>
      <c r="AY42" s="312"/>
      <c r="AZ42" s="312"/>
      <c r="BA42" s="312"/>
      <c r="BB42" s="312"/>
      <c r="BC42" s="394" t="s">
        <v>371</v>
      </c>
      <c r="BD42" s="351" t="s">
        <v>300</v>
      </c>
      <c r="BE42" s="312"/>
      <c r="BF42" s="312"/>
      <c r="BG42" s="312"/>
      <c r="BH42" s="312"/>
      <c r="BI42" s="312"/>
      <c r="BJ42" s="312"/>
      <c r="BK42" s="334" t="s">
        <v>222</v>
      </c>
      <c r="BL42" s="312"/>
      <c r="BM42" s="394" t="s">
        <v>345</v>
      </c>
      <c r="BN42" s="345" t="s">
        <v>300</v>
      </c>
      <c r="BO42" s="312"/>
      <c r="BP42" s="321" t="s">
        <v>85</v>
      </c>
      <c r="BQ42" s="312"/>
      <c r="BR42" s="312"/>
      <c r="BS42" s="312"/>
      <c r="BT42" s="312"/>
      <c r="BU42" s="312"/>
      <c r="BV42" s="312"/>
      <c r="BW42" s="400" t="s">
        <v>317</v>
      </c>
      <c r="BX42" s="348"/>
    </row>
    <row r="43" spans="1:79" s="143" customFormat="1" ht="279.95" customHeight="1" thickBot="1" x14ac:dyDescent="0.35">
      <c r="A43" s="42"/>
      <c r="B43" s="97"/>
      <c r="C43" s="6"/>
      <c r="D43" s="6"/>
      <c r="E43" s="449"/>
      <c r="F43" s="450"/>
      <c r="G43" s="451"/>
      <c r="H43" s="433"/>
      <c r="I43" s="434"/>
      <c r="J43" s="433"/>
      <c r="K43" s="434"/>
      <c r="L43" s="435"/>
      <c r="M43" s="435"/>
      <c r="N43" s="81"/>
      <c r="O43" s="491"/>
      <c r="P43" s="492"/>
      <c r="Q43" s="492"/>
      <c r="R43" s="492"/>
      <c r="S43" s="492"/>
      <c r="T43" s="492"/>
      <c r="U43" s="493"/>
      <c r="V43" s="138"/>
      <c r="W43" s="86"/>
      <c r="X43" s="86"/>
      <c r="Y43" s="139"/>
      <c r="Z43" s="6"/>
      <c r="AA43" s="140"/>
      <c r="AB43" s="137"/>
      <c r="AC43" s="6"/>
      <c r="AD43" s="42"/>
      <c r="AE43" s="141"/>
      <c r="AF43" s="141"/>
      <c r="AG43" s="108"/>
      <c r="AH43" s="108"/>
      <c r="AI43" s="42"/>
      <c r="AJ43" s="351"/>
      <c r="AK43" s="313"/>
      <c r="AL43" s="313"/>
      <c r="AM43" s="313"/>
      <c r="AN43" s="313"/>
      <c r="AO43" s="313"/>
      <c r="AP43" s="313"/>
      <c r="AQ43" s="313"/>
      <c r="AR43" s="313"/>
      <c r="AS43" s="394"/>
      <c r="AT43" s="351"/>
      <c r="AU43" s="333" t="s">
        <v>499</v>
      </c>
      <c r="AV43" s="333" t="s">
        <v>500</v>
      </c>
      <c r="AW43" s="333" t="s">
        <v>501</v>
      </c>
      <c r="AX43" s="313"/>
      <c r="AY43" s="361" t="s">
        <v>502</v>
      </c>
      <c r="AZ43" s="335" t="s">
        <v>503</v>
      </c>
      <c r="BA43" s="361" t="s">
        <v>504</v>
      </c>
      <c r="BB43" s="361" t="s">
        <v>505</v>
      </c>
      <c r="BC43" s="394"/>
      <c r="BD43" s="351"/>
      <c r="BE43" s="359" t="s">
        <v>470</v>
      </c>
      <c r="BF43" s="335" t="s">
        <v>235</v>
      </c>
      <c r="BG43" s="313"/>
      <c r="BH43" s="335" t="s">
        <v>144</v>
      </c>
      <c r="BI43" s="335" t="s">
        <v>145</v>
      </c>
      <c r="BJ43" s="335" t="s">
        <v>140</v>
      </c>
      <c r="BK43" s="335" t="s">
        <v>246</v>
      </c>
      <c r="BL43" s="335" t="s">
        <v>159</v>
      </c>
      <c r="BM43" s="394"/>
      <c r="BN43" s="345"/>
      <c r="BO43" s="320" t="s">
        <v>86</v>
      </c>
      <c r="BP43" s="320" t="s">
        <v>88</v>
      </c>
      <c r="BQ43" s="313"/>
      <c r="BR43" s="368" t="s">
        <v>647</v>
      </c>
      <c r="BS43" s="384" t="s">
        <v>591</v>
      </c>
      <c r="BT43" s="359" t="s">
        <v>234</v>
      </c>
      <c r="BU43" s="368" t="s">
        <v>464</v>
      </c>
      <c r="BV43" s="368" t="s">
        <v>592</v>
      </c>
      <c r="BW43" s="400"/>
      <c r="BX43" s="349"/>
    </row>
    <row r="44" spans="1:79" s="143" customFormat="1" ht="279.95" customHeight="1" thickBot="1" x14ac:dyDescent="0.35">
      <c r="A44" s="42"/>
      <c r="B44" s="90"/>
      <c r="C44" s="6"/>
      <c r="D44" s="6"/>
      <c r="E44" s="449" t="s">
        <v>37</v>
      </c>
      <c r="F44" s="450"/>
      <c r="G44" s="451"/>
      <c r="H44" s="436"/>
      <c r="I44" s="437"/>
      <c r="J44" s="436"/>
      <c r="K44" s="437"/>
      <c r="L44" s="439"/>
      <c r="M44" s="439"/>
      <c r="N44" s="81"/>
      <c r="O44" s="491"/>
      <c r="P44" s="492"/>
      <c r="Q44" s="492"/>
      <c r="R44" s="492"/>
      <c r="S44" s="492"/>
      <c r="T44" s="492"/>
      <c r="U44" s="493"/>
      <c r="V44" s="42"/>
      <c r="W44" s="6"/>
      <c r="X44" s="139"/>
      <c r="Y44" s="139"/>
      <c r="Z44" s="6"/>
      <c r="AA44" s="144"/>
      <c r="AB44" s="101"/>
      <c r="AC44" s="101"/>
      <c r="AD44" s="42"/>
      <c r="AE44" s="42"/>
      <c r="AF44" s="42"/>
      <c r="AG44" s="108"/>
      <c r="AH44" s="108"/>
      <c r="AI44" s="42"/>
      <c r="AJ44" s="352" t="s">
        <v>300</v>
      </c>
      <c r="AK44" s="328"/>
      <c r="AL44" s="328"/>
      <c r="AM44" s="328"/>
      <c r="AN44" s="328"/>
      <c r="AO44" s="328"/>
      <c r="AP44" s="328"/>
      <c r="AQ44" s="328"/>
      <c r="AR44" s="328"/>
      <c r="AS44" s="395" t="s">
        <v>558</v>
      </c>
      <c r="AT44" s="352" t="s">
        <v>300</v>
      </c>
      <c r="AU44" s="328"/>
      <c r="AV44" s="328"/>
      <c r="AW44" s="328"/>
      <c r="AX44" s="328"/>
      <c r="AY44" s="328"/>
      <c r="AZ44" s="328"/>
      <c r="BA44" s="328"/>
      <c r="BB44" s="328"/>
      <c r="BC44" s="395" t="s">
        <v>372</v>
      </c>
      <c r="BD44" s="352" t="s">
        <v>300</v>
      </c>
      <c r="BE44" s="328"/>
      <c r="BF44" s="328"/>
      <c r="BG44" s="328"/>
      <c r="BH44" s="328"/>
      <c r="BI44" s="328"/>
      <c r="BJ44" s="328"/>
      <c r="BK44" s="328"/>
      <c r="BL44" s="328"/>
      <c r="BM44" s="395" t="s">
        <v>346</v>
      </c>
      <c r="BN44" s="346" t="s">
        <v>300</v>
      </c>
      <c r="BO44" s="328"/>
      <c r="BP44" s="328"/>
      <c r="BQ44" s="328"/>
      <c r="BR44" s="328"/>
      <c r="BS44" s="328"/>
      <c r="BT44" s="328"/>
      <c r="BU44" s="328"/>
      <c r="BV44" s="328"/>
      <c r="BW44" s="401" t="s">
        <v>318</v>
      </c>
      <c r="BX44" s="349"/>
    </row>
    <row r="45" spans="1:79" s="143" customFormat="1" ht="279.95" customHeight="1" thickTop="1" thickBot="1" x14ac:dyDescent="0.35">
      <c r="A45" s="42"/>
      <c r="B45" s="90"/>
      <c r="E45" s="494" t="s">
        <v>38</v>
      </c>
      <c r="F45" s="494"/>
      <c r="G45" s="494"/>
      <c r="H45" s="494"/>
      <c r="I45" s="494"/>
      <c r="J45" s="494"/>
      <c r="K45" s="494"/>
      <c r="L45" s="494"/>
      <c r="M45" s="494"/>
      <c r="N45" s="145"/>
      <c r="O45" s="495" t="s">
        <v>38</v>
      </c>
      <c r="P45" s="496"/>
      <c r="Q45" s="496"/>
      <c r="R45" s="496"/>
      <c r="S45" s="496"/>
      <c r="T45" s="496"/>
      <c r="U45" s="496"/>
      <c r="V45" s="146"/>
      <c r="W45" s="147"/>
      <c r="X45" s="147"/>
      <c r="Y45" s="147"/>
      <c r="Z45" s="148"/>
      <c r="AA45" s="497"/>
      <c r="AB45" s="498"/>
      <c r="AC45" s="498"/>
      <c r="AD45" s="499"/>
      <c r="AE45" s="499"/>
      <c r="AF45" s="499"/>
      <c r="AG45" s="149"/>
      <c r="AH45" s="149"/>
      <c r="AI45" s="150"/>
      <c r="AJ45" s="352"/>
      <c r="AK45" s="327"/>
      <c r="AL45" s="327"/>
      <c r="AM45" s="327"/>
      <c r="AN45" s="327"/>
      <c r="AO45" s="327"/>
      <c r="AP45" s="327"/>
      <c r="AQ45" s="327"/>
      <c r="AR45" s="327"/>
      <c r="AS45" s="395"/>
      <c r="AT45" s="352"/>
      <c r="AU45" s="333" t="s">
        <v>506</v>
      </c>
      <c r="AV45" s="333" t="s">
        <v>507</v>
      </c>
      <c r="AW45" s="361" t="s">
        <v>508</v>
      </c>
      <c r="AX45" s="327"/>
      <c r="AY45" s="361" t="s">
        <v>509</v>
      </c>
      <c r="AZ45" s="333" t="s">
        <v>510</v>
      </c>
      <c r="BA45" s="361" t="s">
        <v>511</v>
      </c>
      <c r="BB45" s="333" t="s">
        <v>512</v>
      </c>
      <c r="BC45" s="395"/>
      <c r="BD45" s="352"/>
      <c r="BE45" s="335" t="s">
        <v>238</v>
      </c>
      <c r="BF45" s="335" t="s">
        <v>146</v>
      </c>
      <c r="BG45" s="385"/>
      <c r="BH45" s="335" t="s">
        <v>142</v>
      </c>
      <c r="BI45" s="335" t="s">
        <v>151</v>
      </c>
      <c r="BJ45" s="335" t="s">
        <v>163</v>
      </c>
      <c r="BK45" s="335" t="s">
        <v>156</v>
      </c>
      <c r="BL45" s="335" t="s">
        <v>147</v>
      </c>
      <c r="BM45" s="395"/>
      <c r="BN45" s="346"/>
      <c r="BO45" s="335" t="s">
        <v>474</v>
      </c>
      <c r="BP45" s="320" t="s">
        <v>87</v>
      </c>
      <c r="BQ45" s="327"/>
      <c r="BR45" s="335" t="s">
        <v>631</v>
      </c>
      <c r="BS45" s="359" t="s">
        <v>237</v>
      </c>
      <c r="BT45" s="335" t="s">
        <v>472</v>
      </c>
      <c r="BU45" s="335" t="s">
        <v>593</v>
      </c>
      <c r="BV45" s="375"/>
      <c r="BW45" s="401"/>
      <c r="BX45" s="349"/>
    </row>
    <row r="46" spans="1:79" s="143" customFormat="1" ht="279.95" customHeight="1" thickTop="1" x14ac:dyDescent="0.3">
      <c r="A46" s="151"/>
      <c r="B46" s="151"/>
      <c r="C46" s="152"/>
      <c r="E46" s="71"/>
      <c r="F46" s="72"/>
      <c r="G46" s="153"/>
      <c r="H46" s="72" t="s">
        <v>39</v>
      </c>
      <c r="I46" s="72"/>
      <c r="J46" s="71" t="s">
        <v>40</v>
      </c>
      <c r="K46" s="153"/>
      <c r="L46" s="72" t="s">
        <v>41</v>
      </c>
      <c r="M46" s="72"/>
      <c r="N46" s="154"/>
      <c r="O46" s="500"/>
      <c r="P46" s="53"/>
      <c r="Q46" s="53"/>
      <c r="R46" s="53"/>
      <c r="S46" s="53"/>
      <c r="V46" s="82"/>
      <c r="W46" s="53"/>
      <c r="X46" s="53"/>
      <c r="Y46" s="53"/>
      <c r="Z46" s="83"/>
      <c r="AA46" s="155"/>
      <c r="AB46" s="156"/>
      <c r="AC46" s="156"/>
      <c r="AD46" s="156"/>
      <c r="AE46" s="156"/>
      <c r="AF46" s="157"/>
      <c r="AG46" s="108"/>
      <c r="AH46" s="108"/>
      <c r="AI46" s="111"/>
      <c r="AJ46" s="351" t="s">
        <v>300</v>
      </c>
      <c r="AK46" s="312"/>
      <c r="AL46" s="312"/>
      <c r="AM46" s="312"/>
      <c r="AN46" s="312"/>
      <c r="AO46" s="312"/>
      <c r="AP46" s="312"/>
      <c r="AQ46" s="312"/>
      <c r="AR46" s="312"/>
      <c r="AS46" s="394" t="s">
        <v>559</v>
      </c>
      <c r="AT46" s="351" t="s">
        <v>300</v>
      </c>
      <c r="AU46" s="312"/>
      <c r="AV46" s="312"/>
      <c r="AW46" s="312"/>
      <c r="AX46" s="312"/>
      <c r="AY46" s="312"/>
      <c r="AZ46" s="312"/>
      <c r="BA46" s="312"/>
      <c r="BB46" s="312"/>
      <c r="BC46" s="394" t="s">
        <v>373</v>
      </c>
      <c r="BD46" s="351" t="s">
        <v>300</v>
      </c>
      <c r="BE46" s="312"/>
      <c r="BF46" s="312"/>
      <c r="BG46" s="312"/>
      <c r="BH46" s="312"/>
      <c r="BI46" s="312"/>
      <c r="BJ46" s="312"/>
      <c r="BK46" s="312"/>
      <c r="BL46" s="321" t="s">
        <v>528</v>
      </c>
      <c r="BM46" s="394" t="s">
        <v>347</v>
      </c>
      <c r="BN46" s="345" t="s">
        <v>300</v>
      </c>
      <c r="BO46" s="312"/>
      <c r="BP46" s="312"/>
      <c r="BQ46" s="312"/>
      <c r="BR46" s="312"/>
      <c r="BS46" s="312"/>
      <c r="BT46" s="312"/>
      <c r="BU46" s="334" t="s">
        <v>482</v>
      </c>
      <c r="BV46" s="371" t="s">
        <v>403</v>
      </c>
      <c r="BW46" s="400" t="s">
        <v>319</v>
      </c>
      <c r="BX46" s="349"/>
    </row>
    <row r="47" spans="1:79" s="143" customFormat="1" ht="279.95" customHeight="1" thickBot="1" x14ac:dyDescent="0.35">
      <c r="A47" s="151"/>
      <c r="B47" s="151"/>
      <c r="C47" s="152"/>
      <c r="E47" s="78"/>
      <c r="F47" s="79"/>
      <c r="G47" s="158"/>
      <c r="H47" s="79"/>
      <c r="I47" s="79"/>
      <c r="J47" s="78"/>
      <c r="K47" s="158"/>
      <c r="L47" s="79"/>
      <c r="M47" s="79"/>
      <c r="N47" s="154"/>
      <c r="O47" s="501"/>
      <c r="P47" s="53"/>
      <c r="Q47" s="53"/>
      <c r="R47" s="53"/>
      <c r="S47" s="53"/>
      <c r="T47" s="160"/>
      <c r="V47" s="161"/>
      <c r="W47" s="53"/>
      <c r="X47" s="53"/>
      <c r="Y47" s="53"/>
      <c r="Z47" s="83"/>
      <c r="AA47" s="162"/>
      <c r="AB47" s="163"/>
      <c r="AC47" s="163"/>
      <c r="AD47" s="163"/>
      <c r="AE47" s="163"/>
      <c r="AF47" s="164"/>
      <c r="AG47" s="167"/>
      <c r="AH47" s="167"/>
      <c r="AI47" s="167"/>
      <c r="AJ47" s="351"/>
      <c r="AK47" s="313"/>
      <c r="AL47" s="313"/>
      <c r="AM47" s="313"/>
      <c r="AN47" s="313"/>
      <c r="AO47" s="313"/>
      <c r="AP47" s="313"/>
      <c r="AQ47" s="313"/>
      <c r="AR47" s="313"/>
      <c r="AS47" s="394"/>
      <c r="AT47" s="351"/>
      <c r="AU47" s="320" t="s">
        <v>279</v>
      </c>
      <c r="AV47" s="320" t="s">
        <v>148</v>
      </c>
      <c r="AW47" s="361" t="s">
        <v>513</v>
      </c>
      <c r="AX47" s="313"/>
      <c r="AY47" s="361" t="s">
        <v>514</v>
      </c>
      <c r="AZ47" s="333" t="s">
        <v>515</v>
      </c>
      <c r="BA47" s="333" t="s">
        <v>516</v>
      </c>
      <c r="BB47" s="333" t="s">
        <v>517</v>
      </c>
      <c r="BC47" s="394"/>
      <c r="BD47" s="351"/>
      <c r="BE47" s="335" t="s">
        <v>149</v>
      </c>
      <c r="BF47" s="335" t="s">
        <v>150</v>
      </c>
      <c r="BH47" s="359" t="s">
        <v>475</v>
      </c>
      <c r="BI47" s="335" t="s">
        <v>595</v>
      </c>
      <c r="BJ47" s="335" t="s">
        <v>450</v>
      </c>
      <c r="BK47" s="313"/>
      <c r="BL47" s="320" t="s">
        <v>242</v>
      </c>
      <c r="BM47" s="394"/>
      <c r="BN47" s="345"/>
      <c r="BO47" s="335" t="s">
        <v>480</v>
      </c>
      <c r="BP47" s="335" t="s">
        <v>481</v>
      </c>
      <c r="BQ47" s="313"/>
      <c r="BR47" s="335" t="s">
        <v>664</v>
      </c>
      <c r="BS47" s="335" t="s">
        <v>473</v>
      </c>
      <c r="BT47" s="335" t="s">
        <v>476</v>
      </c>
      <c r="BU47" s="335" t="s">
        <v>477</v>
      </c>
      <c r="BV47" s="359" t="s">
        <v>290</v>
      </c>
      <c r="BW47" s="400"/>
      <c r="BX47" s="349"/>
    </row>
    <row r="48" spans="1:79" s="143" customFormat="1" ht="279.95" customHeight="1" thickBot="1" x14ac:dyDescent="0.35">
      <c r="A48" s="151"/>
      <c r="B48" s="151"/>
      <c r="C48" s="152"/>
      <c r="E48" s="78"/>
      <c r="F48" s="79"/>
      <c r="G48" s="158"/>
      <c r="H48" s="79"/>
      <c r="I48" s="79"/>
      <c r="J48" s="78"/>
      <c r="K48" s="158"/>
      <c r="L48" s="79"/>
      <c r="M48" s="79"/>
      <c r="N48" s="154"/>
      <c r="O48" s="82"/>
      <c r="P48" s="53"/>
      <c r="Q48" s="53"/>
      <c r="R48" s="53"/>
      <c r="S48" s="53"/>
      <c r="V48" s="161"/>
      <c r="W48" s="111"/>
      <c r="X48" s="53"/>
      <c r="Y48" s="53"/>
      <c r="Z48" s="166"/>
      <c r="AA48" s="162"/>
      <c r="AB48" s="163"/>
      <c r="AC48" s="163"/>
      <c r="AD48" s="163"/>
      <c r="AE48" s="163"/>
      <c r="AF48" s="167"/>
      <c r="AG48" s="167"/>
      <c r="AH48" s="167"/>
      <c r="AI48" s="167"/>
      <c r="AJ48" s="352" t="s">
        <v>300</v>
      </c>
      <c r="AK48" s="328"/>
      <c r="AL48" s="328"/>
      <c r="AM48" s="328"/>
      <c r="AN48" s="328"/>
      <c r="AO48" s="328"/>
      <c r="AP48" s="328"/>
      <c r="AQ48" s="328"/>
      <c r="AR48" s="328"/>
      <c r="AS48" s="395" t="s">
        <v>560</v>
      </c>
      <c r="AT48" s="352" t="s">
        <v>300</v>
      </c>
      <c r="AU48" s="328"/>
      <c r="AV48" s="328"/>
      <c r="AW48" s="328"/>
      <c r="AX48" s="328"/>
      <c r="AY48" s="328"/>
      <c r="AZ48" s="328"/>
      <c r="BA48" s="328"/>
      <c r="BB48" s="328"/>
      <c r="BC48" s="395" t="s">
        <v>374</v>
      </c>
      <c r="BD48" s="352" t="s">
        <v>300</v>
      </c>
      <c r="BE48" s="328"/>
      <c r="BF48" s="328"/>
      <c r="BG48" s="328"/>
      <c r="BH48" s="328"/>
      <c r="BI48" s="328"/>
      <c r="BJ48" s="321" t="s">
        <v>243</v>
      </c>
      <c r="BK48" s="328"/>
      <c r="BL48" s="328"/>
      <c r="BM48" s="395" t="s">
        <v>348</v>
      </c>
      <c r="BN48" s="346" t="s">
        <v>300</v>
      </c>
      <c r="BO48" s="328"/>
      <c r="BP48" s="328"/>
      <c r="BQ48" s="328"/>
      <c r="BR48" s="328"/>
      <c r="BS48" s="328"/>
      <c r="BT48" s="321" t="s">
        <v>100</v>
      </c>
      <c r="BU48" s="321" t="s">
        <v>405</v>
      </c>
      <c r="BV48" s="321" t="s">
        <v>244</v>
      </c>
      <c r="BW48" s="401" t="s">
        <v>320</v>
      </c>
      <c r="BX48" s="349"/>
    </row>
    <row r="49" spans="1:86" s="143" customFormat="1" ht="279.95" customHeight="1" thickBot="1" x14ac:dyDescent="0.35">
      <c r="A49" s="151"/>
      <c r="B49" s="151"/>
      <c r="E49" s="106"/>
      <c r="F49" s="106"/>
      <c r="G49" s="169"/>
      <c r="H49" s="79"/>
      <c r="I49" s="79"/>
      <c r="J49" s="78"/>
      <c r="K49" s="158"/>
      <c r="L49" s="79"/>
      <c r="M49" s="79"/>
      <c r="N49" s="154"/>
      <c r="O49" s="82"/>
      <c r="P49" s="53"/>
      <c r="Q49" s="53"/>
      <c r="R49" s="53"/>
      <c r="S49" s="53"/>
      <c r="V49" s="161"/>
      <c r="W49" s="111"/>
      <c r="X49" s="53"/>
      <c r="Y49" s="53"/>
      <c r="Z49" s="166"/>
      <c r="AA49" s="170"/>
      <c r="AB49" s="170"/>
      <c r="AC49" s="170"/>
      <c r="AD49" s="171"/>
      <c r="AE49" s="171"/>
      <c r="AF49" s="167"/>
      <c r="AG49" s="167"/>
      <c r="AH49" s="167"/>
      <c r="AI49" s="167"/>
      <c r="AJ49" s="352"/>
      <c r="AK49" s="327"/>
      <c r="AL49" s="327"/>
      <c r="AM49" s="327"/>
      <c r="AN49" s="327"/>
      <c r="AO49" s="327"/>
      <c r="AP49" s="327"/>
      <c r="AQ49" s="327"/>
      <c r="AR49" s="327"/>
      <c r="AS49" s="395"/>
      <c r="AT49" s="352"/>
      <c r="AU49" s="361" t="s">
        <v>518</v>
      </c>
      <c r="AV49" s="361" t="s">
        <v>519</v>
      </c>
      <c r="AW49" s="361" t="s">
        <v>520</v>
      </c>
      <c r="AX49" s="327"/>
      <c r="AY49" s="361" t="s">
        <v>521</v>
      </c>
      <c r="AZ49" s="361" t="s">
        <v>522</v>
      </c>
      <c r="BA49" s="361" t="s">
        <v>605</v>
      </c>
      <c r="BB49" s="327"/>
      <c r="BC49" s="395"/>
      <c r="BD49" s="352"/>
      <c r="BE49" s="335" t="s">
        <v>478</v>
      </c>
      <c r="BF49" s="335" t="s">
        <v>245</v>
      </c>
      <c r="BG49" s="372"/>
      <c r="BH49" s="320" t="s">
        <v>240</v>
      </c>
      <c r="BI49" s="320" t="s">
        <v>404</v>
      </c>
      <c r="BJ49" s="320" t="s">
        <v>239</v>
      </c>
      <c r="BK49" s="320" t="s">
        <v>248</v>
      </c>
      <c r="BL49" s="359" t="s">
        <v>451</v>
      </c>
      <c r="BM49" s="395"/>
      <c r="BN49" s="346"/>
      <c r="BO49" s="335" t="s">
        <v>479</v>
      </c>
      <c r="BP49" s="335" t="s">
        <v>293</v>
      </c>
      <c r="BQ49" s="327"/>
      <c r="BR49" s="335" t="s">
        <v>596</v>
      </c>
      <c r="BS49" s="320" t="s">
        <v>231</v>
      </c>
      <c r="BT49" s="320" t="s">
        <v>96</v>
      </c>
      <c r="BU49" s="320" t="s">
        <v>289</v>
      </c>
      <c r="BV49" s="320" t="s">
        <v>288</v>
      </c>
      <c r="BW49" s="401"/>
      <c r="BX49" s="349"/>
    </row>
    <row r="50" spans="1:86" s="143" customFormat="1" ht="279.95" customHeight="1" thickBot="1" x14ac:dyDescent="0.35">
      <c r="A50" s="151"/>
      <c r="B50" s="151"/>
      <c r="E50" s="78"/>
      <c r="F50" s="79"/>
      <c r="G50" s="158"/>
      <c r="H50" s="79"/>
      <c r="I50" s="79"/>
      <c r="J50" s="78"/>
      <c r="K50" s="158"/>
      <c r="L50" s="79"/>
      <c r="M50" s="79"/>
      <c r="N50" s="154"/>
      <c r="O50" s="511"/>
      <c r="P50" s="501"/>
      <c r="Q50" s="172"/>
      <c r="R50" s="172"/>
      <c r="S50" s="172"/>
      <c r="V50" s="161"/>
      <c r="W50" s="111"/>
      <c r="X50" s="53"/>
      <c r="Y50" s="53"/>
      <c r="Z50" s="83"/>
      <c r="AA50" s="170"/>
      <c r="AB50" s="170"/>
      <c r="AC50" s="170"/>
      <c r="AD50" s="171"/>
      <c r="AE50" s="171"/>
      <c r="AF50" s="173"/>
      <c r="AG50" s="168"/>
      <c r="AH50" s="167"/>
      <c r="AI50" s="167"/>
      <c r="AJ50" s="351" t="s">
        <v>300</v>
      </c>
      <c r="AK50" s="312"/>
      <c r="AL50" s="312"/>
      <c r="AM50" s="312"/>
      <c r="AN50" s="312"/>
      <c r="AO50" s="312"/>
      <c r="AP50" s="312"/>
      <c r="AQ50" s="312"/>
      <c r="AR50" s="312"/>
      <c r="AS50" s="394" t="s">
        <v>561</v>
      </c>
      <c r="AT50" s="351" t="s">
        <v>300</v>
      </c>
      <c r="AU50" s="312"/>
      <c r="AV50" s="312"/>
      <c r="AW50" s="312"/>
      <c r="AX50" s="312"/>
      <c r="AY50" s="312"/>
      <c r="AZ50" s="312"/>
      <c r="BA50" s="312"/>
      <c r="BB50" s="312"/>
      <c r="BC50" s="394" t="s">
        <v>375</v>
      </c>
      <c r="BD50" s="351" t="s">
        <v>300</v>
      </c>
      <c r="BE50" s="334" t="s">
        <v>253</v>
      </c>
      <c r="BF50" s="312"/>
      <c r="BG50" s="312"/>
      <c r="BH50" s="312"/>
      <c r="BI50" s="312"/>
      <c r="BJ50" s="312"/>
      <c r="BK50" s="321" t="s">
        <v>529</v>
      </c>
      <c r="BL50" s="312"/>
      <c r="BM50" s="394" t="s">
        <v>349</v>
      </c>
      <c r="BN50" s="345" t="s">
        <v>300</v>
      </c>
      <c r="BO50" s="312"/>
      <c r="BP50" s="312"/>
      <c r="BQ50" s="312"/>
      <c r="BR50" s="312"/>
      <c r="BS50" s="312"/>
      <c r="BT50" s="312"/>
      <c r="BU50" s="312"/>
      <c r="BV50" s="321" t="s">
        <v>101</v>
      </c>
      <c r="BW50" s="400" t="s">
        <v>321</v>
      </c>
      <c r="BX50" s="349"/>
    </row>
    <row r="51" spans="1:86" s="143" customFormat="1" ht="279.95" customHeight="1" thickBot="1" x14ac:dyDescent="0.35">
      <c r="A51" s="151"/>
      <c r="B51" s="151"/>
      <c r="E51" s="106"/>
      <c r="F51" s="106"/>
      <c r="G51" s="169"/>
      <c r="H51" s="79"/>
      <c r="I51" s="79"/>
      <c r="J51" s="78"/>
      <c r="K51" s="158"/>
      <c r="L51" s="79"/>
      <c r="M51" s="79"/>
      <c r="N51" s="154"/>
      <c r="O51" s="511"/>
      <c r="P51" s="501"/>
      <c r="Q51" s="172"/>
      <c r="R51" s="172"/>
      <c r="S51" s="172"/>
      <c r="V51" s="161"/>
      <c r="W51" s="111"/>
      <c r="X51" s="53"/>
      <c r="Y51" s="53"/>
      <c r="Z51" s="83"/>
      <c r="AA51" s="174"/>
      <c r="AB51" s="170"/>
      <c r="AE51" s="164"/>
      <c r="AF51" s="171"/>
      <c r="AG51" s="175"/>
      <c r="AH51" s="131"/>
      <c r="AI51" s="86"/>
      <c r="AJ51" s="351"/>
      <c r="AK51" s="313"/>
      <c r="AL51" s="313"/>
      <c r="AM51" s="313"/>
      <c r="AN51" s="313"/>
      <c r="AO51" s="313"/>
      <c r="AP51" s="313"/>
      <c r="AQ51" s="313"/>
      <c r="AR51" s="313"/>
      <c r="AS51" s="394"/>
      <c r="AT51" s="351"/>
      <c r="AU51" s="361" t="s">
        <v>602</v>
      </c>
      <c r="AV51" s="361" t="s">
        <v>603</v>
      </c>
      <c r="AW51" s="368" t="s">
        <v>675</v>
      </c>
      <c r="AX51" s="313"/>
      <c r="AY51" s="361" t="s">
        <v>604</v>
      </c>
      <c r="AZ51" s="361" t="s">
        <v>523</v>
      </c>
      <c r="BA51" s="361" t="s">
        <v>524</v>
      </c>
      <c r="BB51" s="361" t="s">
        <v>525</v>
      </c>
      <c r="BC51" s="394"/>
      <c r="BD51" s="351"/>
      <c r="BE51" s="335" t="s">
        <v>155</v>
      </c>
      <c r="BF51" s="335" t="s">
        <v>249</v>
      </c>
      <c r="BG51" s="313"/>
      <c r="BH51" s="369" t="s">
        <v>663</v>
      </c>
      <c r="BI51" s="320" t="s">
        <v>236</v>
      </c>
      <c r="BJ51" s="392" t="s">
        <v>157</v>
      </c>
      <c r="BK51" s="320" t="s">
        <v>229</v>
      </c>
      <c r="BL51" s="320" t="s">
        <v>158</v>
      </c>
      <c r="BM51" s="394"/>
      <c r="BN51" s="345"/>
      <c r="BO51" s="335" t="s">
        <v>484</v>
      </c>
      <c r="BP51" s="335" t="s">
        <v>486</v>
      </c>
      <c r="BQ51" s="313"/>
      <c r="BR51" s="335" t="s">
        <v>483</v>
      </c>
      <c r="BS51" s="320" t="s">
        <v>97</v>
      </c>
      <c r="BT51" s="320" t="s">
        <v>287</v>
      </c>
      <c r="BU51" s="320" t="s">
        <v>286</v>
      </c>
      <c r="BV51" s="320" t="s">
        <v>93</v>
      </c>
      <c r="BW51" s="400"/>
      <c r="BX51" s="349"/>
    </row>
    <row r="52" spans="1:86" s="143" customFormat="1" ht="279.95" customHeight="1" x14ac:dyDescent="0.3">
      <c r="A52" s="151"/>
      <c r="B52" s="151"/>
      <c r="E52" s="502" t="s">
        <v>42</v>
      </c>
      <c r="F52" s="503"/>
      <c r="G52" s="506" t="s">
        <v>43</v>
      </c>
      <c r="H52" s="79"/>
      <c r="I52" s="79"/>
      <c r="J52" s="78"/>
      <c r="K52" s="158"/>
      <c r="L52" s="79"/>
      <c r="M52" s="79"/>
      <c r="N52" s="154"/>
      <c r="O52" s="511"/>
      <c r="P52" s="501"/>
      <c r="Q52" s="172"/>
      <c r="R52" s="172"/>
      <c r="S52" s="172"/>
      <c r="U52" s="90"/>
      <c r="V52" s="161"/>
      <c r="W52" s="111"/>
      <c r="X52" s="53"/>
      <c r="Y52" s="53"/>
      <c r="Z52" s="83"/>
      <c r="AA52" s="170"/>
      <c r="AB52" s="170"/>
      <c r="AG52" s="175"/>
      <c r="AH52" s="175"/>
      <c r="AI52" s="175"/>
      <c r="AJ52" s="352" t="s">
        <v>300</v>
      </c>
      <c r="AK52" s="328"/>
      <c r="AL52" s="328"/>
      <c r="AM52" s="328"/>
      <c r="AN52" s="328"/>
      <c r="AO52" s="328"/>
      <c r="AP52" s="328"/>
      <c r="AQ52" s="328"/>
      <c r="AR52" s="328"/>
      <c r="AS52" s="395" t="s">
        <v>562</v>
      </c>
      <c r="AT52" s="352" t="s">
        <v>300</v>
      </c>
      <c r="AU52" s="328"/>
      <c r="AV52" s="328"/>
      <c r="AW52" s="328"/>
      <c r="AX52" s="328"/>
      <c r="AY52" s="328"/>
      <c r="AZ52" s="328"/>
      <c r="BA52" s="328"/>
      <c r="BB52" s="328"/>
      <c r="BC52" s="395" t="s">
        <v>376</v>
      </c>
      <c r="BD52" s="352" t="s">
        <v>300</v>
      </c>
      <c r="BE52" s="334" t="s">
        <v>223</v>
      </c>
      <c r="BF52" s="328"/>
      <c r="BG52" s="328"/>
      <c r="BH52" s="328"/>
      <c r="BI52" s="328"/>
      <c r="BJ52" s="321" t="s">
        <v>139</v>
      </c>
      <c r="BK52" s="328"/>
      <c r="BL52" s="321" t="s">
        <v>530</v>
      </c>
      <c r="BM52" s="395" t="s">
        <v>350</v>
      </c>
      <c r="BN52" s="346" t="s">
        <v>300</v>
      </c>
      <c r="BO52" s="328"/>
      <c r="BP52" s="328"/>
      <c r="BQ52" s="328"/>
      <c r="BR52" s="328"/>
      <c r="BS52" s="321" t="s">
        <v>81</v>
      </c>
      <c r="BT52" s="321" t="s">
        <v>570</v>
      </c>
      <c r="BU52" s="321" t="s">
        <v>90</v>
      </c>
      <c r="BV52" s="321" t="s">
        <v>415</v>
      </c>
      <c r="BW52" s="401" t="s">
        <v>322</v>
      </c>
      <c r="BX52" s="349"/>
    </row>
    <row r="53" spans="1:86" s="143" customFormat="1" ht="279.95" customHeight="1" thickBot="1" x14ac:dyDescent="0.35">
      <c r="A53" s="151"/>
      <c r="B53" s="151"/>
      <c r="E53" s="504"/>
      <c r="F53" s="505"/>
      <c r="G53" s="507"/>
      <c r="H53" s="79"/>
      <c r="I53" s="79"/>
      <c r="J53" s="78"/>
      <c r="K53" s="158"/>
      <c r="L53" s="79"/>
      <c r="M53" s="79"/>
      <c r="N53" s="154"/>
      <c r="O53" s="176"/>
      <c r="P53" s="52"/>
      <c r="Q53" s="52"/>
      <c r="R53" s="52"/>
      <c r="S53" s="52"/>
      <c r="U53" s="90"/>
      <c r="V53" s="161"/>
      <c r="X53" s="53"/>
      <c r="Y53" s="53"/>
      <c r="Z53" s="83"/>
      <c r="AA53" s="177"/>
      <c r="AB53" s="142"/>
      <c r="AG53" s="175"/>
      <c r="AH53" s="175"/>
      <c r="AI53" s="175"/>
      <c r="AJ53" s="352"/>
      <c r="AK53" s="327"/>
      <c r="AL53" s="327"/>
      <c r="AM53" s="327"/>
      <c r="AN53" s="327"/>
      <c r="AO53" s="327"/>
      <c r="AP53" s="327"/>
      <c r="AQ53" s="327"/>
      <c r="AR53" s="327"/>
      <c r="AS53" s="395"/>
      <c r="AT53" s="352"/>
      <c r="AU53" s="361" t="s">
        <v>599</v>
      </c>
      <c r="AV53" s="361" t="s">
        <v>600</v>
      </c>
      <c r="AW53" s="333" t="s">
        <v>601</v>
      </c>
      <c r="AX53" s="327"/>
      <c r="AY53" s="333" t="s">
        <v>656</v>
      </c>
      <c r="AZ53" s="361" t="s">
        <v>526</v>
      </c>
      <c r="BA53" s="361" t="s">
        <v>527</v>
      </c>
      <c r="BB53" s="327"/>
      <c r="BC53" s="395"/>
      <c r="BD53" s="352"/>
      <c r="BE53" s="335" t="s">
        <v>594</v>
      </c>
      <c r="BF53" s="335" t="s">
        <v>252</v>
      </c>
      <c r="BG53" s="327"/>
      <c r="BH53" s="320" t="s">
        <v>160</v>
      </c>
      <c r="BI53" s="327"/>
      <c r="BJ53" s="320" t="s">
        <v>161</v>
      </c>
      <c r="BK53" s="327"/>
      <c r="BL53" s="320" t="s">
        <v>251</v>
      </c>
      <c r="BM53" s="395"/>
      <c r="BN53" s="346"/>
      <c r="BO53" s="368" t="s">
        <v>490</v>
      </c>
      <c r="BP53" s="368" t="s">
        <v>489</v>
      </c>
      <c r="BQ53" s="327"/>
      <c r="BR53" s="335" t="s">
        <v>105</v>
      </c>
      <c r="BS53" s="320" t="s">
        <v>571</v>
      </c>
      <c r="BT53" s="362" t="s">
        <v>241</v>
      </c>
      <c r="BU53" s="320" t="s">
        <v>89</v>
      </c>
      <c r="BV53" s="320" t="s">
        <v>414</v>
      </c>
      <c r="BW53" s="401"/>
      <c r="BX53" s="349"/>
    </row>
    <row r="54" spans="1:86" s="143" customFormat="1" ht="279.95" customHeight="1" x14ac:dyDescent="0.3">
      <c r="A54" s="151"/>
      <c r="B54" s="151"/>
      <c r="E54" s="78"/>
      <c r="F54" s="79"/>
      <c r="G54" s="158"/>
      <c r="H54" s="79"/>
      <c r="I54" s="79"/>
      <c r="J54" s="78"/>
      <c r="K54" s="158"/>
      <c r="L54" s="79"/>
      <c r="M54" s="79"/>
      <c r="N54" s="154"/>
      <c r="O54" s="176"/>
      <c r="P54" s="52"/>
      <c r="Q54" s="52"/>
      <c r="R54" s="52"/>
      <c r="S54" s="52"/>
      <c r="T54" s="53"/>
      <c r="U54" s="160"/>
      <c r="V54" s="161"/>
      <c r="W54" s="111"/>
      <c r="X54" s="53"/>
      <c r="Y54" s="53"/>
      <c r="Z54" s="83"/>
      <c r="AA54" s="177"/>
      <c r="AF54" s="171"/>
      <c r="AG54" s="178"/>
      <c r="AH54" s="165"/>
      <c r="AI54" s="178"/>
      <c r="AJ54" s="351" t="s">
        <v>300</v>
      </c>
      <c r="AK54" s="312"/>
      <c r="AL54" s="312"/>
      <c r="AM54" s="312"/>
      <c r="AN54" s="312"/>
      <c r="AO54" s="312"/>
      <c r="AP54" s="312"/>
      <c r="AQ54" s="312"/>
      <c r="AR54" s="312"/>
      <c r="AS54" s="394" t="s">
        <v>563</v>
      </c>
      <c r="AT54" s="351" t="s">
        <v>300</v>
      </c>
      <c r="AU54" s="312"/>
      <c r="AV54" s="312"/>
      <c r="AW54" s="312"/>
      <c r="AX54" s="312"/>
      <c r="AY54" s="312"/>
      <c r="AZ54" s="312"/>
      <c r="BA54" s="312"/>
      <c r="BB54" s="312"/>
      <c r="BC54" s="394" t="s">
        <v>377</v>
      </c>
      <c r="BD54" s="351" t="s">
        <v>300</v>
      </c>
      <c r="BE54" s="312"/>
      <c r="BF54" s="312"/>
      <c r="BG54" s="312"/>
      <c r="BH54" s="312"/>
      <c r="BI54" s="321" t="s">
        <v>141</v>
      </c>
      <c r="BJ54" s="312"/>
      <c r="BK54" s="312"/>
      <c r="BL54" s="321" t="s">
        <v>162</v>
      </c>
      <c r="BM54" s="394" t="s">
        <v>351</v>
      </c>
      <c r="BN54" s="345" t="s">
        <v>300</v>
      </c>
      <c r="BO54" s="312"/>
      <c r="BQ54" s="312"/>
      <c r="BR54" s="312"/>
      <c r="BS54" s="312"/>
      <c r="BT54" s="321" t="s">
        <v>92</v>
      </c>
      <c r="BU54" s="312"/>
      <c r="BV54" s="312"/>
      <c r="BW54" s="400" t="s">
        <v>323</v>
      </c>
      <c r="BX54" s="349"/>
    </row>
    <row r="55" spans="1:86" ht="279.95" customHeight="1" thickBot="1" x14ac:dyDescent="0.35">
      <c r="A55" s="151"/>
      <c r="B55" s="151"/>
      <c r="C55" s="143"/>
      <c r="D55" s="143"/>
      <c r="E55" s="78"/>
      <c r="F55" s="79"/>
      <c r="G55" s="158"/>
      <c r="H55" s="79"/>
      <c r="I55" s="79"/>
      <c r="J55" s="78"/>
      <c r="K55" s="158"/>
      <c r="L55" s="79"/>
      <c r="M55" s="79"/>
      <c r="N55" s="154"/>
      <c r="O55" s="78"/>
      <c r="P55" s="179"/>
      <c r="Q55" s="179"/>
      <c r="R55" s="179"/>
      <c r="S55" s="179"/>
      <c r="T55" s="97"/>
      <c r="U55" s="180"/>
      <c r="V55" s="85"/>
      <c r="W55" s="111"/>
      <c r="X55" s="53"/>
      <c r="Y55" s="53"/>
      <c r="Z55" s="83"/>
      <c r="AA55" s="181"/>
      <c r="AB55" s="143"/>
      <c r="AC55" s="143"/>
      <c r="AD55" s="143"/>
      <c r="AE55" s="143"/>
      <c r="AF55" s="182"/>
      <c r="AG55" s="178"/>
      <c r="AH55" s="165"/>
      <c r="AI55" s="178"/>
      <c r="AJ55" s="351"/>
      <c r="AK55" s="313"/>
      <c r="AL55" s="313"/>
      <c r="AM55" s="313"/>
      <c r="AN55" s="313"/>
      <c r="AO55" s="313"/>
      <c r="AP55" s="313"/>
      <c r="AQ55" s="313"/>
      <c r="AR55" s="313"/>
      <c r="AS55" s="394"/>
      <c r="AT55" s="351"/>
      <c r="AU55" s="313"/>
      <c r="AV55" s="361" t="s">
        <v>598</v>
      </c>
      <c r="AW55" s="313"/>
      <c r="AX55" s="313"/>
      <c r="AY55" s="313"/>
      <c r="AZ55" s="313"/>
      <c r="BA55" s="313"/>
      <c r="BB55" s="313"/>
      <c r="BC55" s="394"/>
      <c r="BD55" s="351"/>
      <c r="BE55" s="313"/>
      <c r="BF55" s="335" t="s">
        <v>254</v>
      </c>
      <c r="BG55" s="313"/>
      <c r="BH55" s="335" t="s">
        <v>255</v>
      </c>
      <c r="BI55" s="320" t="s">
        <v>164</v>
      </c>
      <c r="BJ55" s="320" t="s">
        <v>247</v>
      </c>
      <c r="BK55" s="335" t="s">
        <v>452</v>
      </c>
      <c r="BL55" s="320" t="s">
        <v>165</v>
      </c>
      <c r="BM55" s="394"/>
      <c r="BN55" s="345"/>
      <c r="BO55" s="335" t="s">
        <v>485</v>
      </c>
      <c r="BP55" s="335" t="s">
        <v>275</v>
      </c>
      <c r="BQ55" s="313"/>
      <c r="BR55" s="335" t="s">
        <v>273</v>
      </c>
      <c r="BS55" s="362" t="s">
        <v>133</v>
      </c>
      <c r="BT55" s="323" t="s">
        <v>91</v>
      </c>
      <c r="BU55" s="362" t="s">
        <v>413</v>
      </c>
      <c r="BV55" s="362" t="s">
        <v>285</v>
      </c>
      <c r="BW55" s="400"/>
      <c r="BX55" s="348"/>
    </row>
    <row r="56" spans="1:86" ht="279.95" customHeight="1" x14ac:dyDescent="0.3">
      <c r="A56" s="151"/>
      <c r="B56" s="151"/>
      <c r="C56" s="143"/>
      <c r="D56" s="143"/>
      <c r="E56" s="78"/>
      <c r="F56" s="79"/>
      <c r="G56" s="158"/>
      <c r="H56" s="79"/>
      <c r="I56" s="79"/>
      <c r="J56" s="78"/>
      <c r="K56" s="158"/>
      <c r="L56" s="79"/>
      <c r="M56" s="79"/>
      <c r="N56" s="154"/>
      <c r="O56" s="516" t="s">
        <v>44</v>
      </c>
      <c r="P56" s="516"/>
      <c r="Q56" s="516"/>
      <c r="R56" s="516"/>
      <c r="S56" s="516"/>
      <c r="T56" s="516"/>
      <c r="U56" s="517"/>
      <c r="V56" s="85"/>
      <c r="W56" s="111"/>
      <c r="X56" s="53"/>
      <c r="Y56" s="53"/>
      <c r="Z56" s="83"/>
      <c r="AA56" s="183"/>
      <c r="AB56" s="86"/>
      <c r="AC56" s="142"/>
      <c r="AD56" s="143"/>
      <c r="AE56" s="184"/>
      <c r="AF56" s="184"/>
      <c r="AG56" s="178"/>
      <c r="AH56" s="165"/>
      <c r="AI56" s="178"/>
      <c r="AJ56" s="352" t="s">
        <v>300</v>
      </c>
      <c r="AK56" s="328"/>
      <c r="AL56" s="328"/>
      <c r="AM56" s="328"/>
      <c r="AN56" s="328"/>
      <c r="AO56" s="328"/>
      <c r="AP56" s="328"/>
      <c r="AQ56" s="328"/>
      <c r="AR56" s="328"/>
      <c r="AS56" s="395" t="s">
        <v>564</v>
      </c>
      <c r="AT56" s="352" t="s">
        <v>300</v>
      </c>
      <c r="AU56" s="328"/>
      <c r="AV56" s="328"/>
      <c r="AW56" s="328"/>
      <c r="AX56" s="328"/>
      <c r="AY56" s="328"/>
      <c r="AZ56" s="328"/>
      <c r="BA56" s="328"/>
      <c r="BB56" s="328"/>
      <c r="BC56" s="395" t="s">
        <v>378</v>
      </c>
      <c r="BD56" s="352" t="s">
        <v>300</v>
      </c>
      <c r="BE56" s="321" t="s">
        <v>531</v>
      </c>
      <c r="BF56" s="321" t="s">
        <v>154</v>
      </c>
      <c r="BG56" s="328"/>
      <c r="BH56" s="328"/>
      <c r="BI56" s="328"/>
      <c r="BJ56" s="328"/>
      <c r="BK56" s="321" t="s">
        <v>257</v>
      </c>
      <c r="BL56" s="328"/>
      <c r="BM56" s="395" t="s">
        <v>352</v>
      </c>
      <c r="BN56" s="346" t="s">
        <v>300</v>
      </c>
      <c r="BO56" s="328"/>
      <c r="BP56" s="328"/>
      <c r="BQ56" s="328"/>
      <c r="BR56" s="328"/>
      <c r="BS56" s="328"/>
      <c r="BT56" s="328"/>
      <c r="BU56" s="321" t="s">
        <v>94</v>
      </c>
      <c r="BV56" s="321" t="s">
        <v>412</v>
      </c>
      <c r="BW56" s="401" t="s">
        <v>324</v>
      </c>
      <c r="BX56" s="348"/>
    </row>
    <row r="57" spans="1:86" ht="279.95" customHeight="1" thickBot="1" x14ac:dyDescent="0.35">
      <c r="A57" s="151"/>
      <c r="B57" s="151"/>
      <c r="E57" s="78"/>
      <c r="F57" s="79"/>
      <c r="G57" s="158"/>
      <c r="H57" s="79"/>
      <c r="I57" s="79"/>
      <c r="J57" s="78"/>
      <c r="K57" s="158"/>
      <c r="L57" s="79"/>
      <c r="M57" s="79"/>
      <c r="N57" s="81"/>
      <c r="O57" s="518"/>
      <c r="P57" s="518"/>
      <c r="Q57" s="518"/>
      <c r="R57" s="518"/>
      <c r="S57" s="518"/>
      <c r="T57" s="518"/>
      <c r="U57" s="519"/>
      <c r="V57" s="85"/>
      <c r="W57" s="53"/>
      <c r="X57" s="53"/>
      <c r="Y57" s="53"/>
      <c r="Z57" s="83"/>
      <c r="AA57" s="86"/>
      <c r="AB57" s="100"/>
      <c r="AC57" s="86"/>
      <c r="AD57" s="86"/>
      <c r="AE57" s="86"/>
      <c r="AF57" s="186"/>
      <c r="AG57" s="187"/>
      <c r="AH57" s="187"/>
      <c r="AI57" s="187"/>
      <c r="AJ57" s="352"/>
      <c r="AK57" s="327"/>
      <c r="AL57" s="327"/>
      <c r="AM57" s="327"/>
      <c r="AN57" s="327"/>
      <c r="AO57" s="327"/>
      <c r="AP57" s="327"/>
      <c r="AQ57" s="327"/>
      <c r="AR57" s="327"/>
      <c r="AS57" s="395"/>
      <c r="AT57" s="352"/>
      <c r="AU57" s="327"/>
      <c r="AV57" s="361" t="s">
        <v>597</v>
      </c>
      <c r="AW57" s="327"/>
      <c r="AX57" s="327"/>
      <c r="AY57" s="327"/>
      <c r="AZ57" s="327"/>
      <c r="BA57" s="327"/>
      <c r="BB57" s="327"/>
      <c r="BC57" s="395"/>
      <c r="BD57" s="352"/>
      <c r="BE57" s="320" t="s">
        <v>532</v>
      </c>
      <c r="BF57" s="320" t="s">
        <v>153</v>
      </c>
      <c r="BG57" s="327"/>
      <c r="BH57" s="335" t="s">
        <v>259</v>
      </c>
      <c r="BI57" s="320" t="s">
        <v>260</v>
      </c>
      <c r="BJ57" s="320" t="s">
        <v>166</v>
      </c>
      <c r="BK57" s="320" t="s">
        <v>261</v>
      </c>
      <c r="BL57" s="320" t="s">
        <v>262</v>
      </c>
      <c r="BM57" s="395"/>
      <c r="BN57" s="346"/>
      <c r="BO57" s="368" t="s">
        <v>666</v>
      </c>
      <c r="BP57" s="368" t="s">
        <v>667</v>
      </c>
      <c r="BQ57" s="327"/>
      <c r="BR57" s="335" t="s">
        <v>271</v>
      </c>
      <c r="BS57" s="369" t="s">
        <v>673</v>
      </c>
      <c r="BT57" s="320" t="s">
        <v>98</v>
      </c>
      <c r="BU57" s="320" t="s">
        <v>280</v>
      </c>
      <c r="BV57" s="362" t="s">
        <v>284</v>
      </c>
      <c r="BW57" s="401"/>
      <c r="BX57" s="348"/>
    </row>
    <row r="58" spans="1:86" ht="279.95" customHeight="1" thickBot="1" x14ac:dyDescent="0.35">
      <c r="A58" s="152"/>
      <c r="B58" s="152"/>
      <c r="E58" s="433" t="s">
        <v>45</v>
      </c>
      <c r="F58" s="435"/>
      <c r="G58" s="434"/>
      <c r="H58" s="79"/>
      <c r="I58" s="79"/>
      <c r="J58" s="78"/>
      <c r="K58" s="158"/>
      <c r="L58" s="79"/>
      <c r="M58" s="79"/>
      <c r="N58" s="81"/>
      <c r="O58" s="518"/>
      <c r="P58" s="518"/>
      <c r="Q58" s="518"/>
      <c r="R58" s="518"/>
      <c r="S58" s="518"/>
      <c r="T58" s="518"/>
      <c r="U58" s="519"/>
      <c r="V58" s="85"/>
      <c r="W58" s="53"/>
      <c r="X58" s="53"/>
      <c r="Y58" s="53"/>
      <c r="Z58" s="53"/>
      <c r="AA58" s="188"/>
      <c r="AB58" s="86"/>
      <c r="AC58" s="86"/>
      <c r="AG58" s="102"/>
      <c r="AH58" s="111"/>
      <c r="AI58" s="102"/>
      <c r="AJ58" s="44"/>
      <c r="AK58" s="21" t="s">
        <v>547</v>
      </c>
      <c r="AL58" s="21" t="s">
        <v>548</v>
      </c>
      <c r="AM58" s="21" t="s">
        <v>549</v>
      </c>
      <c r="AN58" s="21" t="s">
        <v>550</v>
      </c>
      <c r="AO58" s="21" t="s">
        <v>551</v>
      </c>
      <c r="AP58" s="21" t="s">
        <v>554</v>
      </c>
      <c r="AQ58" s="21" t="s">
        <v>552</v>
      </c>
      <c r="AR58" s="21" t="s">
        <v>553</v>
      </c>
      <c r="AS58" s="62"/>
      <c r="AT58" s="351" t="s">
        <v>300</v>
      </c>
      <c r="AU58" s="312"/>
      <c r="AV58" s="312"/>
      <c r="AW58" s="312"/>
      <c r="AX58" s="312"/>
      <c r="AY58" s="312"/>
      <c r="AZ58" s="312"/>
      <c r="BA58" s="312"/>
      <c r="BB58" s="312"/>
      <c r="BC58" s="394" t="s">
        <v>655</v>
      </c>
      <c r="BD58" s="351" t="s">
        <v>300</v>
      </c>
      <c r="BE58" s="312"/>
      <c r="BF58" s="312"/>
      <c r="BG58" s="312"/>
      <c r="BH58" s="321" t="s">
        <v>167</v>
      </c>
      <c r="BI58" s="312"/>
      <c r="BJ58" s="312"/>
      <c r="BK58" s="321" t="s">
        <v>168</v>
      </c>
      <c r="BL58" s="312"/>
      <c r="BM58" s="394" t="s">
        <v>353</v>
      </c>
      <c r="BN58" s="345" t="s">
        <v>300</v>
      </c>
      <c r="BO58" s="312"/>
      <c r="BP58" s="312"/>
      <c r="BQ58" s="312"/>
      <c r="BR58" s="312"/>
      <c r="BS58" s="312"/>
      <c r="BT58" s="312"/>
      <c r="BU58" s="321" t="s">
        <v>102</v>
      </c>
      <c r="BV58" s="312"/>
      <c r="BW58" s="400" t="s">
        <v>325</v>
      </c>
      <c r="BX58" s="348"/>
    </row>
    <row r="59" spans="1:86" ht="279.95" customHeight="1" thickBot="1" x14ac:dyDescent="0.35">
      <c r="A59" s="152"/>
      <c r="B59" s="152"/>
      <c r="E59" s="433"/>
      <c r="F59" s="435"/>
      <c r="G59" s="434"/>
      <c r="H59" s="79"/>
      <c r="I59" s="79"/>
      <c r="J59" s="78"/>
      <c r="K59" s="158"/>
      <c r="L59" s="79"/>
      <c r="M59" s="79"/>
      <c r="N59" s="81"/>
      <c r="O59" s="518"/>
      <c r="P59" s="518"/>
      <c r="Q59" s="518"/>
      <c r="R59" s="518"/>
      <c r="S59" s="518"/>
      <c r="T59" s="518"/>
      <c r="U59" s="519"/>
      <c r="V59" s="189"/>
      <c r="W59" s="53"/>
      <c r="X59" s="53"/>
      <c r="Y59" s="53"/>
      <c r="Z59" s="121"/>
      <c r="AA59" s="188"/>
      <c r="AB59" s="100"/>
      <c r="AC59" s="100"/>
      <c r="AD59" s="90"/>
      <c r="AF59" s="86"/>
      <c r="AG59" s="102"/>
      <c r="AH59" s="111"/>
      <c r="AI59" s="114"/>
      <c r="AJ59" s="388" t="s">
        <v>295</v>
      </c>
      <c r="AK59" s="322" t="s">
        <v>567</v>
      </c>
      <c r="AL59" s="322" t="s">
        <v>296</v>
      </c>
      <c r="AM59" s="322" t="s">
        <v>297</v>
      </c>
      <c r="AN59" s="322" t="s">
        <v>298</v>
      </c>
      <c r="AO59" s="389" t="s">
        <v>294</v>
      </c>
      <c r="AP59" s="381" t="s">
        <v>409</v>
      </c>
      <c r="AQ59" s="382" t="s">
        <v>410</v>
      </c>
      <c r="AR59" s="383" t="s">
        <v>411</v>
      </c>
      <c r="AS59" s="366" t="s">
        <v>611</v>
      </c>
      <c r="AT59" s="351"/>
      <c r="AU59" s="313"/>
      <c r="AV59" s="313"/>
      <c r="AW59" s="335" t="s">
        <v>660</v>
      </c>
      <c r="AX59" s="333" t="s">
        <v>659</v>
      </c>
      <c r="AY59" s="313"/>
      <c r="AZ59" s="313"/>
      <c r="BA59" s="313"/>
      <c r="BB59" s="313"/>
      <c r="BC59" s="394"/>
      <c r="BD59" s="365"/>
      <c r="BE59" s="320" t="s">
        <v>256</v>
      </c>
      <c r="BF59" s="392" t="s">
        <v>263</v>
      </c>
      <c r="BG59" s="313"/>
      <c r="BH59" s="320" t="s">
        <v>169</v>
      </c>
      <c r="BI59" s="335" t="s">
        <v>661</v>
      </c>
      <c r="BJ59" s="320" t="s">
        <v>170</v>
      </c>
      <c r="BK59" s="320" t="s">
        <v>171</v>
      </c>
      <c r="BL59" s="320" t="s">
        <v>264</v>
      </c>
      <c r="BM59" s="394"/>
      <c r="BN59" s="345"/>
      <c r="BO59" s="335" t="s">
        <v>265</v>
      </c>
      <c r="BP59" s="335" t="s">
        <v>266</v>
      </c>
      <c r="BQ59" s="335" t="s">
        <v>267</v>
      </c>
      <c r="BR59" s="335" t="s">
        <v>270</v>
      </c>
      <c r="BS59" s="335" t="s">
        <v>268</v>
      </c>
      <c r="BT59" s="320" t="s">
        <v>152</v>
      </c>
      <c r="BU59" s="362" t="s">
        <v>103</v>
      </c>
      <c r="BV59" s="320" t="s">
        <v>283</v>
      </c>
      <c r="BW59" s="400"/>
      <c r="BX59" s="348"/>
    </row>
    <row r="60" spans="1:86" ht="279.95" customHeight="1" thickBot="1" x14ac:dyDescent="0.35">
      <c r="A60" s="152"/>
      <c r="B60" s="152"/>
      <c r="E60" s="433"/>
      <c r="F60" s="435"/>
      <c r="G60" s="434"/>
      <c r="H60" s="79"/>
      <c r="I60" s="79"/>
      <c r="J60" s="78"/>
      <c r="K60" s="158"/>
      <c r="L60" s="79"/>
      <c r="M60" s="79"/>
      <c r="N60" s="81"/>
      <c r="O60" s="518"/>
      <c r="P60" s="518"/>
      <c r="Q60" s="518"/>
      <c r="R60" s="518"/>
      <c r="S60" s="518"/>
      <c r="T60" s="518"/>
      <c r="U60" s="519"/>
      <c r="V60" s="85"/>
      <c r="W60" s="53"/>
      <c r="X60" s="53"/>
      <c r="Y60" s="53"/>
      <c r="Z60" s="111"/>
      <c r="AA60" s="190"/>
      <c r="AB60" s="114"/>
      <c r="AC60" s="114"/>
      <c r="AD60" s="114"/>
      <c r="AE60" s="114"/>
      <c r="AF60" s="114"/>
      <c r="AG60" s="114"/>
      <c r="AH60" s="114"/>
      <c r="AI60" s="114"/>
      <c r="AJ60" s="390">
        <f>COUNTA(BE63:BN63)</f>
        <v>3</v>
      </c>
      <c r="AK60" s="319">
        <f>COUNTA(AK38:AR57,AK11:AR36)</f>
        <v>41</v>
      </c>
      <c r="AL60" s="319">
        <f>COUNTA(AU38:BB59,AU11:BB36)</f>
        <v>55</v>
      </c>
      <c r="AM60" s="319">
        <f>COUNTA(BE38:BL61,BE11:BL36)</f>
        <v>190</v>
      </c>
      <c r="AN60" s="319">
        <f>COUNTA(BO38:BV65,BO11:BV36)</f>
        <v>179</v>
      </c>
      <c r="AO60" s="367">
        <f>SUM(AJ60:AN60)+AS60</f>
        <v>550</v>
      </c>
      <c r="AP60" s="380">
        <f>COUNTIF( $BE$11:$BL$61,"*401*") + COUNTIF($AK$11:$BB$59,"*401*")+ COUNTIF($BE$63:$BM$63,"*401*") +COUNTIF($BO$11:$BV$65,"*401*") -1</f>
        <v>170</v>
      </c>
      <c r="AQ60" s="379">
        <f>COUNTIF( $BE$11:$BL$61,"*402*") + COUNTIF($AK$11:$BB$59,"*402*")+ COUNTIF($BE$63:$BM$63,"*402*") +COUNTIF($BO$11:$BV$65,"*402*") -1</f>
        <v>84</v>
      </c>
      <c r="AR60" s="378">
        <f>COUNTIF( $BE$11:$BL$61,"*403*") + COUNTIF($AK$11:$BB$59,"*403*")+ COUNTIF($BE$63:$BM$63,"*403*") +COUNTIF($BO$11:$BV$65,"*403*") -1</f>
        <v>214</v>
      </c>
      <c r="AS60" s="367">
        <f>14*6-2</f>
        <v>82</v>
      </c>
      <c r="AU60" s="21" t="s">
        <v>395</v>
      </c>
      <c r="AV60" s="21" t="s">
        <v>396</v>
      </c>
      <c r="AW60" s="21" t="s">
        <v>397</v>
      </c>
      <c r="AX60" s="21" t="s">
        <v>398</v>
      </c>
      <c r="AY60" s="21" t="s">
        <v>399</v>
      </c>
      <c r="AZ60" s="21" t="s">
        <v>400</v>
      </c>
      <c r="BA60" s="21" t="s">
        <v>401</v>
      </c>
      <c r="BB60" s="21" t="s">
        <v>402</v>
      </c>
      <c r="BD60" s="358" t="s">
        <v>300</v>
      </c>
      <c r="BE60" s="328"/>
      <c r="BF60" s="328"/>
      <c r="BG60" s="328"/>
      <c r="BH60" s="328"/>
      <c r="BI60" s="328"/>
      <c r="BJ60" s="328"/>
      <c r="BK60" s="328"/>
      <c r="BL60" s="328"/>
      <c r="BM60" s="395" t="s">
        <v>354</v>
      </c>
      <c r="BN60" s="346" t="s">
        <v>300</v>
      </c>
      <c r="BO60" s="328"/>
      <c r="BP60" s="328"/>
      <c r="BQ60" s="328"/>
      <c r="BR60" s="328"/>
      <c r="BS60" s="328"/>
      <c r="BT60" s="328"/>
      <c r="BU60" s="328"/>
      <c r="BV60" s="328"/>
      <c r="BW60" s="401" t="s">
        <v>326</v>
      </c>
      <c r="BX60" s="348"/>
    </row>
    <row r="61" spans="1:86" ht="279.95" customHeight="1" thickBot="1" x14ac:dyDescent="0.35">
      <c r="A61" s="191"/>
      <c r="B61" s="191"/>
      <c r="E61" s="433"/>
      <c r="F61" s="435"/>
      <c r="G61" s="434"/>
      <c r="H61" s="79"/>
      <c r="I61" s="79"/>
      <c r="J61" s="78"/>
      <c r="K61" s="158"/>
      <c r="L61" s="79"/>
      <c r="M61" s="79"/>
      <c r="N61" s="81"/>
      <c r="O61" s="518"/>
      <c r="P61" s="518"/>
      <c r="Q61" s="518"/>
      <c r="R61" s="518"/>
      <c r="S61" s="518"/>
      <c r="T61" s="518"/>
      <c r="U61" s="519"/>
      <c r="V61" s="85"/>
      <c r="W61" s="53"/>
      <c r="X61" s="53"/>
      <c r="Y61" s="53"/>
      <c r="Z61" s="53"/>
      <c r="AA61" s="176"/>
      <c r="AB61" s="116"/>
      <c r="AC61" s="116"/>
      <c r="AD61" s="116"/>
      <c r="AE61" s="116"/>
      <c r="AF61" s="114"/>
      <c r="AG61" s="116"/>
      <c r="AH61" s="114"/>
      <c r="AI61" s="114"/>
      <c r="BB61" s="6"/>
      <c r="BC61" s="6"/>
      <c r="BD61" s="358"/>
      <c r="BE61" s="327"/>
      <c r="BF61" s="327"/>
      <c r="BG61" s="327"/>
      <c r="BH61" s="327"/>
      <c r="BI61" s="327"/>
      <c r="BJ61" s="320" t="s">
        <v>258</v>
      </c>
      <c r="BK61" s="327"/>
      <c r="BL61" s="320" t="s">
        <v>269</v>
      </c>
      <c r="BM61" s="395"/>
      <c r="BN61" s="346"/>
      <c r="BO61" s="335" t="s">
        <v>487</v>
      </c>
      <c r="BP61" s="335" t="s">
        <v>488</v>
      </c>
      <c r="BQ61" s="335" t="s">
        <v>272</v>
      </c>
      <c r="BR61" s="327"/>
      <c r="BS61" s="320" t="s">
        <v>99</v>
      </c>
      <c r="BT61" s="335" t="s">
        <v>281</v>
      </c>
      <c r="BU61" s="320" t="s">
        <v>282</v>
      </c>
      <c r="BV61" s="320" t="s">
        <v>104</v>
      </c>
      <c r="BW61" s="401"/>
      <c r="BX61" s="348"/>
    </row>
    <row r="62" spans="1:86" ht="279.95" customHeight="1" thickBot="1" x14ac:dyDescent="0.35">
      <c r="A62" s="191"/>
      <c r="B62" s="191"/>
      <c r="E62" s="433"/>
      <c r="F62" s="435"/>
      <c r="G62" s="434"/>
      <c r="H62" s="79"/>
      <c r="I62" s="79"/>
      <c r="J62" s="78"/>
      <c r="K62" s="158"/>
      <c r="L62" s="79"/>
      <c r="M62" s="79"/>
      <c r="N62" s="81"/>
      <c r="O62" s="518"/>
      <c r="P62" s="518"/>
      <c r="Q62" s="518"/>
      <c r="R62" s="518"/>
      <c r="S62" s="518"/>
      <c r="T62" s="518"/>
      <c r="U62" s="519"/>
      <c r="V62" s="85"/>
      <c r="W62" s="53"/>
      <c r="X62" s="53"/>
      <c r="Y62" s="53"/>
      <c r="Z62" s="53"/>
      <c r="AA62" s="192"/>
      <c r="AB62" s="114"/>
      <c r="AC62" s="114"/>
      <c r="AD62" s="114"/>
      <c r="AE62" s="114"/>
      <c r="AF62" s="114"/>
      <c r="AG62" s="114"/>
      <c r="AH62" s="114"/>
      <c r="AI62" s="114"/>
      <c r="AT62" s="21"/>
      <c r="AU62" s="21"/>
      <c r="AV62" s="21"/>
      <c r="AW62" s="21"/>
      <c r="AY62" s="21"/>
      <c r="AZ62" s="21"/>
      <c r="BA62" s="357"/>
      <c r="BB62" s="357"/>
      <c r="BC62" s="357"/>
      <c r="BD62" s="315"/>
      <c r="BE62" s="21" t="s">
        <v>387</v>
      </c>
      <c r="BF62" s="21" t="s">
        <v>388</v>
      </c>
      <c r="BG62" s="21" t="s">
        <v>389</v>
      </c>
      <c r="BH62" s="21" t="s">
        <v>390</v>
      </c>
      <c r="BI62" s="21" t="s">
        <v>391</v>
      </c>
      <c r="BJ62" s="21" t="s">
        <v>392</v>
      </c>
      <c r="BK62" s="21" t="s">
        <v>393</v>
      </c>
      <c r="BL62" s="21" t="s">
        <v>394</v>
      </c>
      <c r="BM62" s="342"/>
      <c r="BN62" s="345" t="s">
        <v>56</v>
      </c>
      <c r="BO62" s="312"/>
      <c r="BP62" s="312"/>
      <c r="BQ62" s="312"/>
      <c r="BR62" s="312"/>
      <c r="BS62" s="312"/>
      <c r="BT62" s="312"/>
      <c r="BU62" s="312"/>
      <c r="BV62" s="312"/>
      <c r="BW62" s="400" t="s">
        <v>327</v>
      </c>
      <c r="BX62" s="349"/>
      <c r="BY62" s="143"/>
      <c r="BZ62" s="143"/>
      <c r="CA62" s="143"/>
      <c r="CB62" s="143"/>
      <c r="CC62" s="143"/>
      <c r="CD62" s="143"/>
      <c r="CE62" s="143"/>
      <c r="CF62" s="143"/>
      <c r="CG62" s="143"/>
      <c r="CH62" s="143"/>
    </row>
    <row r="63" spans="1:86" ht="279.95" customHeight="1" thickBot="1" x14ac:dyDescent="0.35">
      <c r="A63" s="191"/>
      <c r="B63" s="191"/>
      <c r="E63" s="433"/>
      <c r="F63" s="435"/>
      <c r="G63" s="434"/>
      <c r="H63" s="79"/>
      <c r="I63" s="79"/>
      <c r="J63" s="78"/>
      <c r="K63" s="158"/>
      <c r="L63" s="79"/>
      <c r="M63" s="79"/>
      <c r="N63" s="81"/>
      <c r="O63" s="518"/>
      <c r="P63" s="518"/>
      <c r="Q63" s="518"/>
      <c r="R63" s="518"/>
      <c r="S63" s="518"/>
      <c r="T63" s="518"/>
      <c r="U63" s="519"/>
      <c r="V63" s="85"/>
      <c r="W63" s="53"/>
      <c r="X63" s="53"/>
      <c r="Y63" s="53" t="s">
        <v>2</v>
      </c>
      <c r="Z63" s="53"/>
      <c r="AA63" s="193"/>
      <c r="AB63" s="116"/>
      <c r="AC63" s="116"/>
      <c r="AD63" s="116"/>
      <c r="AE63" s="116"/>
      <c r="AF63" s="116"/>
      <c r="AG63" s="116"/>
      <c r="AH63" s="116"/>
      <c r="AI63" s="116"/>
      <c r="BB63" s="6"/>
      <c r="BC63" s="314"/>
      <c r="BD63" s="316" t="s">
        <v>299</v>
      </c>
      <c r="BE63" s="386" t="s">
        <v>654</v>
      </c>
      <c r="BF63" s="377" t="s">
        <v>278</v>
      </c>
      <c r="BG63" s="363" t="s">
        <v>277</v>
      </c>
      <c r="BH63" s="317"/>
      <c r="BI63" s="317"/>
      <c r="BJ63" s="317"/>
      <c r="BK63" s="317"/>
      <c r="BL63" s="318"/>
      <c r="BM63" s="6"/>
      <c r="BN63" s="345"/>
      <c r="BO63" s="335" t="s">
        <v>491</v>
      </c>
      <c r="BP63" s="335" t="s">
        <v>274</v>
      </c>
      <c r="BQ63" s="335" t="s">
        <v>492</v>
      </c>
      <c r="BR63" s="313"/>
      <c r="BS63" s="313"/>
      <c r="BT63" s="313"/>
      <c r="BU63" s="313"/>
      <c r="BV63" s="313"/>
      <c r="BW63" s="400"/>
      <c r="BX63" s="348"/>
    </row>
    <row r="64" spans="1:86" ht="279.95" customHeight="1" x14ac:dyDescent="0.3">
      <c r="A64" s="191"/>
      <c r="B64" s="191"/>
      <c r="E64" s="433"/>
      <c r="F64" s="435"/>
      <c r="G64" s="434"/>
      <c r="H64" s="79"/>
      <c r="I64" s="79"/>
      <c r="J64" s="78"/>
      <c r="K64" s="158"/>
      <c r="L64" s="79"/>
      <c r="M64" s="79"/>
      <c r="N64" s="81"/>
      <c r="O64" s="518"/>
      <c r="P64" s="518"/>
      <c r="Q64" s="518"/>
      <c r="R64" s="518"/>
      <c r="S64" s="518"/>
      <c r="T64" s="518"/>
      <c r="U64" s="519"/>
      <c r="V64" s="85"/>
      <c r="W64" s="53"/>
      <c r="X64" s="53"/>
      <c r="Y64" s="53"/>
      <c r="Z64" s="53"/>
      <c r="AA64" s="194"/>
      <c r="AB64" s="114"/>
      <c r="AC64" s="86"/>
      <c r="AD64" s="42"/>
      <c r="AE64" s="42"/>
      <c r="AF64" s="42"/>
      <c r="AG64" s="179"/>
      <c r="AH64" s="90"/>
      <c r="AI64" s="90"/>
      <c r="BB64" s="6"/>
      <c r="BC64" s="314"/>
      <c r="BN64" s="346" t="s">
        <v>56</v>
      </c>
      <c r="BO64" s="328"/>
      <c r="BP64" s="328"/>
      <c r="BQ64" s="328"/>
      <c r="BR64" s="328"/>
      <c r="BS64" s="328"/>
      <c r="BT64" s="328"/>
      <c r="BU64" s="328"/>
      <c r="BV64" s="328"/>
      <c r="BW64" s="512" t="s">
        <v>328</v>
      </c>
      <c r="BX64" s="348"/>
    </row>
    <row r="65" spans="1:85" ht="279.95" customHeight="1" thickBot="1" x14ac:dyDescent="0.35">
      <c r="A65" s="191"/>
      <c r="B65" s="191"/>
      <c r="E65" s="436"/>
      <c r="F65" s="439"/>
      <c r="G65" s="437"/>
      <c r="H65" s="79"/>
      <c r="I65" s="79"/>
      <c r="J65" s="78"/>
      <c r="K65" s="158"/>
      <c r="L65" s="79"/>
      <c r="M65" s="79"/>
      <c r="N65" s="81"/>
      <c r="O65" s="520"/>
      <c r="P65" s="520"/>
      <c r="Q65" s="520"/>
      <c r="R65" s="520"/>
      <c r="S65" s="520"/>
      <c r="T65" s="520"/>
      <c r="U65" s="521"/>
      <c r="V65" s="85"/>
      <c r="W65" s="53"/>
      <c r="X65" s="53"/>
      <c r="Y65" s="53"/>
      <c r="Z65" s="53"/>
      <c r="AA65" s="185"/>
      <c r="AB65" s="114"/>
      <c r="AC65" s="100"/>
      <c r="AD65" s="94"/>
      <c r="AE65" s="94"/>
      <c r="AF65" s="94"/>
      <c r="AG65" s="90"/>
      <c r="AH65" s="90"/>
      <c r="AI65" s="90"/>
      <c r="BB65" s="6"/>
      <c r="BC65" s="314"/>
      <c r="BN65" s="346"/>
      <c r="BO65" s="327"/>
      <c r="BP65" s="327"/>
      <c r="BQ65" s="327"/>
      <c r="BR65" s="327"/>
      <c r="BS65" s="327"/>
      <c r="BT65" s="327"/>
      <c r="BU65" s="327"/>
      <c r="BV65" s="327"/>
      <c r="BW65" s="512"/>
      <c r="BX65" s="348"/>
    </row>
    <row r="66" spans="1:85" ht="279.75" customHeight="1" thickBot="1" x14ac:dyDescent="0.35">
      <c r="A66" s="191"/>
      <c r="B66" s="191"/>
      <c r="E66" s="71" t="s">
        <v>46</v>
      </c>
      <c r="F66" s="72"/>
      <c r="G66" s="153"/>
      <c r="H66" s="79"/>
      <c r="I66" s="79"/>
      <c r="J66" s="78"/>
      <c r="K66" s="158"/>
      <c r="L66" s="79"/>
      <c r="M66" s="79"/>
      <c r="N66" s="81"/>
      <c r="O66" s="578" t="s">
        <v>47</v>
      </c>
      <c r="P66" s="516"/>
      <c r="Q66" s="516"/>
      <c r="R66" s="516"/>
      <c r="S66" s="516"/>
      <c r="T66" s="516"/>
      <c r="U66" s="517"/>
      <c r="V66" s="85"/>
      <c r="W66" s="53"/>
      <c r="X66" s="53"/>
      <c r="Y66" s="53"/>
      <c r="Z66" s="53"/>
      <c r="AA66" s="195"/>
      <c r="AB66" s="196"/>
      <c r="AC66" s="52"/>
      <c r="AD66" s="95"/>
      <c r="AE66" s="95"/>
      <c r="AF66" s="95"/>
      <c r="AG66" s="90"/>
      <c r="AH66" s="90"/>
      <c r="AI66" s="90"/>
      <c r="AK66" s="86"/>
      <c r="AL66" s="86"/>
      <c r="AM66" s="86"/>
      <c r="AN66" s="202"/>
      <c r="AO66" s="202"/>
      <c r="AP66" s="86"/>
      <c r="AQ66" s="86"/>
      <c r="AR66" s="209"/>
      <c r="AS66" s="209"/>
      <c r="AT66" s="455" t="s">
        <v>11</v>
      </c>
      <c r="AU66" s="522"/>
      <c r="AV66" s="522"/>
      <c r="AW66" s="456"/>
      <c r="AX66" s="210"/>
      <c r="AY66" s="210"/>
      <c r="AZ66" s="210"/>
      <c r="BA66" s="210"/>
      <c r="BO66" s="21" t="s">
        <v>386</v>
      </c>
      <c r="BP66" s="21" t="s">
        <v>385</v>
      </c>
      <c r="BQ66" s="21" t="s">
        <v>384</v>
      </c>
      <c r="BR66" s="21" t="s">
        <v>383</v>
      </c>
      <c r="BS66" s="21" t="s">
        <v>382</v>
      </c>
      <c r="BT66" s="21" t="s">
        <v>381</v>
      </c>
      <c r="BU66" s="21" t="s">
        <v>380</v>
      </c>
      <c r="BV66" s="21" t="s">
        <v>379</v>
      </c>
    </row>
    <row r="67" spans="1:85" ht="137.25" customHeight="1" thickBot="1" x14ac:dyDescent="0.35">
      <c r="A67" s="197"/>
      <c r="B67" s="90"/>
      <c r="E67" s="78"/>
      <c r="F67" s="79"/>
      <c r="G67" s="158"/>
      <c r="H67" s="79"/>
      <c r="I67" s="79"/>
      <c r="J67" s="78"/>
      <c r="K67" s="158"/>
      <c r="L67" s="79"/>
      <c r="M67" s="79"/>
      <c r="N67" s="81"/>
      <c r="O67" s="579"/>
      <c r="P67" s="518"/>
      <c r="Q67" s="518"/>
      <c r="R67" s="518"/>
      <c r="S67" s="518"/>
      <c r="T67" s="518"/>
      <c r="U67" s="519"/>
      <c r="V67" s="85"/>
      <c r="W67" s="53"/>
      <c r="X67" s="53"/>
      <c r="Y67" s="53"/>
      <c r="Z67" s="83"/>
      <c r="AA67" s="581" t="s">
        <v>48</v>
      </c>
      <c r="AB67" s="582"/>
      <c r="AC67" s="583"/>
      <c r="AD67" s="95"/>
      <c r="AE67" s="95"/>
      <c r="AF67" s="95"/>
      <c r="AG67" s="45"/>
      <c r="AH67" s="45"/>
      <c r="AI67" s="46"/>
      <c r="AJ67" s="46"/>
      <c r="AK67" s="86"/>
      <c r="AL67" s="86"/>
      <c r="AM67" s="86"/>
      <c r="AN67" s="186"/>
      <c r="AO67" s="186"/>
      <c r="AP67" s="186"/>
      <c r="AQ67" s="198"/>
      <c r="AR67" s="186"/>
      <c r="AS67" s="186"/>
      <c r="AT67" s="300"/>
      <c r="AU67" s="301"/>
      <c r="AV67" s="301"/>
      <c r="AW67" s="302"/>
      <c r="AX67" s="210"/>
      <c r="AY67" s="210"/>
      <c r="AZ67" s="308"/>
      <c r="BA67" s="306">
        <v>1</v>
      </c>
      <c r="BB67" s="306">
        <v>2</v>
      </c>
      <c r="BC67" s="306">
        <v>3</v>
      </c>
      <c r="BD67" s="307">
        <v>4</v>
      </c>
      <c r="BE67" s="307">
        <v>5</v>
      </c>
      <c r="BF67" s="307">
        <v>6</v>
      </c>
      <c r="BG67" s="306">
        <v>7</v>
      </c>
      <c r="BH67" s="306">
        <v>8</v>
      </c>
      <c r="BI67" s="306">
        <v>9</v>
      </c>
      <c r="BJ67" s="307">
        <v>10</v>
      </c>
      <c r="BK67" s="307">
        <v>11</v>
      </c>
      <c r="BL67" s="307">
        <v>12</v>
      </c>
      <c r="BM67" s="306">
        <v>13</v>
      </c>
      <c r="BN67" s="306">
        <v>14</v>
      </c>
      <c r="BO67" s="306">
        <v>15</v>
      </c>
      <c r="BP67" s="306">
        <v>16</v>
      </c>
      <c r="BQ67" s="306">
        <v>17</v>
      </c>
      <c r="BR67" s="307">
        <v>18</v>
      </c>
      <c r="BS67" s="307">
        <v>19</v>
      </c>
      <c r="BT67" s="307">
        <v>20</v>
      </c>
      <c r="BU67" s="306">
        <v>21</v>
      </c>
      <c r="BV67" s="306">
        <v>22</v>
      </c>
      <c r="BW67" s="309" t="s">
        <v>406</v>
      </c>
      <c r="CG67" s="6" t="s">
        <v>569</v>
      </c>
    </row>
    <row r="68" spans="1:85" ht="279.95" customHeight="1" thickBot="1" x14ac:dyDescent="0.35">
      <c r="A68" s="197"/>
      <c r="B68" s="90"/>
      <c r="E68" s="78"/>
      <c r="F68" s="79"/>
      <c r="G68" s="158"/>
      <c r="H68" s="79"/>
      <c r="I68" s="79"/>
      <c r="J68" s="78"/>
      <c r="K68" s="158"/>
      <c r="L68" s="79"/>
      <c r="M68" s="79"/>
      <c r="N68" s="81"/>
      <c r="O68" s="579"/>
      <c r="P68" s="518"/>
      <c r="Q68" s="518"/>
      <c r="R68" s="518"/>
      <c r="S68" s="518"/>
      <c r="T68" s="518"/>
      <c r="U68" s="519"/>
      <c r="V68" s="85"/>
      <c r="W68" s="53"/>
      <c r="X68" s="53"/>
      <c r="Y68" s="53"/>
      <c r="Z68" s="83"/>
      <c r="AA68" s="584"/>
      <c r="AB68" s="585"/>
      <c r="AC68" s="586"/>
      <c r="AD68" s="95"/>
      <c r="AE68" s="95"/>
      <c r="AF68" s="95"/>
      <c r="AG68" s="179"/>
      <c r="AH68" s="98"/>
      <c r="AJ68" s="186"/>
      <c r="AK68" s="186"/>
      <c r="AL68" s="186"/>
      <c r="AM68" s="186"/>
      <c r="AN68" s="186"/>
      <c r="AO68" s="186"/>
      <c r="AP68" s="186"/>
      <c r="AQ68" s="198"/>
      <c r="AR68" s="186"/>
      <c r="AS68" s="186"/>
      <c r="AT68" s="303"/>
      <c r="AU68" s="304"/>
      <c r="AV68" s="304"/>
      <c r="AW68" s="305"/>
      <c r="AX68" s="210"/>
      <c r="AY68" s="210"/>
      <c r="AZ68" s="306">
        <v>401</v>
      </c>
      <c r="BA68" s="355">
        <f>COUNTIF($AK$11:$BL$63,"*401-1-*") + COUNTIF($BO$11:$BV$65,"*401-1-*")</f>
        <v>0</v>
      </c>
      <c r="BB68" s="355">
        <f>COUNTIF($AK$11:$BL$63,"*401-2-*") + COUNTIF($BO$11:$BV$65,"*401-2-*")</f>
        <v>0</v>
      </c>
      <c r="BC68" s="355">
        <f>COUNTIF($AK$11:$BL$63,"*401-3-*") + COUNTIF($BO$11:$BV$65,"*401-3-*")</f>
        <v>0</v>
      </c>
      <c r="BD68" s="355">
        <f>COUNTIF($AK$11:$BL$63,"*401-4-*") + COUNTIF($BO$11:$BV$65,"*401-4-*")</f>
        <v>0</v>
      </c>
      <c r="BE68" s="355">
        <f>COUNTIF($AK$11:$BL$63,"*401-5-*") + COUNTIF($BO$11:$BV$65,"*401-5-*")</f>
        <v>0</v>
      </c>
      <c r="BF68" s="355">
        <f>COUNTIF($AK$11:$BL$63,"*401-6-*") + COUNTIF($BO$11:$BV$65,"*401-6-*")</f>
        <v>2</v>
      </c>
      <c r="BG68" s="355">
        <f>COUNTIF($AK$11:$BL$63,"*401-7-*") + COUNTIF($BO$11:$BV$65,"*401-7-*")</f>
        <v>14</v>
      </c>
      <c r="BH68" s="355">
        <f>COUNTIF($AK$11:$BL$63,"*401-8-*") + COUNTIF($BO$11:$BV$65,"*401-8-*")</f>
        <v>14</v>
      </c>
      <c r="BI68" s="355">
        <f>COUNTIF($AK$11:$BL$63,"*401-9-*") + COUNTIF($BO$11:$BV$65,"*401-9-*")</f>
        <v>14</v>
      </c>
      <c r="BJ68" s="355">
        <f>COUNTIF($AK$11:$BL$63,"*401-10-*") + COUNTIF($BO$11:$BV$65,"*401-10-*")</f>
        <v>14</v>
      </c>
      <c r="BK68" s="355">
        <f>COUNTIF($AK$11:$BL$63,"*401-11-*") + COUNTIF($BO$11:$BV$65,"*401-11-*")</f>
        <v>14</v>
      </c>
      <c r="BL68" s="355">
        <f>COUNTIF($AK$11:$BL$63,"*401-12-*") + COUNTIF($BO$11:$BV$65,"*401-12-*")</f>
        <v>14</v>
      </c>
      <c r="BM68" s="355">
        <f>COUNTIF($AK$11:$BL$63,"*401-13-*") + COUNTIF($BO$11:$BV$65,"*401-13-*")</f>
        <v>14</v>
      </c>
      <c r="BN68" s="355">
        <f>COUNTIF($AK$11:$BL$63,"*401-14-*") + COUNTIF($BO$11:$BV$65,"*401-14-*")</f>
        <v>14</v>
      </c>
      <c r="BO68" s="355">
        <f>COUNTIF($AK$11:$BL$63,"*401-15-*") + COUNTIF($BO$11:$BV$65,"*401-15-*")</f>
        <v>14</v>
      </c>
      <c r="BP68" s="355">
        <f>COUNTIF($AK$11:$BL$63,"*401-16-*") + COUNTIF($BO$11:$BV$65,"*401-16-*")</f>
        <v>14</v>
      </c>
      <c r="BQ68" s="355">
        <f>COUNTIF($AK$11:$BL$63,"*401-17-*") + COUNTIF($BO$11:$BV$65,"*401-17-*")</f>
        <v>14</v>
      </c>
      <c r="BR68" s="355">
        <f>COUNTIF($AK$11:$BL$63,"*401-18-*") + COUNTIF($BO$11:$BV$65,"*401-18-*")</f>
        <v>14</v>
      </c>
      <c r="BS68" s="356">
        <f>COUNTIF($AK$11:$BL$63,"*401-19-*") + COUNTIF($BO$11:$BV$65,"*401-19-*")</f>
        <v>0</v>
      </c>
      <c r="BT68" s="356">
        <f>COUNTIF($AK$11:$BL$63,"*401-20-*") + COUNTIF($BO$11:$BV$65,"*401-20-*")</f>
        <v>0</v>
      </c>
      <c r="BU68" s="356">
        <f>COUNTIF($AK$11:$BL$63,"*401-21-*") + COUNTIF($BO$11:$BV$65,"*401-21-*")</f>
        <v>0</v>
      </c>
      <c r="BV68" s="356">
        <f>COUNTIF($AK$11:$BL$63,"*401-22-*") + COUNTIF($BO$11:$BV$65,"*401-22-*")</f>
        <v>0</v>
      </c>
      <c r="BW68" s="310">
        <f>SUM(BA68:BV68)/(14*18)</f>
        <v>0.67460317460317465</v>
      </c>
    </row>
    <row r="69" spans="1:85" ht="279.95" customHeight="1" x14ac:dyDescent="0.3">
      <c r="A69" s="197"/>
      <c r="B69" s="70"/>
      <c r="E69" s="78"/>
      <c r="F69" s="79"/>
      <c r="G69" s="158"/>
      <c r="H69" s="79"/>
      <c r="I69" s="79"/>
      <c r="J69" s="78"/>
      <c r="K69" s="158"/>
      <c r="L69" s="79"/>
      <c r="M69" s="79"/>
      <c r="N69" s="81"/>
      <c r="O69" s="579"/>
      <c r="P69" s="518"/>
      <c r="Q69" s="518"/>
      <c r="R69" s="518"/>
      <c r="S69" s="518"/>
      <c r="T69" s="518"/>
      <c r="U69" s="519"/>
      <c r="V69" s="85"/>
      <c r="W69" s="53"/>
      <c r="X69" s="53"/>
      <c r="Y69" s="53"/>
      <c r="Z69" s="83"/>
      <c r="AA69" s="584"/>
      <c r="AB69" s="585"/>
      <c r="AC69" s="586"/>
      <c r="AD69" s="95"/>
      <c r="AE69" s="95"/>
      <c r="AF69" s="95"/>
      <c r="AH69" s="98"/>
      <c r="AJ69" s="186"/>
      <c r="AK69" s="138"/>
      <c r="AL69" s="212"/>
      <c r="AM69" s="186"/>
      <c r="AN69" s="186"/>
      <c r="AO69" s="186"/>
      <c r="AP69" s="186"/>
      <c r="AQ69" s="198"/>
      <c r="AR69" s="213"/>
      <c r="AS69" s="271"/>
      <c r="AT69" s="560" t="s">
        <v>12</v>
      </c>
      <c r="AU69" s="561"/>
      <c r="AV69" s="561"/>
      <c r="AW69" s="562"/>
      <c r="AX69" s="210"/>
      <c r="AY69" s="210"/>
      <c r="AZ69" s="306">
        <v>402</v>
      </c>
      <c r="BA69" s="337">
        <f>COUNTIF($AK$11:$BL$63,"*402-1-*") + COUNTIF($BO$11:$BV$65,"*402-1-*")</f>
        <v>12</v>
      </c>
      <c r="BB69" s="337">
        <f>COUNTIF($AK$11:$BL$63,"*402-2-*") + COUNTIF($BO$11:$BV$65,"*402-2-*")</f>
        <v>14</v>
      </c>
      <c r="BC69" s="337">
        <f>COUNTIF($AK$11:$BL$63,"*402-3-*") + COUNTIF($BO$11:$BV$65,"*402-3-*")</f>
        <v>14</v>
      </c>
      <c r="BD69" s="337">
        <f>COUNTIF($AK$11:$BL$63,"*402-4-*") + COUNTIF($BO$11:$BV$65,"*402-4-*")</f>
        <v>13</v>
      </c>
      <c r="BE69" s="337">
        <f>COUNTIF($AK$11:$BL$63,"*402-5-*") + COUNTIF($BO$11:$BV$65,"*402-5-*")</f>
        <v>14</v>
      </c>
      <c r="BF69" s="337">
        <f>COUNTIF($AK$11:$BL$63,"*402-6-*") + COUNTIF($BO$11:$BV$65,"*402-6-*")</f>
        <v>7</v>
      </c>
      <c r="BG69" s="337">
        <f>COUNTIF($AK$11:$BL$63,"*402-7-*") + COUNTIF($BO$11:$BV$65,"*402-7-*")</f>
        <v>1</v>
      </c>
      <c r="BH69" s="337">
        <f>COUNTIF($AK$11:$BL$63,"*402-8-*") + COUNTIF($BO$11:$BV$65,"*402-8-*")</f>
        <v>5</v>
      </c>
      <c r="BI69" s="337">
        <f>COUNTIF($AK$11:$BL$63,"*402-9-*") + COUNTIF($BO$11:$BV$65,"*402-9-*")</f>
        <v>3</v>
      </c>
      <c r="BJ69" s="337">
        <f>COUNTIF($AK$11:$BL$63,"*402-10-*") + COUNTIF($BO$11:$BV$65,"*402-10-*")</f>
        <v>1</v>
      </c>
      <c r="BK69" s="337">
        <f>COUNTIF($AK$11:$BL$63,"*402-11-*") + COUNTIF($BO$11:$BV$65,"*402-11-*")</f>
        <v>0</v>
      </c>
      <c r="BL69" s="337">
        <f>COUNTIF($AK$11:$BL$63,"*402-12-*") + COUNTIF($BO$11:$BV$65,"*402-12-*")</f>
        <v>0</v>
      </c>
      <c r="BM69" s="337">
        <f>COUNTIF($AK$11:$BL$63,"*402-13-*") + COUNTIF($BO$11:$BV$65,"*402-13-*")</f>
        <v>0</v>
      </c>
      <c r="BN69" s="337">
        <f>COUNTIF($AK$11:$BL$63,"*402-14-*") + COUNTIF($BO$11:$BV$65,"*402-14-*")</f>
        <v>0</v>
      </c>
      <c r="BO69" s="337">
        <f>COUNTIF($AK$11:$BL$63,"*402-15-*") + COUNTIF($BO$11:$BV$65,"*402-15-*")</f>
        <v>0</v>
      </c>
      <c r="BP69" s="337">
        <f>COUNTIF($AK$11:$BL$63,"*402-16-*") + COUNTIF($BO$11:$BV$65,"*402-16-*")</f>
        <v>0</v>
      </c>
      <c r="BQ69" s="337">
        <f>COUNTIF($AK$11:$BL$63,"*402-17-*") + COUNTIF($BO$11:$BV$65,"*402-17-*")</f>
        <v>0</v>
      </c>
      <c r="BR69" s="337">
        <f>COUNTIF($AK$11:$BL$63,"*402-18-*") + COUNTIF($BO$11:$BV$65,"*402-18-*")</f>
        <v>0</v>
      </c>
      <c r="BS69" s="337">
        <f>COUNTIF($AK$11:$BL$63,"*402-19-*") + COUNTIF($BO$11:$BV$65,"*402-19-*")</f>
        <v>0</v>
      </c>
      <c r="BT69" s="337">
        <f>COUNTIF($AK$11:$BL$63,"*402-20-*") + COUNTIF($BO$11:$BV$65,"*402-20-*")</f>
        <v>0</v>
      </c>
      <c r="BU69" s="337">
        <f>COUNTIF($AK$11:$BL$63,"*402-21-*") + COUNTIF($BO$11:$BV$65,"*402-21-*")</f>
        <v>0</v>
      </c>
      <c r="BV69" s="337">
        <f>COUNTIF($AK$11:$BL$63,"*402-22-*") + COUNTIF($BO$11:$BV$65,"*402-22-*")</f>
        <v>0</v>
      </c>
      <c r="BW69" s="310">
        <f>SUM(BA69:BV69)/(14*22)</f>
        <v>0.27272727272727271</v>
      </c>
    </row>
    <row r="70" spans="1:85" ht="279.95" customHeight="1" x14ac:dyDescent="0.3">
      <c r="A70" s="197"/>
      <c r="B70" s="70"/>
      <c r="E70" s="78"/>
      <c r="F70" s="79"/>
      <c r="G70" s="158"/>
      <c r="H70" s="79"/>
      <c r="I70" s="79"/>
      <c r="J70" s="78"/>
      <c r="K70" s="158"/>
      <c r="L70" s="79"/>
      <c r="M70" s="79"/>
      <c r="N70" s="81"/>
      <c r="O70" s="579"/>
      <c r="P70" s="518"/>
      <c r="Q70" s="518"/>
      <c r="R70" s="518"/>
      <c r="S70" s="518"/>
      <c r="T70" s="518"/>
      <c r="U70" s="519"/>
      <c r="V70" s="189"/>
      <c r="W70" s="53"/>
      <c r="X70" s="53"/>
      <c r="Y70" s="53"/>
      <c r="Z70" s="83"/>
      <c r="AA70" s="584"/>
      <c r="AB70" s="585"/>
      <c r="AC70" s="586"/>
      <c r="AD70" s="95"/>
      <c r="AE70" s="95"/>
      <c r="AF70" s="95"/>
      <c r="AH70" s="179"/>
      <c r="AI70" s="90"/>
      <c r="AJ70" s="186"/>
      <c r="AP70" s="186"/>
      <c r="AQ70" s="198"/>
      <c r="AR70" s="213"/>
      <c r="AS70" s="271"/>
      <c r="AT70" s="563"/>
      <c r="AU70" s="564"/>
      <c r="AV70" s="564"/>
      <c r="AW70" s="565"/>
      <c r="AX70" s="210"/>
      <c r="AY70" s="210"/>
      <c r="AZ70" s="307">
        <v>403</v>
      </c>
      <c r="BA70" s="336">
        <f>COUNTIF($AK$11:$BL$63,"*403-1-*") + COUNTIF($BO$11:$BV$65,"*403-1-*")</f>
        <v>14</v>
      </c>
      <c r="BB70" s="336">
        <f>COUNTIF($AK$11:$BL$63,"*403-2-*") + COUNTIF($BO$11:$BV$65,"*403-2-*")</f>
        <v>14</v>
      </c>
      <c r="BC70" s="336">
        <f>COUNTIF($AK$11:$BL$63,"*403-3-*") + COUNTIF($BO$11:$BV$65,"*403-3-*")</f>
        <v>14</v>
      </c>
      <c r="BD70" s="336">
        <f>COUNTIF($AK$11:$BL$63,"*403-4-*") + COUNTIF($BO$11:$BV$65,"*403-4-*")</f>
        <v>14</v>
      </c>
      <c r="BE70" s="336">
        <f>COUNTIF($AK$11:$BL$63,"*403-5-*") + COUNTIF($BO$11:$BV$65,"*403-5-*")</f>
        <v>14</v>
      </c>
      <c r="BF70" s="336">
        <f>COUNTIF($AK$11:$BL$63,"*403-6-*") + COUNTIF($BO$11:$BV$65,"*403-6-*")</f>
        <v>14</v>
      </c>
      <c r="BG70" s="336">
        <f>COUNTIF($AK$11:$BL$63,"*403-7-*") + COUNTIF($BO$11:$BV$65,"*403-7-*")</f>
        <v>14</v>
      </c>
      <c r="BH70" s="336">
        <f>COUNTIF($AK$11:$BL$63,"*403-8-*") + COUNTIF($BO$11:$BV$65,"*403-8-*")</f>
        <v>14</v>
      </c>
      <c r="BI70" s="336">
        <f>COUNTIF($AK$11:$BL$63,"*403-9-*") + COUNTIF($BO$11:$BV$65,"*403-9-*")</f>
        <v>14</v>
      </c>
      <c r="BJ70" s="336">
        <f>COUNTIF($AK$11:$BL$63,"*403-10-*") + COUNTIF($BO$11:$BV$65,"*403-10-*")</f>
        <v>14</v>
      </c>
      <c r="BK70" s="336">
        <f>COUNTIF($AK$11:$BL$63,"*403-11-*") + COUNTIF($BO$11:$BV$65,"*403-11-*")</f>
        <v>14</v>
      </c>
      <c r="BL70" s="336">
        <f>COUNTIF($AK$11:$BL$63,"*403-12-*") + COUNTIF($BO$11:$BV$65,"*403-12-*")</f>
        <v>12</v>
      </c>
      <c r="BM70" s="336">
        <f>COUNTIF($AK$11:$BL$63,"*403-13-*") + COUNTIF($BO$11:$BV$65,"*403-13-*")</f>
        <v>11</v>
      </c>
      <c r="BN70" s="336">
        <f>COUNTIF($AK$11:$BL$63,"*403-14-*") + COUNTIF($BO$11:$BV$65,"*403-14-*")</f>
        <v>13</v>
      </c>
      <c r="BO70" s="336">
        <f>COUNTIF($AK$11:$BL$63,"*403-15-*") + COUNTIF($BO$11:$BV$65,"*403-15-*")</f>
        <v>13</v>
      </c>
      <c r="BP70" s="336">
        <f>COUNTIF($AK$11:$BL$63,"*403-16-*") + COUNTIF($BO$11:$BV$65,"*403-16-*")</f>
        <v>11</v>
      </c>
      <c r="BQ70" s="356">
        <f>COUNTIF($AK$11:$BL$63,"*403-17-*") + COUNTIF($BO$11:$BV$65,"*403-17-*")</f>
        <v>0</v>
      </c>
      <c r="BR70" s="356">
        <f>COUNTIF($AK$11:$BL$63,"*403-18-*") + COUNTIF($BO$11:$BV$65,"*403-18-*")</f>
        <v>0</v>
      </c>
      <c r="BS70" s="356">
        <f>COUNTIF($AK$11:$BL$63,"*403-19-*") + COUNTIF($BO$11:$BV$65,"*403-19-*")</f>
        <v>0</v>
      </c>
      <c r="BT70" s="356">
        <f>COUNTIF($AK$11:$BL$63,"*403-20-*") + COUNTIF($BO$11:$BV$65,"*403-20-*")</f>
        <v>0</v>
      </c>
      <c r="BU70" s="356">
        <f>COUNTIF($AK$11:$BL$63,"*403-21-*") + COUNTIF($BO$11:$BV$65,"*403-21-*")</f>
        <v>0</v>
      </c>
      <c r="BV70" s="356">
        <f>COUNTIF($AK$11:$BL$63,"*403-22-*") + COUNTIF($BO$11:$BV$65,"*403-22-*")</f>
        <v>0</v>
      </c>
      <c r="BW70" s="310">
        <f>SUM(BA70:BV70)/(14*16)</f>
        <v>0.9553571428571429</v>
      </c>
    </row>
    <row r="71" spans="1:85" ht="279.95" customHeight="1" thickBot="1" x14ac:dyDescent="0.35">
      <c r="A71" s="197"/>
      <c r="B71" s="42"/>
      <c r="E71" s="78"/>
      <c r="F71" s="79"/>
      <c r="G71" s="158"/>
      <c r="H71" s="79"/>
      <c r="I71" s="79"/>
      <c r="J71" s="78"/>
      <c r="K71" s="158"/>
      <c r="L71" s="79"/>
      <c r="M71" s="79"/>
      <c r="N71" s="81"/>
      <c r="O71" s="579"/>
      <c r="P71" s="518"/>
      <c r="Q71" s="518"/>
      <c r="R71" s="518"/>
      <c r="S71" s="518"/>
      <c r="T71" s="518"/>
      <c r="U71" s="519"/>
      <c r="V71" s="189"/>
      <c r="W71" s="53"/>
      <c r="X71" s="53"/>
      <c r="Y71" s="53"/>
      <c r="Z71" s="83"/>
      <c r="AA71" s="587"/>
      <c r="AB71" s="588"/>
      <c r="AC71" s="589"/>
      <c r="AD71" s="95"/>
      <c r="AE71" s="95"/>
      <c r="AF71" s="95"/>
      <c r="AH71" s="179"/>
      <c r="AI71" s="90"/>
      <c r="AJ71" s="186"/>
      <c r="AP71" s="186"/>
      <c r="AQ71" s="198"/>
      <c r="AR71" s="213"/>
      <c r="AS71" s="271"/>
      <c r="AT71" s="566"/>
      <c r="AU71" s="567"/>
      <c r="AV71" s="567"/>
      <c r="AW71" s="568"/>
      <c r="AX71" s="210"/>
      <c r="AY71" s="210"/>
      <c r="AZ71" s="210"/>
      <c r="BA71" s="186"/>
      <c r="BH71" s="292"/>
      <c r="BX71" s="44"/>
    </row>
    <row r="72" spans="1:85" ht="279.95" customHeight="1" x14ac:dyDescent="0.3">
      <c r="A72" s="197"/>
      <c r="B72" s="42"/>
      <c r="E72" s="78"/>
      <c r="F72" s="79"/>
      <c r="G72" s="158"/>
      <c r="H72" s="79"/>
      <c r="I72" s="79"/>
      <c r="J72" s="78"/>
      <c r="K72" s="158"/>
      <c r="L72" s="79"/>
      <c r="M72" s="79"/>
      <c r="N72" s="81"/>
      <c r="O72" s="579"/>
      <c r="P72" s="518"/>
      <c r="Q72" s="518"/>
      <c r="R72" s="518"/>
      <c r="S72" s="518"/>
      <c r="T72" s="518"/>
      <c r="U72" s="519"/>
      <c r="V72" s="189"/>
      <c r="W72" s="53"/>
      <c r="X72" s="53"/>
      <c r="Y72" s="53"/>
      <c r="Z72" s="53"/>
      <c r="AB72" s="200"/>
      <c r="AC72" s="201"/>
      <c r="AD72" s="90"/>
      <c r="AE72" s="186"/>
      <c r="AF72" s="90"/>
      <c r="AH72" s="90"/>
      <c r="AI72" s="90"/>
      <c r="AJ72" s="90"/>
      <c r="AP72" s="186"/>
      <c r="AQ72" s="198"/>
      <c r="AR72" s="198"/>
      <c r="AS72" s="198"/>
      <c r="AT72" s="189"/>
      <c r="AU72" s="210"/>
      <c r="AV72" s="210"/>
      <c r="AW72" s="210"/>
      <c r="AX72" s="210"/>
      <c r="AY72" s="210"/>
      <c r="AZ72" s="210"/>
      <c r="BA72" s="42"/>
      <c r="BF72" s="292"/>
      <c r="BG72" s="292"/>
      <c r="BH72" s="293"/>
      <c r="BI72" s="6"/>
      <c r="BJ72" s="6"/>
      <c r="BK72" s="6"/>
      <c r="BL72" s="6"/>
      <c r="BM72" s="296"/>
      <c r="BN72" s="6"/>
      <c r="BO72" s="6"/>
      <c r="BP72" s="311"/>
      <c r="BQ72" s="198"/>
      <c r="BR72" s="6"/>
      <c r="BS72" s="6"/>
      <c r="BT72" s="6"/>
      <c r="BU72" s="6"/>
      <c r="BV72" s="6"/>
    </row>
    <row r="73" spans="1:85" ht="279.95" customHeight="1" thickBot="1" x14ac:dyDescent="0.35">
      <c r="A73" s="197"/>
      <c r="B73" s="97"/>
      <c r="E73" s="78"/>
      <c r="F73" s="79"/>
      <c r="G73" s="158"/>
      <c r="H73" s="79"/>
      <c r="I73" s="79"/>
      <c r="J73" s="78"/>
      <c r="K73" s="158"/>
      <c r="L73" s="79"/>
      <c r="M73" s="79"/>
      <c r="N73" s="81"/>
      <c r="O73" s="579"/>
      <c r="P73" s="518"/>
      <c r="Q73" s="518"/>
      <c r="R73" s="518"/>
      <c r="S73" s="518"/>
      <c r="T73" s="518"/>
      <c r="U73" s="519"/>
      <c r="V73" s="189"/>
      <c r="W73" s="53"/>
      <c r="X73" s="53"/>
      <c r="Y73" s="53"/>
      <c r="Z73" s="53"/>
      <c r="AB73" s="203"/>
      <c r="AC73" s="204"/>
      <c r="AD73" s="52"/>
      <c r="AE73" s="52"/>
      <c r="AF73" s="92"/>
      <c r="AG73" s="160"/>
      <c r="AH73" s="205"/>
      <c r="AI73" s="205"/>
      <c r="AP73" s="186"/>
      <c r="AQ73" s="198"/>
      <c r="AR73" s="198"/>
      <c r="AS73" s="198"/>
      <c r="AT73" s="189"/>
      <c r="AU73" s="210"/>
      <c r="AV73" s="210"/>
      <c r="AW73" s="210"/>
      <c r="AX73" s="210"/>
      <c r="AY73" s="210"/>
      <c r="AZ73" s="210"/>
      <c r="BA73" s="42"/>
      <c r="BF73" s="6"/>
      <c r="BG73" s="6"/>
      <c r="BH73" s="6"/>
      <c r="BI73" s="6"/>
      <c r="BJ73" s="6"/>
      <c r="BK73" s="6"/>
      <c r="BL73" s="6"/>
      <c r="BM73" s="296"/>
      <c r="BN73" s="6"/>
      <c r="BO73" s="6"/>
      <c r="BP73" s="6"/>
      <c r="BQ73" s="6"/>
      <c r="BR73" s="6"/>
      <c r="BS73" s="6"/>
      <c r="BT73" s="6"/>
      <c r="BU73" s="6"/>
      <c r="BV73" s="6"/>
    </row>
    <row r="74" spans="1:85" ht="279.95" customHeight="1" thickBot="1" x14ac:dyDescent="0.35">
      <c r="A74" s="42"/>
      <c r="B74" s="97"/>
      <c r="E74" s="78"/>
      <c r="F74" s="79"/>
      <c r="G74" s="158"/>
      <c r="H74" s="79"/>
      <c r="I74" s="79"/>
      <c r="J74" s="78"/>
      <c r="K74" s="158"/>
      <c r="L74" s="79"/>
      <c r="M74" s="79"/>
      <c r="N74" s="81"/>
      <c r="O74" s="579"/>
      <c r="P74" s="518"/>
      <c r="Q74" s="518"/>
      <c r="R74" s="518"/>
      <c r="S74" s="518"/>
      <c r="T74" s="518"/>
      <c r="U74" s="519"/>
      <c r="V74" s="207"/>
      <c r="W74" s="208"/>
      <c r="X74" s="53"/>
      <c r="Y74" s="53"/>
      <c r="Z74" s="53"/>
      <c r="AB74" s="509" t="s">
        <v>49</v>
      </c>
      <c r="AC74" s="510"/>
      <c r="AG74" s="90"/>
      <c r="AH74" s="121"/>
      <c r="AI74" s="90"/>
      <c r="AJ74" s="86"/>
      <c r="AP74" s="186"/>
      <c r="AQ74" s="198"/>
      <c r="AR74" s="198"/>
      <c r="AS74" s="198"/>
      <c r="AT74" s="569" t="s">
        <v>13</v>
      </c>
      <c r="AU74" s="570"/>
      <c r="AV74" s="570"/>
      <c r="AW74" s="570"/>
      <c r="AX74" s="570"/>
      <c r="AY74" s="571"/>
      <c r="AZ74" s="210"/>
      <c r="BA74" s="90"/>
      <c r="BB74" s="513" t="s">
        <v>0</v>
      </c>
      <c r="BC74" s="297"/>
      <c r="BD74" s="513" t="s">
        <v>1</v>
      </c>
      <c r="BF74" s="294"/>
      <c r="BG74" s="294"/>
      <c r="BH74" s="295"/>
      <c r="BI74" s="6"/>
      <c r="BJ74" s="6"/>
      <c r="BK74" s="6"/>
      <c r="BL74" s="6"/>
      <c r="BM74" s="296"/>
      <c r="BN74" s="6"/>
      <c r="BO74" s="6"/>
      <c r="BP74" s="6"/>
      <c r="BQ74" s="6"/>
      <c r="BR74" s="6"/>
      <c r="BS74" s="6"/>
      <c r="BT74" s="6"/>
      <c r="BU74" s="6"/>
      <c r="BV74" s="6"/>
    </row>
    <row r="75" spans="1:85" ht="279.95" customHeight="1" x14ac:dyDescent="0.3">
      <c r="A75" s="42"/>
      <c r="B75" s="97"/>
      <c r="E75" s="78"/>
      <c r="F75" s="79"/>
      <c r="G75" s="158"/>
      <c r="H75" s="79"/>
      <c r="I75" s="79"/>
      <c r="J75" s="78"/>
      <c r="K75" s="158"/>
      <c r="L75" s="79"/>
      <c r="M75" s="79"/>
      <c r="N75" s="81"/>
      <c r="O75" s="579"/>
      <c r="P75" s="518"/>
      <c r="Q75" s="518"/>
      <c r="R75" s="518"/>
      <c r="S75" s="518"/>
      <c r="T75" s="518"/>
      <c r="U75" s="519"/>
      <c r="V75" s="189"/>
      <c r="W75" s="208"/>
      <c r="X75" s="53"/>
      <c r="Z75" s="53"/>
      <c r="AB75" s="509"/>
      <c r="AC75" s="510"/>
      <c r="AD75" s="92"/>
      <c r="AE75" s="92"/>
      <c r="AG75" s="90"/>
      <c r="AH75" s="92"/>
      <c r="AI75" s="92"/>
      <c r="AJ75" s="86"/>
      <c r="AP75" s="42"/>
      <c r="AQ75" s="42"/>
      <c r="AR75" s="198"/>
      <c r="AS75" s="198"/>
      <c r="AT75" s="572"/>
      <c r="AU75" s="573"/>
      <c r="AV75" s="573"/>
      <c r="AW75" s="573"/>
      <c r="AX75" s="573"/>
      <c r="AY75" s="574"/>
      <c r="AZ75" s="97"/>
      <c r="BA75" s="97"/>
      <c r="BB75" s="514"/>
      <c r="BC75" s="298"/>
      <c r="BD75" s="514"/>
      <c r="BL75" s="88"/>
      <c r="BN75" s="6"/>
      <c r="BO75" s="6"/>
      <c r="BP75" s="6"/>
      <c r="BQ75" s="6"/>
      <c r="BR75" s="6"/>
      <c r="BS75" s="6"/>
      <c r="BT75" s="6"/>
      <c r="BU75" s="6"/>
      <c r="BV75" s="6"/>
    </row>
    <row r="76" spans="1:85" ht="350.1" customHeight="1" thickBot="1" x14ac:dyDescent="0.35">
      <c r="A76" s="42"/>
      <c r="B76" s="97"/>
      <c r="E76" s="78"/>
      <c r="F76" s="79"/>
      <c r="G76" s="158"/>
      <c r="H76" s="79"/>
      <c r="I76" s="79"/>
      <c r="J76" s="78"/>
      <c r="K76" s="158"/>
      <c r="L76" s="79"/>
      <c r="M76" s="79"/>
      <c r="N76" s="81"/>
      <c r="O76" s="579"/>
      <c r="P76" s="518"/>
      <c r="Q76" s="518"/>
      <c r="R76" s="518"/>
      <c r="S76" s="518"/>
      <c r="T76" s="518"/>
      <c r="U76" s="519"/>
      <c r="V76" s="189"/>
      <c r="W76" s="208"/>
      <c r="X76" s="53"/>
      <c r="Y76" s="53"/>
      <c r="Z76" s="53"/>
      <c r="AB76" s="203"/>
      <c r="AC76" s="204"/>
      <c r="AD76" s="58"/>
      <c r="AE76" s="92"/>
      <c r="AF76" s="92"/>
      <c r="AG76" s="90"/>
      <c r="AH76" s="58"/>
      <c r="AI76" s="58"/>
      <c r="AJ76" s="186"/>
      <c r="AK76" s="226"/>
      <c r="AL76" s="226"/>
      <c r="AN76" s="234"/>
      <c r="AO76" s="234"/>
      <c r="AP76" s="234"/>
      <c r="AQ76" s="234"/>
      <c r="AR76" s="206"/>
      <c r="AS76" s="206"/>
      <c r="AT76" s="575"/>
      <c r="AU76" s="576"/>
      <c r="AV76" s="576"/>
      <c r="AW76" s="576"/>
      <c r="AX76" s="576"/>
      <c r="AY76" s="577"/>
      <c r="AZ76" s="206"/>
      <c r="BA76" s="206"/>
      <c r="BB76" s="515"/>
      <c r="BC76" s="299"/>
      <c r="BD76" s="515"/>
      <c r="BE76" s="235"/>
      <c r="BF76" s="235"/>
      <c r="BG76" s="235"/>
      <c r="BH76" s="235"/>
      <c r="BJ76" s="235"/>
      <c r="BK76" s="235"/>
      <c r="BL76" s="236"/>
    </row>
    <row r="77" spans="1:85" ht="350.1" customHeight="1" thickTop="1" x14ac:dyDescent="0.3">
      <c r="A77" s="42"/>
      <c r="B77" s="97"/>
      <c r="E77" s="78"/>
      <c r="F77" s="79"/>
      <c r="G77" s="158"/>
      <c r="H77" s="79"/>
      <c r="I77" s="79"/>
      <c r="J77" s="78"/>
      <c r="K77" s="158"/>
      <c r="L77" s="79"/>
      <c r="M77" s="79"/>
      <c r="N77" s="81"/>
      <c r="O77" s="579"/>
      <c r="P77" s="518"/>
      <c r="Q77" s="518"/>
      <c r="R77" s="518"/>
      <c r="S77" s="518"/>
      <c r="T77" s="518"/>
      <c r="U77" s="519"/>
      <c r="V77" s="189"/>
      <c r="W77" s="208"/>
      <c r="X77" s="53"/>
      <c r="Y77" s="52"/>
      <c r="Z77" s="53"/>
      <c r="AA77" s="211"/>
      <c r="AB77" s="203"/>
      <c r="AC77" s="204"/>
      <c r="AF77" s="92"/>
      <c r="AG77" s="90"/>
      <c r="AH77" s="92"/>
      <c r="AJ77" s="186"/>
      <c r="AK77" s="226"/>
      <c r="AL77" s="226"/>
      <c r="AM77" s="554" t="s">
        <v>3</v>
      </c>
      <c r="AN77" s="555"/>
      <c r="AO77" s="555"/>
      <c r="AP77" s="555"/>
      <c r="AQ77" s="556"/>
      <c r="AR77" s="240"/>
      <c r="BI77" s="241"/>
    </row>
    <row r="78" spans="1:85" ht="350.1" customHeight="1" thickBot="1" x14ac:dyDescent="0.35">
      <c r="A78" s="42"/>
      <c r="B78" s="97"/>
      <c r="E78" s="103"/>
      <c r="F78" s="107"/>
      <c r="G78" s="214"/>
      <c r="H78" s="107"/>
      <c r="I78" s="107"/>
      <c r="J78" s="103"/>
      <c r="K78" s="214"/>
      <c r="L78" s="107"/>
      <c r="M78" s="107"/>
      <c r="N78" s="215"/>
      <c r="O78" s="580"/>
      <c r="P78" s="520"/>
      <c r="Q78" s="520"/>
      <c r="R78" s="520"/>
      <c r="S78" s="520"/>
      <c r="T78" s="520"/>
      <c r="U78" s="521"/>
      <c r="V78" s="189"/>
      <c r="W78" s="208"/>
      <c r="X78" s="53"/>
      <c r="AA78" s="211"/>
      <c r="AB78" s="216"/>
      <c r="AC78" s="217"/>
      <c r="AE78" s="52"/>
      <c r="AG78" s="90"/>
      <c r="AH78" s="92"/>
      <c r="AK78" s="226"/>
      <c r="AL78" s="226"/>
      <c r="AM78" s="557"/>
      <c r="AN78" s="558"/>
      <c r="AO78" s="558"/>
      <c r="AP78" s="558"/>
      <c r="AQ78" s="559"/>
      <c r="AU78" s="248"/>
      <c r="AV78" s="248"/>
      <c r="AW78" s="248"/>
      <c r="AX78" s="248"/>
      <c r="AY78" s="248"/>
      <c r="AZ78" s="248"/>
      <c r="BA78" s="248"/>
    </row>
    <row r="79" spans="1:85" ht="350.1" customHeight="1" x14ac:dyDescent="0.3">
      <c r="A79" s="42"/>
      <c r="B79" s="97"/>
      <c r="E79" s="80"/>
      <c r="F79" s="80"/>
      <c r="G79" s="80"/>
      <c r="H79" s="80"/>
      <c r="I79" s="80"/>
      <c r="J79" s="90"/>
      <c r="K79" s="90"/>
      <c r="L79" s="90"/>
      <c r="M79" s="90"/>
      <c r="N79" s="218"/>
      <c r="O79" s="219"/>
      <c r="P79" s="219"/>
      <c r="Q79" s="220"/>
      <c r="S79" s="42"/>
      <c r="T79" s="42"/>
      <c r="U79" s="221"/>
      <c r="V79" s="42"/>
      <c r="W79" s="222"/>
      <c r="X79" s="42"/>
      <c r="AB79" s="21"/>
      <c r="AC79" s="223"/>
      <c r="AD79" s="223"/>
      <c r="AE79" s="223"/>
      <c r="AF79" s="90"/>
      <c r="AH79" s="99"/>
      <c r="AI79" s="92"/>
      <c r="AK79" s="255"/>
      <c r="AL79" s="255"/>
      <c r="AQ79" s="256"/>
      <c r="AR79" s="257"/>
      <c r="AS79" s="257"/>
      <c r="AT79" s="257"/>
      <c r="AU79" s="258"/>
      <c r="AV79" s="258"/>
      <c r="AW79" s="258"/>
      <c r="AX79" s="258"/>
      <c r="AY79" s="258"/>
      <c r="AZ79" s="258"/>
      <c r="BA79" s="258"/>
      <c r="BB79" s="259"/>
      <c r="BC79" s="259"/>
      <c r="BD79" s="259"/>
      <c r="BE79" s="259"/>
      <c r="BF79" s="259"/>
      <c r="BG79" s="259"/>
      <c r="BH79" s="259"/>
      <c r="BI79" s="259"/>
      <c r="BJ79" s="259"/>
      <c r="BK79" s="259"/>
      <c r="BL79" s="259"/>
      <c r="BM79" s="259"/>
      <c r="BN79" s="259"/>
      <c r="BO79" s="259"/>
      <c r="BP79" s="259"/>
      <c r="BQ79" s="259"/>
      <c r="BR79" s="259"/>
      <c r="BS79" s="259"/>
      <c r="BT79" s="259"/>
      <c r="BU79" s="259"/>
    </row>
    <row r="80" spans="1:85" ht="350.1" customHeight="1" x14ac:dyDescent="0.3">
      <c r="A80" s="42"/>
      <c r="B80" s="97"/>
      <c r="E80" s="80"/>
      <c r="F80" s="80"/>
      <c r="G80" s="80"/>
      <c r="H80" s="80"/>
      <c r="I80" s="80"/>
      <c r="J80" s="90"/>
      <c r="K80" s="90"/>
      <c r="L80" s="90"/>
      <c r="M80" s="90"/>
      <c r="N80" s="218"/>
      <c r="O80" s="224"/>
      <c r="P80" s="224"/>
      <c r="Q80" s="42"/>
      <c r="R80" s="42"/>
      <c r="S80" s="42"/>
      <c r="T80" s="42"/>
      <c r="U80" s="142"/>
      <c r="V80" s="142"/>
      <c r="W80" s="142"/>
      <c r="X80" s="142"/>
      <c r="Y80" s="225"/>
      <c r="Z80" s="225"/>
      <c r="AA80" s="86"/>
      <c r="AB80" s="86"/>
      <c r="AF80" s="90"/>
      <c r="AH80" s="123"/>
      <c r="AI80" s="92"/>
      <c r="AJ80" s="186"/>
      <c r="AQ80" s="261"/>
      <c r="AR80" s="261"/>
      <c r="AS80" s="261"/>
      <c r="AT80" s="262"/>
      <c r="AU80" s="258"/>
      <c r="AV80" s="258"/>
      <c r="AW80" s="258"/>
      <c r="AX80" s="258"/>
      <c r="AY80" s="258"/>
      <c r="AZ80" s="258"/>
      <c r="BA80" s="258"/>
      <c r="BB80" s="259"/>
      <c r="BC80" s="259"/>
      <c r="BD80" s="259"/>
      <c r="BE80" s="263"/>
      <c r="BF80" s="263"/>
      <c r="BG80" s="263"/>
      <c r="BH80" s="259"/>
      <c r="BI80" s="259"/>
      <c r="BJ80" s="259"/>
      <c r="BK80" s="259"/>
      <c r="BL80" s="259"/>
      <c r="BM80" s="259"/>
      <c r="BN80" s="259"/>
      <c r="BO80" s="259"/>
      <c r="BP80" s="259"/>
      <c r="BQ80" s="259"/>
      <c r="BR80" s="259"/>
      <c r="BS80" s="259"/>
      <c r="BT80" s="259"/>
      <c r="BU80" s="259"/>
    </row>
    <row r="81" spans="1:74" ht="350.1" customHeight="1" x14ac:dyDescent="0.3">
      <c r="A81" s="42"/>
      <c r="B81" s="97"/>
      <c r="E81" s="80"/>
      <c r="F81" s="80"/>
      <c r="G81" s="80"/>
      <c r="H81" s="80"/>
      <c r="I81" s="80"/>
      <c r="J81" s="90"/>
      <c r="K81" s="90"/>
      <c r="L81" s="90"/>
      <c r="M81" s="90"/>
      <c r="N81" s="218"/>
      <c r="O81" s="224"/>
      <c r="P81" s="224"/>
      <c r="Q81" s="42"/>
      <c r="R81" s="69"/>
      <c r="S81" s="42"/>
      <c r="T81" s="42"/>
      <c r="U81" s="142"/>
      <c r="V81" s="142"/>
      <c r="W81" s="142"/>
      <c r="X81" s="142"/>
      <c r="Z81" s="225"/>
      <c r="AB81" s="21"/>
      <c r="AE81" s="186"/>
      <c r="AF81" s="42"/>
      <c r="AG81" s="90"/>
      <c r="AH81" s="52"/>
      <c r="AI81" s="42"/>
      <c r="AJ81" s="186"/>
      <c r="AP81" s="138"/>
      <c r="AQ81" s="261"/>
      <c r="AR81" s="261"/>
      <c r="AS81" s="261"/>
      <c r="AT81" s="262"/>
      <c r="AU81" s="258"/>
      <c r="AV81" s="258"/>
      <c r="AW81" s="258"/>
      <c r="AX81" s="258"/>
      <c r="AY81" s="258"/>
      <c r="AZ81" s="258"/>
      <c r="BA81" s="258"/>
      <c r="BB81" s="259"/>
      <c r="BC81" s="259"/>
      <c r="BD81" s="259"/>
      <c r="BE81" s="263"/>
      <c r="BF81" s="263"/>
      <c r="BG81" s="263"/>
      <c r="BH81" s="259"/>
      <c r="BI81" s="259"/>
      <c r="BJ81" s="259"/>
      <c r="BK81" s="259"/>
      <c r="BL81" s="259"/>
      <c r="BM81" s="259"/>
      <c r="BN81" s="259"/>
      <c r="BO81" s="259"/>
      <c r="BP81" s="259"/>
      <c r="BQ81" s="259"/>
      <c r="BR81" s="259"/>
      <c r="BS81" s="259"/>
      <c r="BT81" s="259"/>
      <c r="BU81" s="259"/>
    </row>
    <row r="82" spans="1:74" ht="350.1" customHeight="1" thickBot="1" x14ac:dyDescent="0.35">
      <c r="A82" s="42"/>
      <c r="B82" s="97"/>
      <c r="E82" s="80"/>
      <c r="F82" s="80"/>
      <c r="G82" s="80"/>
      <c r="H82" s="80"/>
      <c r="I82" s="80"/>
      <c r="J82" s="90"/>
      <c r="K82" s="224"/>
      <c r="L82" s="224"/>
      <c r="M82" s="224"/>
      <c r="N82" s="224"/>
      <c r="O82" s="224"/>
      <c r="P82" s="224"/>
      <c r="Q82" s="224"/>
      <c r="R82" s="224"/>
      <c r="S82" s="224"/>
      <c r="T82" s="224"/>
      <c r="U82" s="224"/>
      <c r="V82" s="224"/>
      <c r="W82" s="224"/>
      <c r="X82" s="224"/>
      <c r="Y82" s="165"/>
      <c r="Z82" s="114"/>
      <c r="AB82" s="21"/>
      <c r="AE82" s="186"/>
      <c r="AF82" s="42"/>
      <c r="AG82" s="226"/>
      <c r="AH82" s="226"/>
      <c r="AI82" s="226"/>
      <c r="AJ82" s="226"/>
      <c r="AP82" s="138"/>
      <c r="AQ82" s="256"/>
      <c r="AR82" s="257"/>
      <c r="AS82" s="257"/>
      <c r="AT82" s="262"/>
      <c r="AU82" s="258"/>
      <c r="AV82" s="266"/>
      <c r="AW82" s="258"/>
      <c r="AX82" s="258"/>
      <c r="AY82" s="258"/>
      <c r="AZ82" s="258"/>
      <c r="BA82" s="258"/>
      <c r="BB82" s="259"/>
      <c r="BC82" s="259"/>
      <c r="BD82" s="259"/>
      <c r="BE82" s="263"/>
      <c r="BF82" s="263"/>
      <c r="BG82" s="263"/>
      <c r="BH82" s="259"/>
      <c r="BI82" s="259"/>
      <c r="BJ82" s="259"/>
      <c r="BK82" s="259"/>
      <c r="BL82" s="259"/>
      <c r="BM82" s="259"/>
      <c r="BN82" s="259"/>
      <c r="BO82" s="259"/>
      <c r="BP82" s="259"/>
      <c r="BQ82" s="259"/>
      <c r="BR82" s="259"/>
      <c r="BS82" s="259"/>
      <c r="BT82" s="259"/>
      <c r="BU82" s="259"/>
    </row>
    <row r="83" spans="1:74" ht="350.1" customHeight="1" thickBot="1" x14ac:dyDescent="0.35">
      <c r="A83" s="42"/>
      <c r="B83" s="227"/>
      <c r="C83" s="227"/>
      <c r="D83" s="227"/>
      <c r="E83" s="228"/>
      <c r="F83" s="228"/>
      <c r="G83" s="229"/>
      <c r="H83" s="229"/>
      <c r="I83" s="230"/>
      <c r="J83" s="231"/>
      <c r="K83" s="527" t="s">
        <v>50</v>
      </c>
      <c r="L83" s="528"/>
      <c r="M83" s="528"/>
      <c r="N83" s="528"/>
      <c r="O83" s="529"/>
      <c r="P83" s="224"/>
      <c r="Q83" s="224"/>
      <c r="R83" s="224"/>
      <c r="S83" s="224"/>
      <c r="T83" s="224"/>
      <c r="U83" s="224"/>
      <c r="V83" s="224"/>
      <c r="W83" s="224"/>
      <c r="X83" s="224"/>
      <c r="Y83" s="165"/>
      <c r="Z83" s="114"/>
      <c r="AA83" s="92"/>
      <c r="AB83" s="40"/>
      <c r="AC83" s="232"/>
      <c r="AD83" s="232"/>
      <c r="AE83" s="52"/>
      <c r="AF83" s="99"/>
      <c r="AG83" s="226"/>
      <c r="AH83" s="226"/>
      <c r="AI83" s="226"/>
      <c r="AJ83" s="226"/>
      <c r="AP83" s="138"/>
      <c r="AQ83" s="256"/>
      <c r="AR83" s="257"/>
      <c r="AS83" s="257"/>
      <c r="AT83" s="262"/>
      <c r="AU83" s="258"/>
      <c r="AV83" s="268"/>
      <c r="AW83" s="258"/>
      <c r="AX83" s="258"/>
      <c r="AY83" s="258"/>
      <c r="AZ83" s="258"/>
      <c r="BA83" s="258"/>
      <c r="BB83" s="259"/>
      <c r="BC83" s="259"/>
      <c r="BD83" s="259"/>
      <c r="BE83" s="263"/>
      <c r="BF83" s="263"/>
      <c r="BG83" s="263"/>
      <c r="BH83" s="259"/>
      <c r="BI83" s="259"/>
      <c r="BJ83" s="259"/>
      <c r="BK83" s="259"/>
      <c r="BL83" s="259"/>
      <c r="BM83" s="259"/>
      <c r="BN83" s="259"/>
      <c r="BO83" s="259"/>
      <c r="BP83" s="259"/>
      <c r="BQ83" s="259"/>
      <c r="BR83" s="259"/>
      <c r="BS83" s="259"/>
      <c r="BT83" s="259"/>
      <c r="BU83" s="259"/>
    </row>
    <row r="84" spans="1:74" ht="186" customHeight="1" thickBot="1" x14ac:dyDescent="0.35">
      <c r="A84" s="42"/>
      <c r="B84" s="472" t="s">
        <v>51</v>
      </c>
      <c r="C84" s="536"/>
      <c r="D84" s="537"/>
      <c r="E84" s="525" t="s">
        <v>52</v>
      </c>
      <c r="F84" s="526"/>
      <c r="G84" s="474" t="s">
        <v>52</v>
      </c>
      <c r="H84" s="487"/>
      <c r="I84" s="542" t="s">
        <v>53</v>
      </c>
      <c r="J84" s="543"/>
      <c r="K84" s="530"/>
      <c r="L84" s="531"/>
      <c r="M84" s="531"/>
      <c r="N84" s="531"/>
      <c r="O84" s="532"/>
      <c r="P84" s="224"/>
      <c r="Q84" s="224"/>
      <c r="R84" s="224"/>
      <c r="S84" s="224"/>
      <c r="T84" s="224"/>
      <c r="U84" s="178"/>
      <c r="V84" s="178"/>
      <c r="W84" s="224"/>
      <c r="X84" s="224"/>
      <c r="Y84" s="233"/>
      <c r="Z84" s="114"/>
      <c r="AA84" s="92"/>
      <c r="AB84" s="40"/>
      <c r="AC84" s="232"/>
      <c r="AD84" s="232"/>
      <c r="AE84" s="52"/>
      <c r="AF84" s="52"/>
      <c r="AG84" s="226"/>
      <c r="AH84" s="226"/>
      <c r="AI84" s="226"/>
      <c r="AJ84" s="226"/>
      <c r="AP84" s="92"/>
      <c r="AQ84" s="256"/>
      <c r="AR84" s="257"/>
      <c r="AS84" s="257"/>
      <c r="AT84" s="262"/>
      <c r="AU84" s="258"/>
      <c r="AV84" s="266"/>
      <c r="AW84" s="266"/>
      <c r="AX84" s="258"/>
      <c r="AY84" s="258"/>
      <c r="AZ84" s="258"/>
      <c r="BA84" s="258"/>
      <c r="BB84" s="259"/>
      <c r="BC84" s="259"/>
      <c r="BD84" s="259"/>
      <c r="BE84" s="263"/>
      <c r="BF84" s="263"/>
      <c r="BG84" s="263"/>
      <c r="BH84" s="263"/>
      <c r="BI84" s="263"/>
      <c r="BJ84" s="263"/>
      <c r="BK84" s="259"/>
      <c r="BL84" s="259"/>
      <c r="BM84" s="259"/>
      <c r="BN84" s="259"/>
      <c r="BO84" s="259"/>
      <c r="BP84" s="259"/>
      <c r="BQ84" s="259"/>
      <c r="BR84" s="259"/>
      <c r="BS84" s="259"/>
      <c r="BT84" s="259"/>
      <c r="BU84" s="259"/>
      <c r="BV84" s="508"/>
    </row>
    <row r="85" spans="1:74" ht="186" customHeight="1" thickBot="1" x14ac:dyDescent="0.35">
      <c r="B85" s="538"/>
      <c r="C85" s="536"/>
      <c r="D85" s="537"/>
      <c r="E85" s="525" t="s">
        <v>52</v>
      </c>
      <c r="F85" s="546"/>
      <c r="G85" s="525" t="s">
        <v>52</v>
      </c>
      <c r="H85" s="546"/>
      <c r="I85" s="542"/>
      <c r="J85" s="543"/>
      <c r="K85" s="530"/>
      <c r="L85" s="531"/>
      <c r="M85" s="531"/>
      <c r="N85" s="531"/>
      <c r="O85" s="532"/>
      <c r="P85" s="224"/>
      <c r="Q85" s="224"/>
      <c r="R85" s="224"/>
      <c r="S85" s="224"/>
      <c r="T85" s="224"/>
      <c r="U85" s="129"/>
      <c r="V85" s="129"/>
      <c r="W85" s="224"/>
      <c r="X85" s="237"/>
      <c r="Y85" s="207"/>
      <c r="Z85" s="238"/>
      <c r="AA85" s="92"/>
      <c r="AB85" s="40"/>
      <c r="AC85" s="232"/>
      <c r="AD85" s="232"/>
      <c r="AE85" s="52"/>
      <c r="AF85" s="52"/>
      <c r="AG85" s="239"/>
      <c r="AH85" s="226"/>
      <c r="AI85" s="226"/>
      <c r="AJ85" s="226"/>
      <c r="AP85" s="226"/>
      <c r="AQ85" s="261"/>
      <c r="AR85" s="261"/>
      <c r="AS85" s="261"/>
      <c r="AT85" s="262"/>
      <c r="AU85" s="258"/>
      <c r="AV85" s="268"/>
      <c r="AW85" s="266"/>
      <c r="AX85" s="258"/>
      <c r="AY85" s="258"/>
      <c r="AZ85" s="258"/>
      <c r="BA85" s="258"/>
      <c r="BB85" s="259"/>
      <c r="BC85" s="259"/>
      <c r="BD85" s="259"/>
      <c r="BE85" s="263"/>
      <c r="BF85" s="263"/>
      <c r="BG85" s="263"/>
      <c r="BH85" s="263"/>
      <c r="BI85" s="263"/>
      <c r="BJ85" s="263"/>
      <c r="BK85" s="259"/>
      <c r="BL85" s="259"/>
      <c r="BM85" s="259"/>
      <c r="BN85" s="259"/>
      <c r="BO85" s="259"/>
      <c r="BP85" s="259"/>
      <c r="BQ85" s="259"/>
      <c r="BR85" s="259"/>
      <c r="BS85" s="259"/>
      <c r="BT85" s="259"/>
      <c r="BU85" s="259"/>
      <c r="BV85" s="508"/>
    </row>
    <row r="86" spans="1:74" ht="186" customHeight="1" thickBot="1" x14ac:dyDescent="0.35">
      <c r="A86" s="42"/>
      <c r="B86" s="539"/>
      <c r="C86" s="540"/>
      <c r="D86" s="541"/>
      <c r="E86" s="525" t="s">
        <v>54</v>
      </c>
      <c r="F86" s="526"/>
      <c r="G86" s="525" t="s">
        <v>55</v>
      </c>
      <c r="H86" s="526"/>
      <c r="I86" s="544"/>
      <c r="J86" s="545"/>
      <c r="K86" s="533"/>
      <c r="L86" s="534"/>
      <c r="M86" s="534"/>
      <c r="N86" s="534"/>
      <c r="O86" s="535"/>
      <c r="P86" s="242"/>
      <c r="Q86" s="242"/>
      <c r="R86" s="242"/>
      <c r="S86" s="242"/>
      <c r="T86" s="242"/>
      <c r="U86" s="243"/>
      <c r="V86" s="243"/>
      <c r="W86" s="242"/>
      <c r="X86" s="244"/>
      <c r="Y86" s="46"/>
      <c r="Z86" s="46"/>
      <c r="AA86" s="245"/>
      <c r="AB86" s="246"/>
      <c r="AC86" s="247"/>
      <c r="AD86" s="247"/>
      <c r="AE86" s="52"/>
      <c r="AF86" s="52"/>
      <c r="AG86" s="239"/>
      <c r="AH86" s="226"/>
      <c r="AI86" s="226"/>
      <c r="AJ86" s="226"/>
      <c r="AP86" s="226"/>
      <c r="AQ86" s="256"/>
      <c r="AR86" s="257"/>
      <c r="AS86" s="257"/>
      <c r="AT86" s="262"/>
      <c r="AU86" s="258"/>
      <c r="AV86" s="258"/>
      <c r="AW86" s="258"/>
      <c r="AX86" s="258"/>
      <c r="AY86" s="258"/>
      <c r="AZ86" s="258"/>
      <c r="BA86" s="258"/>
      <c r="BB86" s="259"/>
      <c r="BC86" s="259"/>
      <c r="BD86" s="259"/>
      <c r="BE86" s="263"/>
      <c r="BF86" s="263"/>
      <c r="BG86" s="263"/>
      <c r="BH86" s="263"/>
      <c r="BI86" s="263"/>
      <c r="BJ86" s="263"/>
      <c r="BK86" s="259"/>
      <c r="BL86" s="259"/>
      <c r="BM86" s="259"/>
      <c r="BN86" s="259"/>
      <c r="BO86" s="259"/>
      <c r="BP86" s="259"/>
      <c r="BQ86" s="259"/>
      <c r="BR86" s="259"/>
      <c r="BS86" s="259"/>
      <c r="BT86" s="259"/>
      <c r="BU86" s="259"/>
      <c r="BV86" s="508"/>
    </row>
    <row r="87" spans="1:74" ht="186" customHeight="1" thickBot="1" x14ac:dyDescent="0.35">
      <c r="A87" s="249"/>
      <c r="B87" s="250"/>
      <c r="C87" s="251"/>
      <c r="D87" s="251"/>
      <c r="E87" s="251"/>
      <c r="F87" s="251"/>
      <c r="G87" s="251"/>
      <c r="H87" s="251"/>
      <c r="I87" s="251"/>
      <c r="J87" s="251"/>
      <c r="K87" s="251"/>
      <c r="L87" s="251"/>
      <c r="M87" s="251"/>
      <c r="N87" s="251"/>
      <c r="O87" s="251"/>
      <c r="P87" s="251"/>
      <c r="Q87" s="251"/>
      <c r="R87" s="252"/>
      <c r="S87" s="251"/>
      <c r="T87" s="251"/>
      <c r="U87" s="251"/>
      <c r="V87" s="251"/>
      <c r="W87" s="251"/>
      <c r="X87" s="251"/>
      <c r="Y87" s="251"/>
      <c r="Z87" s="251"/>
      <c r="AA87" s="251"/>
      <c r="AB87" s="251"/>
      <c r="AC87" s="251"/>
      <c r="AD87" s="253"/>
      <c r="AE87" s="92"/>
      <c r="AF87" s="58"/>
      <c r="AG87" s="105"/>
      <c r="AH87" s="254"/>
      <c r="AI87" s="254"/>
      <c r="AJ87" s="254"/>
      <c r="AQ87" s="261"/>
      <c r="AR87" s="261"/>
      <c r="AS87" s="261"/>
      <c r="AT87" s="276"/>
      <c r="AU87" s="277"/>
      <c r="AV87" s="277"/>
      <c r="AW87" s="277"/>
      <c r="AX87" s="277"/>
      <c r="AY87" s="277"/>
      <c r="AZ87" s="277"/>
      <c r="BA87" s="277"/>
      <c r="BB87" s="259"/>
      <c r="BC87" s="259"/>
      <c r="BD87" s="259"/>
      <c r="BE87" s="263"/>
      <c r="BF87" s="263"/>
      <c r="BG87" s="263"/>
      <c r="BH87" s="263"/>
      <c r="BI87" s="263"/>
      <c r="BJ87" s="259"/>
      <c r="BK87" s="259"/>
      <c r="BL87" s="259"/>
      <c r="BM87" s="259"/>
      <c r="BN87" s="259"/>
      <c r="BO87" s="259"/>
      <c r="BP87" s="259"/>
      <c r="BQ87" s="259"/>
      <c r="BR87" s="259"/>
      <c r="BS87" s="259"/>
      <c r="BT87" s="259"/>
      <c r="BU87" s="259"/>
    </row>
    <row r="88" spans="1:74" ht="186" customHeight="1" thickBot="1" x14ac:dyDescent="0.35">
      <c r="A88" s="501"/>
      <c r="B88" s="42"/>
      <c r="C88" s="42"/>
      <c r="D88" s="42"/>
      <c r="E88" s="42"/>
      <c r="F88" s="42"/>
      <c r="G88" s="96"/>
      <c r="K88" s="92"/>
      <c r="R88" s="552"/>
      <c r="S88" s="552"/>
      <c r="T88" s="552"/>
      <c r="U88" s="552"/>
      <c r="V88" s="552"/>
      <c r="W88" s="552"/>
      <c r="X88" s="552"/>
      <c r="Y88" s="552"/>
      <c r="Z88" s="552"/>
      <c r="AA88" s="552"/>
      <c r="AB88" s="552"/>
      <c r="AC88" s="552"/>
      <c r="AD88" s="590"/>
      <c r="AE88" s="591"/>
      <c r="AG88" s="260"/>
      <c r="AK88" s="206"/>
      <c r="AL88" s="206"/>
      <c r="AQ88" s="261"/>
      <c r="AR88" s="261"/>
      <c r="AS88" s="261"/>
      <c r="AT88" s="276"/>
      <c r="AU88" s="276"/>
      <c r="AV88" s="276"/>
      <c r="AW88" s="276"/>
      <c r="AX88" s="278"/>
      <c r="AY88" s="278"/>
      <c r="AZ88" s="279"/>
      <c r="BA88" s="262"/>
      <c r="BB88" s="259"/>
      <c r="BC88" s="259"/>
      <c r="BD88" s="259"/>
      <c r="BE88" s="263"/>
      <c r="BF88" s="263"/>
      <c r="BG88" s="263"/>
      <c r="BH88" s="263"/>
      <c r="BI88" s="263"/>
      <c r="BJ88" s="259"/>
      <c r="BK88" s="259"/>
      <c r="BL88" s="259"/>
      <c r="BM88" s="259"/>
      <c r="BN88" s="259"/>
      <c r="BO88" s="259"/>
      <c r="BP88" s="259"/>
      <c r="BQ88" s="259"/>
      <c r="BR88" s="259"/>
      <c r="BS88" s="259"/>
      <c r="BT88" s="259"/>
      <c r="BU88" s="259"/>
    </row>
    <row r="89" spans="1:74" ht="186" customHeight="1" thickBot="1" x14ac:dyDescent="0.35">
      <c r="A89" s="501"/>
      <c r="B89" s="42"/>
      <c r="C89" s="42"/>
      <c r="D89" s="42"/>
      <c r="E89" s="42"/>
      <c r="F89" s="42"/>
      <c r="G89" s="96"/>
      <c r="K89" s="92"/>
      <c r="R89" s="553"/>
      <c r="S89" s="553"/>
      <c r="T89" s="553"/>
      <c r="U89" s="553"/>
      <c r="V89" s="553"/>
      <c r="W89" s="553"/>
      <c r="X89" s="553"/>
      <c r="Y89" s="553"/>
      <c r="Z89" s="553"/>
      <c r="AA89" s="553"/>
      <c r="AB89" s="553"/>
      <c r="AC89" s="553"/>
      <c r="AD89" s="590"/>
      <c r="AE89" s="591"/>
      <c r="AG89" s="264"/>
      <c r="AK89" s="285"/>
      <c r="AL89" s="281"/>
      <c r="AM89" s="281"/>
      <c r="AN89" s="281"/>
      <c r="AO89" s="281"/>
      <c r="AP89" s="284"/>
      <c r="AQ89" s="262"/>
      <c r="AR89" s="261"/>
      <c r="AS89" s="261"/>
      <c r="AT89" s="276"/>
      <c r="AU89" s="276"/>
      <c r="AV89" s="276"/>
      <c r="AW89" s="276"/>
      <c r="AX89" s="277"/>
      <c r="AY89" s="277"/>
      <c r="AZ89" s="279"/>
      <c r="BA89" s="279"/>
      <c r="BB89" s="259"/>
      <c r="BC89" s="259"/>
      <c r="BD89" s="259"/>
      <c r="BE89" s="263"/>
      <c r="BF89" s="263"/>
      <c r="BG89" s="263"/>
      <c r="BH89" s="263"/>
      <c r="BI89" s="263"/>
      <c r="BJ89" s="259"/>
      <c r="BK89" s="259"/>
      <c r="BL89" s="259"/>
      <c r="BM89" s="259"/>
      <c r="BN89" s="259"/>
      <c r="BO89" s="259"/>
      <c r="BP89" s="259"/>
      <c r="BQ89" s="259"/>
      <c r="BR89" s="259"/>
      <c r="BS89" s="259"/>
      <c r="BT89" s="259"/>
      <c r="BU89" s="259"/>
    </row>
    <row r="90" spans="1:74" ht="186" customHeight="1" thickBot="1" x14ac:dyDescent="0.35">
      <c r="A90" s="501"/>
      <c r="H90" s="265"/>
      <c r="I90" s="265"/>
      <c r="J90" s="265"/>
      <c r="K90" s="179"/>
      <c r="L90" s="179"/>
      <c r="R90" s="548"/>
      <c r="S90" s="549"/>
      <c r="T90" s="550"/>
      <c r="U90" s="551"/>
      <c r="V90" s="550"/>
      <c r="W90" s="551"/>
      <c r="AD90" s="70"/>
      <c r="AE90" s="70"/>
      <c r="AF90" s="70"/>
      <c r="AG90" s="264"/>
      <c r="AH90" s="70"/>
      <c r="AK90" s="291"/>
      <c r="AL90" s="287"/>
      <c r="AM90" s="287"/>
      <c r="AN90" s="287"/>
      <c r="AO90" s="287"/>
      <c r="AP90" s="290"/>
      <c r="AQ90" s="262"/>
      <c r="AR90" s="262"/>
      <c r="AS90" s="262"/>
      <c r="AT90" s="277"/>
      <c r="AU90" s="277"/>
      <c r="AV90" s="277"/>
      <c r="AW90" s="277"/>
      <c r="AX90" s="277"/>
      <c r="AY90" s="277"/>
      <c r="AZ90" s="279"/>
      <c r="BA90" s="279"/>
      <c r="BB90" s="259"/>
      <c r="BC90" s="259"/>
      <c r="BD90" s="259"/>
      <c r="BE90" s="259"/>
      <c r="BF90" s="259"/>
      <c r="BG90" s="259"/>
      <c r="BH90" s="259"/>
      <c r="BI90" s="259"/>
      <c r="BJ90" s="259"/>
      <c r="BK90" s="259"/>
      <c r="BL90" s="259"/>
      <c r="BM90" s="259"/>
      <c r="BN90" s="259"/>
      <c r="BO90" s="259"/>
      <c r="BP90" s="259"/>
      <c r="BQ90" s="259"/>
      <c r="BR90" s="259"/>
      <c r="BS90" s="259"/>
      <c r="BT90" s="259"/>
      <c r="BU90" s="259"/>
    </row>
    <row r="91" spans="1:74" ht="186" customHeight="1" thickBot="1" x14ac:dyDescent="0.35">
      <c r="B91" s="179"/>
      <c r="C91" s="179"/>
      <c r="D91" s="179"/>
      <c r="E91" s="179"/>
      <c r="F91" s="179"/>
      <c r="G91" s="179"/>
      <c r="H91" s="179"/>
      <c r="I91" s="179"/>
      <c r="J91" s="179"/>
      <c r="K91" s="70"/>
      <c r="L91" s="70"/>
      <c r="R91" s="523"/>
      <c r="S91" s="524"/>
      <c r="T91" s="523"/>
      <c r="U91" s="524"/>
      <c r="V91" s="547"/>
      <c r="W91" s="592"/>
      <c r="X91" s="5"/>
      <c r="AB91" s="267"/>
      <c r="AC91" s="5"/>
      <c r="AE91" s="70"/>
      <c r="AF91" s="70"/>
      <c r="AG91" s="105"/>
      <c r="AH91" s="70"/>
    </row>
    <row r="92" spans="1:74" ht="186" customHeight="1" thickBot="1" x14ac:dyDescent="0.35">
      <c r="A92" s="501"/>
      <c r="B92" s="179"/>
      <c r="C92" s="179"/>
      <c r="D92" s="179"/>
      <c r="E92" s="179"/>
      <c r="F92" s="179"/>
      <c r="G92" s="179"/>
      <c r="H92" s="179"/>
      <c r="I92" s="179"/>
      <c r="J92" s="179"/>
      <c r="K92" s="70"/>
      <c r="L92" s="224"/>
      <c r="M92" s="269"/>
      <c r="N92" s="224"/>
      <c r="O92" s="269"/>
      <c r="P92" s="224"/>
      <c r="Q92" s="70"/>
      <c r="R92" s="523"/>
      <c r="S92" s="524"/>
      <c r="T92" s="523"/>
      <c r="U92" s="524"/>
      <c r="V92" s="523"/>
      <c r="W92" s="524"/>
      <c r="X92" s="46"/>
      <c r="Y92" s="523"/>
      <c r="Z92" s="524"/>
      <c r="AA92" s="270"/>
      <c r="AB92" s="271"/>
      <c r="AC92" s="5"/>
      <c r="AE92" s="70"/>
      <c r="AF92" s="70"/>
      <c r="AG92" s="105"/>
      <c r="AH92" s="70"/>
    </row>
    <row r="93" spans="1:74" ht="186" customHeight="1" thickBot="1" x14ac:dyDescent="0.35">
      <c r="A93" s="501"/>
      <c r="B93" s="97"/>
      <c r="C93" s="97"/>
      <c r="D93" s="97"/>
      <c r="E93" s="97"/>
      <c r="F93" s="97"/>
      <c r="G93" s="97"/>
      <c r="H93" s="97"/>
      <c r="I93" s="97"/>
      <c r="J93" s="97"/>
      <c r="K93" s="42"/>
      <c r="L93" s="42"/>
      <c r="M93" s="70"/>
      <c r="N93" s="70"/>
      <c r="O93" s="70"/>
      <c r="P93" s="70"/>
      <c r="Q93" s="70"/>
      <c r="R93" s="272"/>
      <c r="S93" s="523"/>
      <c r="T93" s="524"/>
      <c r="U93" s="273"/>
      <c r="V93" s="547"/>
      <c r="W93" s="547"/>
      <c r="X93" s="547"/>
      <c r="Y93" s="547"/>
      <c r="Z93" s="274"/>
      <c r="AA93" s="275"/>
      <c r="AB93" s="267"/>
      <c r="AC93" s="77"/>
      <c r="AD93" s="70"/>
      <c r="AE93" s="70"/>
      <c r="AF93" s="70"/>
      <c r="AG93" s="105"/>
      <c r="AH93" s="70"/>
    </row>
    <row r="94" spans="1:74" ht="186" customHeight="1" x14ac:dyDescent="0.3">
      <c r="A94" s="501"/>
      <c r="B94" s="97"/>
      <c r="C94" s="97"/>
      <c r="D94" s="97"/>
      <c r="E94" s="97"/>
      <c r="F94" s="97"/>
      <c r="G94" s="97"/>
      <c r="H94" s="97"/>
      <c r="I94" s="97"/>
      <c r="J94" s="97"/>
      <c r="K94" s="42"/>
      <c r="L94" s="42"/>
      <c r="M94" s="42"/>
      <c r="N94" s="42"/>
      <c r="O94" s="42"/>
      <c r="P94" s="42"/>
      <c r="Q94" s="42"/>
      <c r="R94" s="42"/>
      <c r="S94" s="42"/>
      <c r="T94" s="42"/>
      <c r="U94" s="42"/>
      <c r="V94" s="42"/>
      <c r="W94" s="42"/>
      <c r="X94" s="42"/>
      <c r="Y94" s="70"/>
      <c r="Z94" s="70"/>
      <c r="AA94" s="42"/>
      <c r="AB94" s="42"/>
      <c r="AC94" s="70"/>
      <c r="AD94" s="70"/>
      <c r="AE94" s="70"/>
      <c r="AF94" s="70"/>
      <c r="AG94" s="70"/>
      <c r="AH94" s="70"/>
    </row>
    <row r="95" spans="1:74" ht="186" customHeight="1" x14ac:dyDescent="0.3">
      <c r="J95" s="199"/>
      <c r="K95" s="199"/>
      <c r="L95" s="199"/>
      <c r="M95" s="42"/>
      <c r="N95" s="42"/>
      <c r="O95" s="42"/>
      <c r="P95" s="42"/>
      <c r="Q95" s="42"/>
      <c r="R95" s="42"/>
      <c r="S95" s="199"/>
      <c r="T95" s="199"/>
      <c r="U95" s="199"/>
      <c r="V95" s="199"/>
      <c r="W95" s="199"/>
    </row>
    <row r="96" spans="1:74" ht="186" customHeight="1" thickBot="1" x14ac:dyDescent="0.35">
      <c r="E96" s="501"/>
      <c r="F96" s="159"/>
      <c r="G96" s="501"/>
      <c r="H96" s="501"/>
      <c r="I96" s="501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9"/>
      <c r="V96" s="199"/>
      <c r="W96" s="199"/>
    </row>
    <row r="97" spans="5:36" ht="186" customHeight="1" x14ac:dyDescent="0.3">
      <c r="E97" s="501"/>
      <c r="F97" s="159"/>
      <c r="G97" s="501"/>
      <c r="H97" s="501"/>
      <c r="I97" s="501"/>
      <c r="J97" s="199"/>
      <c r="K97" s="199"/>
      <c r="L97" s="199"/>
      <c r="M97" s="199"/>
      <c r="N97" s="199"/>
      <c r="O97" s="199"/>
      <c r="P97" s="199"/>
      <c r="Q97" s="199"/>
      <c r="R97" s="199"/>
      <c r="S97" s="199"/>
      <c r="T97" s="199"/>
      <c r="U97" s="199"/>
      <c r="V97" s="199"/>
      <c r="W97" s="280"/>
      <c r="X97" s="281"/>
      <c r="Y97" s="281"/>
      <c r="Z97" s="281"/>
      <c r="AA97" s="282"/>
      <c r="AB97" s="283"/>
      <c r="AC97" s="281"/>
      <c r="AD97" s="281"/>
      <c r="AE97" s="281"/>
      <c r="AF97" s="281"/>
      <c r="AG97" s="281"/>
      <c r="AH97" s="281"/>
      <c r="AI97" s="281"/>
      <c r="AJ97" s="284"/>
    </row>
    <row r="98" spans="5:36" ht="186" customHeight="1" thickBot="1" x14ac:dyDescent="0.35">
      <c r="E98" s="501"/>
      <c r="F98" s="159"/>
      <c r="G98" s="501"/>
      <c r="H98" s="501"/>
      <c r="I98" s="501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9"/>
      <c r="V98" s="199"/>
      <c r="W98" s="286"/>
      <c r="X98" s="287"/>
      <c r="Y98" s="287"/>
      <c r="Z98" s="287"/>
      <c r="AA98" s="288"/>
      <c r="AB98" s="289"/>
      <c r="AC98" s="287"/>
      <c r="AD98" s="287"/>
      <c r="AE98" s="287"/>
      <c r="AF98" s="287"/>
      <c r="AG98" s="287"/>
      <c r="AH98" s="287"/>
      <c r="AI98" s="287"/>
      <c r="AJ98" s="290"/>
    </row>
    <row r="99" spans="5:36" ht="186" customHeight="1" x14ac:dyDescent="0.3">
      <c r="M99" s="199"/>
      <c r="N99" s="199"/>
      <c r="O99" s="199"/>
      <c r="P99" s="199"/>
      <c r="Q99" s="199"/>
      <c r="R99" s="199"/>
    </row>
  </sheetData>
  <mergeCells count="197">
    <mergeCell ref="AS29:AS30"/>
    <mergeCell ref="AS31:AS32"/>
    <mergeCell ref="AS33:AS34"/>
    <mergeCell ref="AS35:AS36"/>
    <mergeCell ref="AS38:AS39"/>
    <mergeCell ref="AS40:AS41"/>
    <mergeCell ref="AS42:AS43"/>
    <mergeCell ref="AS44:AS45"/>
    <mergeCell ref="AS46:AS47"/>
    <mergeCell ref="AS11:AS12"/>
    <mergeCell ref="AS13:AS14"/>
    <mergeCell ref="AS15:AS16"/>
    <mergeCell ref="AS17:AS18"/>
    <mergeCell ref="AS19:AS20"/>
    <mergeCell ref="AS21:AS22"/>
    <mergeCell ref="AS23:AS24"/>
    <mergeCell ref="AS25:AS26"/>
    <mergeCell ref="AS27:AS28"/>
    <mergeCell ref="E96:E98"/>
    <mergeCell ref="G96:G98"/>
    <mergeCell ref="H96:H98"/>
    <mergeCell ref="I96:I98"/>
    <mergeCell ref="AM77:AQ78"/>
    <mergeCell ref="G86:H86"/>
    <mergeCell ref="AT69:AW71"/>
    <mergeCell ref="AT74:AY76"/>
    <mergeCell ref="BB74:BB76"/>
    <mergeCell ref="O66:U78"/>
    <mergeCell ref="AA67:AC71"/>
    <mergeCell ref="AD88:AE88"/>
    <mergeCell ref="AD89:AE89"/>
    <mergeCell ref="R91:S91"/>
    <mergeCell ref="T91:U91"/>
    <mergeCell ref="V91:W91"/>
    <mergeCell ref="X88:X89"/>
    <mergeCell ref="Y88:Y89"/>
    <mergeCell ref="Z88:Z89"/>
    <mergeCell ref="AA88:AA89"/>
    <mergeCell ref="AB88:AB89"/>
    <mergeCell ref="AC88:AC89"/>
    <mergeCell ref="R88:R89"/>
    <mergeCell ref="S88:S89"/>
    <mergeCell ref="A92:A94"/>
    <mergeCell ref="R92:S92"/>
    <mergeCell ref="T92:U92"/>
    <mergeCell ref="V92:W92"/>
    <mergeCell ref="Y92:Z92"/>
    <mergeCell ref="E86:F86"/>
    <mergeCell ref="A88:A90"/>
    <mergeCell ref="K83:O86"/>
    <mergeCell ref="B84:D86"/>
    <mergeCell ref="E84:F84"/>
    <mergeCell ref="G84:H84"/>
    <mergeCell ref="I84:J86"/>
    <mergeCell ref="E85:F85"/>
    <mergeCell ref="G85:H85"/>
    <mergeCell ref="S93:T93"/>
    <mergeCell ref="V93:W93"/>
    <mergeCell ref="X93:Y93"/>
    <mergeCell ref="R90:S90"/>
    <mergeCell ref="T90:U90"/>
    <mergeCell ref="V90:W90"/>
    <mergeCell ref="T88:T89"/>
    <mergeCell ref="U88:U89"/>
    <mergeCell ref="V88:V89"/>
    <mergeCell ref="W88:W89"/>
    <mergeCell ref="E58:G65"/>
    <mergeCell ref="BW58:BW59"/>
    <mergeCell ref="BW62:BW63"/>
    <mergeCell ref="BW64:BW65"/>
    <mergeCell ref="BD74:BD76"/>
    <mergeCell ref="BC58:BC59"/>
    <mergeCell ref="O56:U65"/>
    <mergeCell ref="BC56:BC57"/>
    <mergeCell ref="AT66:AW66"/>
    <mergeCell ref="BV84:BV86"/>
    <mergeCell ref="AB74:AC75"/>
    <mergeCell ref="O50:P50"/>
    <mergeCell ref="O51:P51"/>
    <mergeCell ref="BM50:BM51"/>
    <mergeCell ref="BM52:BM53"/>
    <mergeCell ref="BC50:BC51"/>
    <mergeCell ref="BC52:BC53"/>
    <mergeCell ref="BC54:BC55"/>
    <mergeCell ref="BM54:BM55"/>
    <mergeCell ref="BM56:BM57"/>
    <mergeCell ref="BM58:BM59"/>
    <mergeCell ref="BM60:BM61"/>
    <mergeCell ref="O52:P52"/>
    <mergeCell ref="AS48:AS49"/>
    <mergeCell ref="AS50:AS51"/>
    <mergeCell ref="AS52:AS53"/>
    <mergeCell ref="AS54:AS55"/>
    <mergeCell ref="AS56:AS57"/>
    <mergeCell ref="E45:M45"/>
    <mergeCell ref="O45:U45"/>
    <mergeCell ref="AA45:AC45"/>
    <mergeCell ref="AD45:AF45"/>
    <mergeCell ref="O46:O47"/>
    <mergeCell ref="E52:F53"/>
    <mergeCell ref="G52:G53"/>
    <mergeCell ref="O19:U22"/>
    <mergeCell ref="A20:B22"/>
    <mergeCell ref="E22:G23"/>
    <mergeCell ref="A23:B25"/>
    <mergeCell ref="O23:U26"/>
    <mergeCell ref="E24:G26"/>
    <mergeCell ref="A26:B28"/>
    <mergeCell ref="O27:U44"/>
    <mergeCell ref="E28:G32"/>
    <mergeCell ref="BW21:BW22"/>
    <mergeCell ref="E1:F2"/>
    <mergeCell ref="G1:I2"/>
    <mergeCell ref="J1:P2"/>
    <mergeCell ref="R1:S2"/>
    <mergeCell ref="T1:AA2"/>
    <mergeCell ref="BB1:BB2"/>
    <mergeCell ref="AI2:AI5"/>
    <mergeCell ref="T3:V3"/>
    <mergeCell ref="Y3:AB3"/>
    <mergeCell ref="AK10:AR10"/>
    <mergeCell ref="BE10:BL10"/>
    <mergeCell ref="BO10:BV10"/>
    <mergeCell ref="H11:I44"/>
    <mergeCell ref="J11:K44"/>
    <mergeCell ref="L11:M44"/>
    <mergeCell ref="O11:U15"/>
    <mergeCell ref="O16:U18"/>
    <mergeCell ref="E33:G38"/>
    <mergeCell ref="BW23:BW24"/>
    <mergeCell ref="E39:G41"/>
    <mergeCell ref="E42:G43"/>
    <mergeCell ref="E44:G44"/>
    <mergeCell ref="F18:G20"/>
    <mergeCell ref="BW25:BW26"/>
    <mergeCell ref="BW27:BW28"/>
    <mergeCell ref="BW48:BW49"/>
    <mergeCell ref="BW50:BW51"/>
    <mergeCell ref="BW52:BW53"/>
    <mergeCell ref="BW54:BW55"/>
    <mergeCell ref="BW60:BW61"/>
    <mergeCell ref="BW29:BW30"/>
    <mergeCell ref="BW31:BW32"/>
    <mergeCell ref="BW33:BW34"/>
    <mergeCell ref="BW35:BW36"/>
    <mergeCell ref="BW38:BW39"/>
    <mergeCell ref="BW40:BW41"/>
    <mergeCell ref="BW42:BW43"/>
    <mergeCell ref="BW44:BW45"/>
    <mergeCell ref="BW46:BW47"/>
    <mergeCell ref="BW56:BW57"/>
    <mergeCell ref="BW11:BW12"/>
    <mergeCell ref="BW13:BW14"/>
    <mergeCell ref="BW15:BW16"/>
    <mergeCell ref="BW17:BW18"/>
    <mergeCell ref="BM11:BM12"/>
    <mergeCell ref="BM13:BM14"/>
    <mergeCell ref="BM15:BM16"/>
    <mergeCell ref="BM17:BM18"/>
    <mergeCell ref="BM19:BM20"/>
    <mergeCell ref="BW19:BW20"/>
    <mergeCell ref="BM21:BM22"/>
    <mergeCell ref="BM23:BM24"/>
    <mergeCell ref="BM25:BM26"/>
    <mergeCell ref="BM27:BM28"/>
    <mergeCell ref="BM29:BM30"/>
    <mergeCell ref="BM31:BM32"/>
    <mergeCell ref="BM33:BM34"/>
    <mergeCell ref="BM35:BM36"/>
    <mergeCell ref="BM38:BM39"/>
    <mergeCell ref="BC42:BC43"/>
    <mergeCell ref="BC44:BC45"/>
    <mergeCell ref="BC46:BC47"/>
    <mergeCell ref="BC48:BC49"/>
    <mergeCell ref="BM40:BM41"/>
    <mergeCell ref="BM42:BM43"/>
    <mergeCell ref="BM44:BM45"/>
    <mergeCell ref="BM46:BM47"/>
    <mergeCell ref="BO37:BV37"/>
    <mergeCell ref="BE37:BL37"/>
    <mergeCell ref="BM48:BM49"/>
    <mergeCell ref="AX10:AY10"/>
    <mergeCell ref="BC27:BC28"/>
    <mergeCell ref="BC29:BC30"/>
    <mergeCell ref="BC31:BC32"/>
    <mergeCell ref="BC33:BC34"/>
    <mergeCell ref="BC35:BC36"/>
    <mergeCell ref="BC38:BC39"/>
    <mergeCell ref="BC40:BC41"/>
    <mergeCell ref="BC11:BC12"/>
    <mergeCell ref="BC13:BC14"/>
    <mergeCell ref="BC15:BC16"/>
    <mergeCell ref="BC17:BC18"/>
    <mergeCell ref="BC19:BC20"/>
    <mergeCell ref="BC21:BC22"/>
    <mergeCell ref="BC23:BC24"/>
    <mergeCell ref="BC25:BC26"/>
  </mergeCells>
  <phoneticPr fontId="24" type="noConversion"/>
  <printOptions horizontalCentered="1" verticalCentered="1"/>
  <pageMargins left="0" right="0" top="0" bottom="0" header="0.31496062992125984" footer="0.31496062992125984"/>
  <pageSetup paperSize="9" scale="1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10606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NRB야적장 제품 배치도</vt:lpstr>
      <vt:lpstr>'NRB야적장 제품 배치도'!Print_Area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revision>2107</cp:revision>
  <cp:lastPrinted>2026-10-14T04:34:43Z</cp:lastPrinted>
  <dcterms:created xsi:type="dcterms:W3CDTF">2022-06-03T01:11:30Z</dcterms:created>
  <dcterms:modified xsi:type="dcterms:W3CDTF">2026-10-14T06:07:12Z</dcterms:modified>
  <cp:version>1000.0100.61</cp:version>
</cp:coreProperties>
</file>