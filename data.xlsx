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U:\모듈러사업2실\★ 300. 제1공장_마감관리팀\350. 마감진행현황\BH(수정)\2026년 10월 BH\"/>
    </mc:Choice>
  </mc:AlternateContent>
  <xr:revisionPtr revIDLastSave="0" documentId="13_ncr:1_{049C9B7C-C6A8-4269-A05C-4A464DC20205}" xr6:coauthVersionLast="47" xr6:coauthVersionMax="47" xr10:uidLastSave="{00000000-0000-0000-0000-000000000000}"/>
  <bookViews>
    <workbookView xWindow="-120" yWindow="-120" windowWidth="29040" windowHeight="15720" tabRatio="788" firstSheet="3" activeTab="4" xr2:uid="{00000000-000D-0000-FFFF-FFFF00000000}"/>
  </bookViews>
  <sheets>
    <sheet name="공종별 완료 현황" sheetId="1" r:id="rId1"/>
    <sheet name="마감현황" sheetId="2" r:id="rId2"/>
    <sheet name="NRB 공장 내부 배치도" sheetId="3" r:id="rId3"/>
    <sheet name="NRB야외 야적장 제품배치도(구)" sheetId="4" r:id="rId4"/>
    <sheet name="NRB야적장 제품 배치도" sheetId="9" r:id="rId5"/>
  </sheets>
  <definedNames>
    <definedName name="_xlnm.Print_Area" localSheetId="2">'NRB 공장 내부 배치도'!$A$1:$AI$31</definedName>
    <definedName name="_xlnm.Print_Area" localSheetId="3">'NRB야외 야적장 제품배치도(구)'!$BF$5:$BX$94</definedName>
    <definedName name="_xlnm.Print_Area" localSheetId="4">'NRB야적장 제품 배치도'!$AJ$37:$BC$58</definedName>
    <definedName name="_xlnm.Print_Area" localSheetId="1">마감현황!$A$1:$CD$639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S60" i="9" l="1"/>
  <c r="AR60" i="9" l="1"/>
  <c r="AQ60" i="9"/>
  <c r="AP60" i="9"/>
  <c r="AL60" i="9"/>
  <c r="AK60" i="9"/>
  <c r="AJ60" i="9"/>
  <c r="AN60" i="9"/>
  <c r="AM60" i="9"/>
  <c r="AO60" i="9" l="1"/>
  <c r="K87" i="2"/>
  <c r="AC22" i="1" l="1"/>
  <c r="AC21" i="1" l="1"/>
  <c r="CA611" i="2" l="1"/>
  <c r="BW611" i="2"/>
  <c r="BQ611" i="2"/>
  <c r="BM611" i="2"/>
  <c r="BD611" i="2"/>
  <c r="AZ611" i="2"/>
  <c r="AV611" i="2"/>
  <c r="AP611" i="2"/>
  <c r="AL611" i="2"/>
  <c r="AH611" i="2"/>
  <c r="Y611" i="2"/>
  <c r="U611" i="2"/>
  <c r="Q611" i="2"/>
  <c r="K611" i="2"/>
  <c r="G611" i="2"/>
  <c r="C611" i="2"/>
  <c r="CA584" i="2"/>
  <c r="BW584" i="2"/>
  <c r="BQ584" i="2"/>
  <c r="BM584" i="2"/>
  <c r="BD584" i="2"/>
  <c r="AZ584" i="2"/>
  <c r="AV584" i="2"/>
  <c r="AP584" i="2"/>
  <c r="AL584" i="2"/>
  <c r="AH584" i="2"/>
  <c r="Y584" i="2"/>
  <c r="U584" i="2"/>
  <c r="Q584" i="2"/>
  <c r="K584" i="2"/>
  <c r="G584" i="2"/>
  <c r="C584" i="2"/>
  <c r="CA557" i="2"/>
  <c r="BW557" i="2"/>
  <c r="BQ557" i="2"/>
  <c r="BM557" i="2"/>
  <c r="BD557" i="2"/>
  <c r="AZ557" i="2"/>
  <c r="AV557" i="2"/>
  <c r="AP557" i="2"/>
  <c r="AL557" i="2"/>
  <c r="AH557" i="2"/>
  <c r="Y557" i="2"/>
  <c r="U557" i="2"/>
  <c r="Q557" i="2"/>
  <c r="K557" i="2"/>
  <c r="G557" i="2"/>
  <c r="C557" i="2"/>
  <c r="CA530" i="2"/>
  <c r="BW530" i="2"/>
  <c r="BQ530" i="2"/>
  <c r="BM530" i="2"/>
  <c r="BD530" i="2"/>
  <c r="AZ530" i="2"/>
  <c r="AV530" i="2"/>
  <c r="AP530" i="2"/>
  <c r="AL530" i="2"/>
  <c r="AH530" i="2"/>
  <c r="Y530" i="2"/>
  <c r="U530" i="2"/>
  <c r="Q530" i="2"/>
  <c r="K530" i="2"/>
  <c r="G530" i="2"/>
  <c r="C530" i="2"/>
  <c r="CA503" i="2"/>
  <c r="BW503" i="2"/>
  <c r="BQ503" i="2"/>
  <c r="BM503" i="2"/>
  <c r="BD503" i="2"/>
  <c r="AZ503" i="2"/>
  <c r="AV503" i="2"/>
  <c r="AP503" i="2"/>
  <c r="AL503" i="2"/>
  <c r="AH503" i="2"/>
  <c r="Y503" i="2"/>
  <c r="U503" i="2"/>
  <c r="Q503" i="2"/>
  <c r="K503" i="2"/>
  <c r="G503" i="2"/>
  <c r="C503" i="2"/>
  <c r="CA476" i="2"/>
  <c r="BW476" i="2"/>
  <c r="BQ476" i="2"/>
  <c r="BM476" i="2"/>
  <c r="BD476" i="2"/>
  <c r="AZ476" i="2"/>
  <c r="AV476" i="2"/>
  <c r="AP476" i="2"/>
  <c r="AL476" i="2"/>
  <c r="AH476" i="2"/>
  <c r="Y476" i="2"/>
  <c r="U476" i="2"/>
  <c r="Q476" i="2"/>
  <c r="K476" i="2"/>
  <c r="G476" i="2"/>
  <c r="C476" i="2"/>
  <c r="CA449" i="2"/>
  <c r="BW449" i="2"/>
  <c r="BQ449" i="2"/>
  <c r="BM449" i="2"/>
  <c r="BD449" i="2"/>
  <c r="AZ449" i="2"/>
  <c r="AV449" i="2"/>
  <c r="AP449" i="2"/>
  <c r="AL449" i="2"/>
  <c r="AH449" i="2"/>
  <c r="Y449" i="2"/>
  <c r="U449" i="2"/>
  <c r="Q449" i="2"/>
  <c r="K449" i="2"/>
  <c r="G449" i="2"/>
  <c r="C449" i="2"/>
  <c r="CA422" i="2"/>
  <c r="BW422" i="2"/>
  <c r="BQ422" i="2"/>
  <c r="BM422" i="2"/>
  <c r="BD422" i="2"/>
  <c r="AZ422" i="2"/>
  <c r="AV422" i="2"/>
  <c r="AP422" i="2"/>
  <c r="AL422" i="2"/>
  <c r="AH422" i="2"/>
  <c r="Y422" i="2"/>
  <c r="U422" i="2"/>
  <c r="Q422" i="2"/>
  <c r="K422" i="2"/>
  <c r="G422" i="2"/>
  <c r="C422" i="2"/>
  <c r="CA395" i="2"/>
  <c r="BW395" i="2"/>
  <c r="BQ395" i="2"/>
  <c r="BM395" i="2"/>
  <c r="BD395" i="2"/>
  <c r="AZ395" i="2"/>
  <c r="AV395" i="2"/>
  <c r="AP395" i="2"/>
  <c r="AL395" i="2"/>
  <c r="AH395" i="2"/>
  <c r="Y395" i="2"/>
  <c r="U395" i="2"/>
  <c r="Q395" i="2"/>
  <c r="K395" i="2"/>
  <c r="G395" i="2"/>
  <c r="C395" i="2"/>
  <c r="CA368" i="2"/>
  <c r="BW368" i="2"/>
  <c r="BQ368" i="2"/>
  <c r="BM368" i="2"/>
  <c r="BD368" i="2"/>
  <c r="AZ368" i="2"/>
  <c r="AV368" i="2"/>
  <c r="AP368" i="2"/>
  <c r="AL368" i="2"/>
  <c r="AH368" i="2"/>
  <c r="Y368" i="2"/>
  <c r="U368" i="2"/>
  <c r="Q368" i="2"/>
  <c r="K368" i="2"/>
  <c r="G368" i="2"/>
  <c r="C368" i="2"/>
  <c r="CA341" i="2"/>
  <c r="BW341" i="2"/>
  <c r="BQ341" i="2"/>
  <c r="BM341" i="2"/>
  <c r="BD341" i="2"/>
  <c r="AZ341" i="2"/>
  <c r="AV341" i="2"/>
  <c r="AP341" i="2"/>
  <c r="AL341" i="2"/>
  <c r="AH341" i="2"/>
  <c r="Y341" i="2"/>
  <c r="U341" i="2"/>
  <c r="Q341" i="2"/>
  <c r="K341" i="2"/>
  <c r="G341" i="2"/>
  <c r="C341" i="2"/>
  <c r="CA303" i="2"/>
  <c r="BW303" i="2"/>
  <c r="BQ303" i="2"/>
  <c r="BM303" i="2"/>
  <c r="BD303" i="2"/>
  <c r="AZ303" i="2"/>
  <c r="AV303" i="2"/>
  <c r="AP303" i="2"/>
  <c r="AL303" i="2"/>
  <c r="AH303" i="2"/>
  <c r="Y303" i="2"/>
  <c r="U303" i="2"/>
  <c r="Q303" i="2"/>
  <c r="K303" i="2"/>
  <c r="G303" i="2"/>
  <c r="C303" i="2"/>
  <c r="CA276" i="2"/>
  <c r="BW276" i="2"/>
  <c r="BQ276" i="2"/>
  <c r="BM276" i="2"/>
  <c r="BD276" i="2"/>
  <c r="AZ276" i="2"/>
  <c r="AV276" i="2"/>
  <c r="AP276" i="2"/>
  <c r="AL276" i="2"/>
  <c r="AH276" i="2"/>
  <c r="Y276" i="2"/>
  <c r="U276" i="2"/>
  <c r="Q276" i="2"/>
  <c r="K276" i="2"/>
  <c r="G276" i="2"/>
  <c r="C276" i="2"/>
  <c r="CA249" i="2"/>
  <c r="BW249" i="2"/>
  <c r="BQ249" i="2"/>
  <c r="BM249" i="2"/>
  <c r="BD249" i="2"/>
  <c r="AZ249" i="2"/>
  <c r="AV249" i="2"/>
  <c r="AP249" i="2"/>
  <c r="AL249" i="2"/>
  <c r="AH249" i="2"/>
  <c r="Y249" i="2"/>
  <c r="U249" i="2"/>
  <c r="Q249" i="2"/>
  <c r="K249" i="2"/>
  <c r="G249" i="2"/>
  <c r="C249" i="2"/>
  <c r="CA222" i="2"/>
  <c r="BW222" i="2"/>
  <c r="BQ222" i="2"/>
  <c r="BM222" i="2"/>
  <c r="BD222" i="2"/>
  <c r="AZ222" i="2"/>
  <c r="AV222" i="2"/>
  <c r="AP222" i="2"/>
  <c r="AL222" i="2"/>
  <c r="AH222" i="2"/>
  <c r="Y222" i="2"/>
  <c r="U222" i="2"/>
  <c r="Q222" i="2"/>
  <c r="K222" i="2"/>
  <c r="G222" i="2"/>
  <c r="C222" i="2"/>
  <c r="CA195" i="2"/>
  <c r="BW195" i="2"/>
  <c r="BQ195" i="2"/>
  <c r="BM195" i="2"/>
  <c r="BD195" i="2"/>
  <c r="AZ195" i="2"/>
  <c r="AV195" i="2"/>
  <c r="AP195" i="2"/>
  <c r="AL195" i="2"/>
  <c r="AH195" i="2"/>
  <c r="Y195" i="2"/>
  <c r="U195" i="2"/>
  <c r="Q195" i="2"/>
  <c r="K195" i="2"/>
  <c r="G195" i="2"/>
  <c r="C195" i="2"/>
  <c r="CA168" i="2"/>
  <c r="BW168" i="2"/>
  <c r="BQ168" i="2"/>
  <c r="BM168" i="2"/>
  <c r="BD168" i="2"/>
  <c r="AZ168" i="2"/>
  <c r="AV168" i="2"/>
  <c r="AP168" i="2"/>
  <c r="AL168" i="2"/>
  <c r="AH168" i="2"/>
  <c r="Y168" i="2"/>
  <c r="U168" i="2"/>
  <c r="Q168" i="2"/>
  <c r="K168" i="2"/>
  <c r="G168" i="2"/>
  <c r="C168" i="2"/>
  <c r="CA141" i="2"/>
  <c r="BW141" i="2"/>
  <c r="BQ141" i="2"/>
  <c r="BM141" i="2"/>
  <c r="BD141" i="2"/>
  <c r="AZ141" i="2"/>
  <c r="AV141" i="2"/>
  <c r="AP141" i="2"/>
  <c r="AL141" i="2"/>
  <c r="AH141" i="2"/>
  <c r="Y141" i="2"/>
  <c r="U141" i="2"/>
  <c r="Q141" i="2"/>
  <c r="K141" i="2"/>
  <c r="G141" i="2"/>
  <c r="C141" i="2"/>
  <c r="CA114" i="2"/>
  <c r="BW114" i="2"/>
  <c r="BQ114" i="2"/>
  <c r="BM114" i="2"/>
  <c r="BD114" i="2"/>
  <c r="AZ114" i="2"/>
  <c r="AV114" i="2"/>
  <c r="AP114" i="2"/>
  <c r="AL114" i="2"/>
  <c r="AH114" i="2"/>
  <c r="Y114" i="2"/>
  <c r="U114" i="2"/>
  <c r="Q114" i="2"/>
  <c r="K114" i="2"/>
  <c r="G114" i="2"/>
  <c r="C114" i="2"/>
  <c r="CA87" i="2"/>
  <c r="BW87" i="2"/>
  <c r="BQ87" i="2"/>
  <c r="BM87" i="2"/>
  <c r="BD87" i="2"/>
  <c r="AZ87" i="2"/>
  <c r="AV87" i="2"/>
  <c r="AP87" i="2"/>
  <c r="AL87" i="2"/>
  <c r="AH87" i="2"/>
  <c r="Y87" i="2"/>
  <c r="U87" i="2"/>
  <c r="Q87" i="2"/>
  <c r="G87" i="2"/>
  <c r="C87" i="2"/>
  <c r="CA60" i="2"/>
  <c r="BW60" i="2"/>
  <c r="BQ60" i="2"/>
  <c r="BM60" i="2"/>
  <c r="BD60" i="2"/>
  <c r="AZ60" i="2"/>
  <c r="AV60" i="2"/>
  <c r="AP60" i="2"/>
  <c r="AL60" i="2"/>
  <c r="AH60" i="2"/>
  <c r="Y60" i="2"/>
  <c r="U60" i="2"/>
  <c r="Q60" i="2"/>
  <c r="K60" i="2"/>
  <c r="G60" i="2"/>
  <c r="C60" i="2"/>
  <c r="CA33" i="2"/>
  <c r="BW33" i="2"/>
  <c r="BQ33" i="2"/>
  <c r="BM33" i="2"/>
  <c r="Y33" i="2"/>
  <c r="U33" i="2"/>
  <c r="Q33" i="2"/>
  <c r="K33" i="2"/>
  <c r="G33" i="2"/>
  <c r="C33" i="2"/>
  <c r="CA6" i="2"/>
  <c r="BW6" i="2"/>
  <c r="BQ6" i="2"/>
  <c r="BM6" i="2"/>
  <c r="K6" i="2"/>
  <c r="G6" i="2"/>
  <c r="C6" i="2"/>
  <c r="Y5" i="2"/>
  <c r="U5" i="2"/>
  <c r="Q5" i="2"/>
  <c r="AM65" i="1"/>
  <c r="AM64" i="1"/>
  <c r="AM63" i="1"/>
  <c r="AM62" i="1"/>
  <c r="AF27" i="1"/>
  <c r="A26" i="1"/>
  <c r="AC20" i="1"/>
  <c r="AC19" i="1"/>
  <c r="AC18" i="1"/>
  <c r="AC17" i="1"/>
  <c r="AC16" i="1"/>
  <c r="AC15" i="1"/>
  <c r="AC14" i="1"/>
  <c r="AC13" i="1"/>
  <c r="A13" i="1"/>
  <c r="AC12" i="1"/>
  <c r="AC11" i="1"/>
  <c r="AC10" i="1"/>
  <c r="AC9" i="1"/>
  <c r="AC8" i="1"/>
  <c r="AC7" i="1"/>
  <c r="E7" i="1" l="1"/>
  <c r="E16" i="1"/>
  <c r="E8" i="1"/>
  <c r="E14" i="1"/>
  <c r="E9" i="1"/>
  <c r="E10" i="1"/>
  <c r="E11" i="1"/>
  <c r="E15" i="1"/>
  <c r="E13" i="1"/>
  <c r="E12" i="1"/>
  <c r="AE19" i="1"/>
  <c r="AE12" i="1"/>
  <c r="AE13" i="1"/>
  <c r="AE9" i="1"/>
  <c r="AE16" i="1"/>
  <c r="AE22" i="1"/>
  <c r="AE21" i="1"/>
  <c r="AE7" i="1"/>
  <c r="AE17" i="1"/>
  <c r="AE20" i="1"/>
  <c r="AE18" i="1"/>
  <c r="AM61" i="1"/>
  <c r="AE14" i="1"/>
  <c r="AE10" i="1"/>
  <c r="AE15" i="1"/>
  <c r="AE8" i="1"/>
  <c r="AE11" i="1"/>
  <c r="AM60" i="1"/>
  <c r="AD21" i="1"/>
  <c r="A29" i="1"/>
  <c r="B13" i="1" s="1"/>
  <c r="AF13" i="1" l="1"/>
  <c r="AD17" i="1"/>
  <c r="AM58" i="1"/>
  <c r="I3" i="1" s="1"/>
  <c r="AB21" i="1"/>
  <c r="AD20" i="1"/>
  <c r="AB20" i="1"/>
  <c r="AD19" i="1"/>
  <c r="AB19" i="1"/>
  <c r="AD18" i="1"/>
  <c r="AB18" i="1"/>
  <c r="AB17" i="1"/>
  <c r="B12" i="1"/>
  <c r="AF12" i="1" s="1"/>
  <c r="B29" i="1"/>
  <c r="B20" i="1"/>
  <c r="AF20" i="1" s="1"/>
  <c r="B28" i="1"/>
  <c r="B14" i="1"/>
  <c r="AF14" i="1" s="1"/>
  <c r="B15" i="1"/>
  <c r="AF15" i="1" s="1"/>
  <c r="B7" i="1"/>
  <c r="AF7" i="1" s="1"/>
  <c r="B16" i="1"/>
  <c r="AF16" i="1" s="1"/>
  <c r="B17" i="1"/>
  <c r="AF17" i="1" s="1"/>
  <c r="B21" i="1"/>
  <c r="AF21" i="1" s="1"/>
  <c r="B8" i="1"/>
  <c r="AF8" i="1" s="1"/>
  <c r="B25" i="1"/>
  <c r="AF25" i="1" s="1"/>
  <c r="B9" i="1"/>
  <c r="AF9" i="1" s="1"/>
  <c r="B24" i="1"/>
  <c r="AF24" i="1" s="1"/>
  <c r="B10" i="1"/>
  <c r="AF10" i="1" s="1"/>
  <c r="B23" i="1"/>
  <c r="AF23" i="1" s="1"/>
  <c r="B18" i="1"/>
  <c r="AF18" i="1" s="1"/>
  <c r="B19" i="1"/>
  <c r="AF19" i="1" s="1"/>
  <c r="B11" i="1"/>
  <c r="AF11" i="1" s="1"/>
  <c r="B22" i="1"/>
  <c r="AF22" i="1" s="1"/>
  <c r="AM59" i="1"/>
  <c r="B26" i="1"/>
  <c r="AF26" i="1" s="1"/>
  <c r="AF6" i="1" l="1"/>
  <c r="AE5" i="1" l="1"/>
  <c r="E3" i="1"/>
  <c r="O13" i="1" l="1"/>
  <c r="Q13" i="1" s="1"/>
  <c r="J8" i="1"/>
  <c r="G9" i="1"/>
  <c r="O14" i="1"/>
  <c r="Q14" i="1" s="1"/>
  <c r="O15" i="1"/>
  <c r="J9" i="1"/>
  <c r="O10" i="1"/>
  <c r="Q10" i="1" s="1"/>
  <c r="G12" i="1"/>
  <c r="G8" i="1"/>
  <c r="O8" i="1"/>
  <c r="Q8" i="1" s="1"/>
  <c r="J10" i="1"/>
  <c r="J11" i="1"/>
  <c r="J13" i="1"/>
  <c r="J14" i="1"/>
  <c r="G10" i="1"/>
  <c r="O9" i="1"/>
  <c r="Q9" i="1" s="1"/>
  <c r="G14" i="1"/>
  <c r="J16" i="1"/>
  <c r="G13" i="1" l="1"/>
  <c r="G15" i="1"/>
  <c r="O12" i="1"/>
  <c r="Q12" i="1" s="1"/>
  <c r="J15" i="1"/>
  <c r="L15" i="1" s="1"/>
  <c r="L14" i="1"/>
  <c r="AD14" i="1" s="1"/>
  <c r="AB14" i="1"/>
  <c r="L10" i="1"/>
  <c r="AD10" i="1" s="1"/>
  <c r="AB10" i="1"/>
  <c r="L11" i="1"/>
  <c r="L8" i="1"/>
  <c r="AD8" i="1" s="1"/>
  <c r="AB8" i="1"/>
  <c r="Q15" i="1"/>
  <c r="G7" i="1"/>
  <c r="AB9" i="1"/>
  <c r="L9" i="1"/>
  <c r="AD9" i="1" s="1"/>
  <c r="L16" i="1"/>
  <c r="L13" i="1"/>
  <c r="O7" i="1"/>
  <c r="Q7" i="1" s="1"/>
  <c r="J12" i="1"/>
  <c r="J7" i="1"/>
  <c r="G16" i="1"/>
  <c r="O11" i="1"/>
  <c r="Q11" i="1" s="1"/>
  <c r="G11" i="1"/>
  <c r="O16" i="1"/>
  <c r="Q16" i="1" s="1"/>
  <c r="AD16" i="1" l="1"/>
  <c r="AB15" i="1"/>
  <c r="AD15" i="1"/>
  <c r="AD13" i="1"/>
  <c r="AB13" i="1"/>
  <c r="G3" i="1"/>
  <c r="AB16" i="1"/>
  <c r="L12" i="1"/>
  <c r="AD12" i="1" s="1"/>
  <c r="AB12" i="1"/>
  <c r="AB11" i="1"/>
  <c r="L7" i="1"/>
  <c r="AD7" i="1" s="1"/>
  <c r="AB7" i="1"/>
  <c r="AD11" i="1"/>
  <c r="D3" i="1"/>
  <c r="BC70" i="9"/>
  <c r="BS69" i="9"/>
  <c r="BV68" i="9"/>
  <c r="BS70" i="9"/>
  <c r="BA68" i="9" l="1"/>
  <c r="BR70" i="9"/>
  <c r="BO69" i="9"/>
  <c r="BJ68" i="9"/>
  <c r="BU70" i="9"/>
  <c r="BG68" i="9"/>
  <c r="BI69" i="9"/>
  <c r="BN68" i="9"/>
  <c r="BU68" i="9"/>
  <c r="BD70" i="9"/>
  <c r="BT68" i="9"/>
  <c r="BS68" i="9"/>
  <c r="BL69" i="9"/>
  <c r="BJ69" i="9"/>
  <c r="BE70" i="9"/>
  <c r="BA70" i="9"/>
  <c r="BU69" i="9"/>
  <c r="BP68" i="9"/>
  <c r="BK68" i="9"/>
  <c r="BQ69" i="9"/>
  <c r="BP70" i="9"/>
  <c r="BN69" i="9"/>
  <c r="BH69" i="9"/>
  <c r="BB69" i="9"/>
  <c r="BT69" i="9"/>
  <c r="BO68" i="9"/>
  <c r="BM69" i="9"/>
  <c r="BC68" i="9"/>
  <c r="BQ70" i="9"/>
  <c r="BQ68" i="9"/>
  <c r="BR69" i="9"/>
  <c r="BV70" i="9"/>
  <c r="BF69" i="9"/>
  <c r="BT70" i="9"/>
  <c r="BO70" i="9"/>
  <c r="BJ70" i="9"/>
  <c r="BK69" i="9"/>
  <c r="BE69" i="9"/>
  <c r="BF68" i="9"/>
  <c r="BP69" i="9"/>
  <c r="BG69" i="9"/>
  <c r="BE68" i="9"/>
  <c r="BL68" i="9"/>
  <c r="BK70" i="9"/>
  <c r="BC69" i="9"/>
  <c r="BM68" i="9"/>
  <c r="BH68" i="9"/>
  <c r="BB70" i="9"/>
  <c r="BI68" i="9"/>
  <c r="BN70" i="9"/>
  <c r="BD68" i="9"/>
  <c r="BL70" i="9"/>
  <c r="BB68" i="9"/>
  <c r="BF70" i="9"/>
  <c r="BI70" i="9"/>
  <c r="BM70" i="9"/>
  <c r="BH70" i="9"/>
  <c r="BV69" i="9"/>
  <c r="BG70" i="9"/>
  <c r="BA69" i="9"/>
  <c r="BR68" i="9"/>
  <c r="BD69" i="9"/>
  <c r="BW68" i="9" l="1"/>
  <c r="BW69" i="9"/>
  <c r="BW70" i="9"/>
</calcChain>
</file>

<file path=xl/sharedStrings.xml><?xml version="1.0" encoding="utf-8"?>
<sst xmlns="http://schemas.openxmlformats.org/spreadsheetml/2006/main" count="1241" uniqueCount="1044">
  <si>
    <t>공업화 주택 샘플</t>
  </si>
  <si>
    <t>총 금일
진행수량</t>
  </si>
  <si>
    <t>경북 소프트
사생실
샘플</t>
  </si>
  <si>
    <t>한양대
실증연구 보듈</t>
  </si>
  <si>
    <t>교실, 단독실 모듈</t>
  </si>
  <si>
    <r>
      <t xml:space="preserve"> </t>
    </r>
    <r>
      <rPr>
        <sz val="11"/>
        <color rgb="FF000000"/>
        <rFont val="맑은 고딕"/>
        <family val="3"/>
        <charset val="129"/>
      </rPr>
      <t xml:space="preserve">                                                                                                                                                                                             </t>
    </r>
  </si>
  <si>
    <t>전일수량</t>
  </si>
  <si>
    <t>요율</t>
  </si>
  <si>
    <t>B 정문</t>
  </si>
  <si>
    <t>진행수량</t>
  </si>
  <si>
    <t>공종별 금액</t>
  </si>
  <si>
    <t>총 전일수량</t>
  </si>
  <si>
    <t>금일
진행수량</t>
  </si>
  <si>
    <t>앙</t>
  </si>
  <si>
    <t>로</t>
  </si>
  <si>
    <t>B 후문</t>
  </si>
  <si>
    <t>통</t>
  </si>
  <si>
    <t>C 정문</t>
  </si>
  <si>
    <t>총 진행수량</t>
  </si>
  <si>
    <t>진행율
(%)</t>
  </si>
  <si>
    <t xml:space="preserve"> </t>
  </si>
  <si>
    <t>진행율</t>
  </si>
  <si>
    <t>경 비 소</t>
  </si>
  <si>
    <t>진행중</t>
  </si>
  <si>
    <t>A 후문</t>
  </si>
  <si>
    <t>f</t>
  </si>
  <si>
    <t>중</t>
  </si>
  <si>
    <r>
      <t xml:space="preserve"> </t>
    </r>
    <r>
      <rPr>
        <sz val="11"/>
        <color rgb="FF000000"/>
        <rFont val="맑은 고딕"/>
        <family val="3"/>
        <charset val="129"/>
      </rPr>
      <t xml:space="preserve">                       </t>
    </r>
  </si>
  <si>
    <t>C 후문</t>
    <phoneticPr fontId="35" type="noConversion"/>
  </si>
  <si>
    <t>BH 26타입</t>
    <phoneticPr fontId="35" type="noConversion"/>
  </si>
  <si>
    <t>BH 36타입</t>
    <phoneticPr fontId="35" type="noConversion"/>
  </si>
  <si>
    <t>BH 46타입</t>
    <phoneticPr fontId="35" type="noConversion"/>
  </si>
  <si>
    <t>36 그라우팅</t>
  </si>
  <si>
    <t>36 각파이프 구조틀 설치</t>
  </si>
  <si>
    <t>36 전기 배관배선</t>
  </si>
  <si>
    <t>36 S/P배관</t>
  </si>
  <si>
    <t>36 문틀설치</t>
  </si>
  <si>
    <t>36 도장</t>
  </si>
  <si>
    <t>46 그라우팅</t>
  </si>
  <si>
    <t>46 각파이프 구조틀 설치</t>
  </si>
  <si>
    <t>46 전기 배관배선</t>
  </si>
  <si>
    <t>46 S/P배관</t>
  </si>
  <si>
    <t>46 문틀설치</t>
  </si>
  <si>
    <t>46 도장</t>
  </si>
  <si>
    <t>BH진행중</t>
    <phoneticPr fontId="35" type="noConversion"/>
  </si>
  <si>
    <t>A L C</t>
  </si>
  <si>
    <t>포스코A&amp;C모듈</t>
  </si>
  <si>
    <t>중복도
일반실
한양대 
해체모듈</t>
  </si>
  <si>
    <t>D라인</t>
    <phoneticPr fontId="35" type="noConversion"/>
  </si>
  <si>
    <t>C라인</t>
    <phoneticPr fontId="35" type="noConversion"/>
  </si>
  <si>
    <t>B라인</t>
    <phoneticPr fontId="35" type="noConversion"/>
  </si>
  <si>
    <t>A라인</t>
    <phoneticPr fontId="35" type="noConversion"/>
  </si>
  <si>
    <t>BH 샘플</t>
    <phoneticPr fontId="35" type="noConversion"/>
  </si>
  <si>
    <t>LH 샘플</t>
    <phoneticPr fontId="35" type="noConversion"/>
  </si>
  <si>
    <t>1.2M
확장유닛  7EA</t>
  </si>
  <si>
    <t>외국인 기숙사</t>
    <phoneticPr fontId="35" type="noConversion"/>
  </si>
  <si>
    <t>BH샘플</t>
    <phoneticPr fontId="35" type="noConversion"/>
  </si>
  <si>
    <t>401-1-1
/46SB73</t>
    <phoneticPr fontId="35" type="noConversion"/>
  </si>
  <si>
    <t>402-1-3
/36SB43</t>
    <phoneticPr fontId="35" type="noConversion"/>
  </si>
  <si>
    <t>26 그라우팅</t>
    <phoneticPr fontId="35" type="noConversion"/>
  </si>
  <si>
    <t>26 각파이프 구조틀 설치</t>
    <phoneticPr fontId="35" type="noConversion"/>
  </si>
  <si>
    <t>26 전기 배관배선</t>
    <phoneticPr fontId="35" type="noConversion"/>
  </si>
  <si>
    <t>26 도장</t>
    <phoneticPr fontId="35" type="noConversion"/>
  </si>
  <si>
    <t>26 S/P배관</t>
    <phoneticPr fontId="35" type="noConversion"/>
  </si>
  <si>
    <t>26 외부창(복도창포함)</t>
    <phoneticPr fontId="35" type="noConversion"/>
  </si>
  <si>
    <t>26 알파룸창</t>
    <phoneticPr fontId="35" type="noConversion"/>
  </si>
  <si>
    <t>26 문틀설치</t>
    <phoneticPr fontId="35" type="noConversion"/>
  </si>
  <si>
    <t>26 외장마감</t>
    <phoneticPr fontId="35" type="noConversion"/>
  </si>
  <si>
    <t>26 ubr</t>
    <phoneticPr fontId="35" type="noConversion"/>
  </si>
  <si>
    <t>36 외부창(복도창포함)</t>
  </si>
  <si>
    <t>36 알파룸창</t>
  </si>
  <si>
    <t>36 외장마감</t>
  </si>
  <si>
    <t>36 ubr</t>
  </si>
  <si>
    <t>46 외부창(복도창포함)</t>
  </si>
  <si>
    <t>46 알파룸창</t>
  </si>
  <si>
    <t>46 외장마감</t>
  </si>
  <si>
    <t>46 ubr</t>
  </si>
  <si>
    <t>403-1-14
46SA74</t>
    <phoneticPr fontId="35" type="noConversion"/>
  </si>
  <si>
    <t>401-11-1/
46SB73
2026-4-6</t>
    <phoneticPr fontId="35" type="noConversion"/>
  </si>
  <si>
    <t>401-10-13/
26SA03
2026-4-6</t>
    <phoneticPr fontId="35" type="noConversion"/>
  </si>
  <si>
    <t>401-8-12/
26SA04
2026-4-8</t>
    <phoneticPr fontId="35" type="noConversion"/>
  </si>
  <si>
    <t>401-5-12/
26SA04
2026-4-9</t>
    <phoneticPr fontId="35" type="noConversion"/>
  </si>
  <si>
    <t>401-11-13/
26SA03
2026-4-13</t>
    <phoneticPr fontId="35" type="noConversion"/>
  </si>
  <si>
    <t>401-3-12/
26SA04
2026-4-13</t>
    <phoneticPr fontId="35" type="noConversion"/>
  </si>
  <si>
    <t>401-1-12/
26SA04
2026-4-13</t>
    <phoneticPr fontId="35" type="noConversion"/>
  </si>
  <si>
    <t>401-9-1/
46SB73
2026-4-13</t>
    <phoneticPr fontId="35" type="noConversion"/>
  </si>
  <si>
    <t>401-3-1/
46SB73
2026-4-15</t>
    <phoneticPr fontId="35" type="noConversion"/>
  </si>
  <si>
    <t>401-2-12/
26SA04
2026-4-16</t>
    <phoneticPr fontId="35" type="noConversion"/>
  </si>
  <si>
    <t>401-9-13/
26SA03
2026-4-16</t>
    <phoneticPr fontId="35" type="noConversion"/>
  </si>
  <si>
    <t>401-18-13/
26SA03
2026-4-16</t>
    <phoneticPr fontId="35" type="noConversion"/>
  </si>
  <si>
    <t>401-2-13/
26SA03
2026-4-16</t>
    <phoneticPr fontId="35" type="noConversion"/>
  </si>
  <si>
    <t>401-10-1/
46SB73
2026-4-15</t>
    <phoneticPr fontId="35" type="noConversion"/>
  </si>
  <si>
    <t>401-7-1/
46SB73
2026-4-17</t>
    <phoneticPr fontId="35" type="noConversion"/>
  </si>
  <si>
    <t>401-5-1/
46SB73
2026-4-17</t>
    <phoneticPr fontId="35" type="noConversion"/>
  </si>
  <si>
    <t>402-6-2/
36SB04
2026-4-9</t>
    <phoneticPr fontId="35" type="noConversion"/>
  </si>
  <si>
    <t>401-4-1/
46SB73
2026-4-20</t>
    <phoneticPr fontId="35" type="noConversion"/>
  </si>
  <si>
    <t>401-16-1/
46SB73
2026-4-20</t>
    <phoneticPr fontId="35" type="noConversion"/>
  </si>
  <si>
    <t>401-4-12/
26SA04
2026-4-20</t>
    <phoneticPr fontId="35" type="noConversion"/>
  </si>
  <si>
    <t>401-6-12/
26SA04
2026-4-20</t>
    <phoneticPr fontId="35" type="noConversion"/>
  </si>
  <si>
    <t>401-1-13/
26SA03
2026-4-20</t>
    <phoneticPr fontId="35" type="noConversion"/>
  </si>
  <si>
    <t>401-4-6/
46SB76
2026-4-21</t>
    <phoneticPr fontId="35" type="noConversion"/>
  </si>
  <si>
    <t>401-8-6/
46SB76
2026-4-21</t>
    <phoneticPr fontId="35" type="noConversion"/>
  </si>
  <si>
    <t>401-6-1/
46SB73
2026-4-21</t>
    <phoneticPr fontId="35" type="noConversion"/>
  </si>
  <si>
    <t>401-17-12/
26SA04
2026-4-21</t>
    <phoneticPr fontId="35" type="noConversion"/>
  </si>
  <si>
    <t>401-3-6/
46SB76
2026-4-23</t>
    <phoneticPr fontId="35" type="noConversion"/>
  </si>
  <si>
    <t>401-04-13/
26SA03
2026-4-27</t>
    <phoneticPr fontId="35" type="noConversion"/>
  </si>
  <si>
    <t>401-05-13/
26SA03
2026-4-27</t>
    <phoneticPr fontId="35" type="noConversion"/>
  </si>
  <si>
    <t>401-13-6/
46SB76
2026-4-27</t>
    <phoneticPr fontId="35" type="noConversion"/>
  </si>
  <si>
    <t>401-9-6/
46SB76
2026-4-27</t>
    <phoneticPr fontId="35" type="noConversion"/>
  </si>
  <si>
    <t>401-7-6/
46SB76
2026-4-27</t>
    <phoneticPr fontId="35" type="noConversion"/>
  </si>
  <si>
    <t>401-6-6/
46SB76
2026-4-22</t>
    <phoneticPr fontId="35" type="noConversion"/>
  </si>
  <si>
    <t>401-13-12/
26SA04
2026-4-22</t>
    <phoneticPr fontId="35" type="noConversion"/>
  </si>
  <si>
    <t>401-18-12/
26SA04
2026-4-22</t>
    <phoneticPr fontId="35" type="noConversion"/>
  </si>
  <si>
    <t>401-12-12/
26SA04
2026-4-23</t>
    <phoneticPr fontId="35" type="noConversion"/>
  </si>
  <si>
    <t>401-5-6/
46SB76
2026-4-28</t>
    <phoneticPr fontId="35" type="noConversion"/>
  </si>
  <si>
    <t>401-16-12/
26SA04
2026-4-28</t>
    <phoneticPr fontId="35" type="noConversion"/>
  </si>
  <si>
    <t>401-3-14 /26SA74
2026-5-12</t>
    <phoneticPr fontId="35" type="noConversion"/>
  </si>
  <si>
    <t>401-5-14
/26SA74
2026-5-12</t>
    <phoneticPr fontId="35" type="noConversion"/>
  </si>
  <si>
    <t>401-1-14/
26SA74
2026-5-18</t>
    <phoneticPr fontId="35" type="noConversion"/>
  </si>
  <si>
    <t>401-4-14/
26SA74
2026-5-18</t>
    <phoneticPr fontId="35" type="noConversion"/>
  </si>
  <si>
    <t>401-2-1/
46SB73
2026-5-18</t>
    <phoneticPr fontId="35" type="noConversion"/>
  </si>
  <si>
    <t>401-18-14/
26SA74
2026-5-20</t>
    <phoneticPr fontId="35" type="noConversion"/>
  </si>
  <si>
    <t>401-15-1/
46SB73
2026-5-20</t>
    <phoneticPr fontId="35" type="noConversion"/>
  </si>
  <si>
    <t>401-10-14
26SA74
2026-5-21</t>
    <phoneticPr fontId="35" type="noConversion"/>
  </si>
  <si>
    <t>401-2-6/
46SB76
2026-5-26</t>
    <phoneticPr fontId="35" type="noConversion"/>
  </si>
  <si>
    <t>401-9-4/
46SB02
2026-5-26</t>
    <phoneticPr fontId="35" type="noConversion"/>
  </si>
  <si>
    <t>401-18-4/
46SB02
2026-5-26</t>
    <phoneticPr fontId="35" type="noConversion"/>
  </si>
  <si>
    <t>401-12-1/
46SB73
2026-5-26</t>
    <phoneticPr fontId="35" type="noConversion"/>
  </si>
  <si>
    <t>401-17-4/
46SB02
2026-5-26</t>
    <phoneticPr fontId="35" type="noConversion"/>
  </si>
  <si>
    <t>401-7-4/
46SB02
2026-5-26</t>
    <phoneticPr fontId="35" type="noConversion"/>
  </si>
  <si>
    <t>401-17-1/
46SB73
2026-5-26</t>
    <phoneticPr fontId="35" type="noConversion"/>
  </si>
  <si>
    <t>401-8-14/
26SA74
2026-5-26</t>
    <phoneticPr fontId="35" type="noConversion"/>
  </si>
  <si>
    <t>401-15-13/
26SA03
2026-5-26</t>
    <phoneticPr fontId="35" type="noConversion"/>
  </si>
  <si>
    <t>401-6-14/
26SA74
2026-5-26</t>
    <phoneticPr fontId="35" type="noConversion"/>
  </si>
  <si>
    <t>401-13-14/
26SA74
2026-5-26</t>
    <phoneticPr fontId="35" type="noConversion"/>
  </si>
  <si>
    <t>401-7-14/
26SA74
2026-5-26</t>
    <phoneticPr fontId="35" type="noConversion"/>
  </si>
  <si>
    <t>401-11-3/
46SB01
2026-5-27</t>
    <phoneticPr fontId="35" type="noConversion"/>
  </si>
  <si>
    <t>401-6-4/
46SB02
2026-5-27</t>
    <phoneticPr fontId="35" type="noConversion"/>
  </si>
  <si>
    <t>401-9-14/
26SA74
2026-5-28</t>
    <phoneticPr fontId="35" type="noConversion"/>
  </si>
  <si>
    <t>401-16-14/
26SA74
2026-5-28</t>
    <phoneticPr fontId="35" type="noConversion"/>
  </si>
  <si>
    <t>401-12-13/
26SA03
2026-6-1</t>
    <phoneticPr fontId="35" type="noConversion"/>
  </si>
  <si>
    <t>401-2-7/
26SA01
2026-6-1</t>
    <phoneticPr fontId="35" type="noConversion"/>
  </si>
  <si>
    <t>401-13-1/
46SB73
2026-6-1</t>
    <phoneticPr fontId="35" type="noConversion"/>
  </si>
  <si>
    <t>401-10-4/
46SB02
2026-6-1</t>
    <phoneticPr fontId="35" type="noConversion"/>
  </si>
  <si>
    <t>401-12-3
46SB01
2026-6-1</t>
    <phoneticPr fontId="35" type="noConversion"/>
  </si>
  <si>
    <t>401-15-4
46SB02
2026-6-1</t>
    <phoneticPr fontId="35" type="noConversion"/>
  </si>
  <si>
    <t>401-13-3/
46SB01
2026-6-1</t>
    <phoneticPr fontId="35" type="noConversion"/>
  </si>
  <si>
    <t>401-14-13/
26SA03
2026-6-1</t>
    <phoneticPr fontId="35" type="noConversion"/>
  </si>
  <si>
    <t>401-5-4/
46SB02
2026-6-1</t>
    <phoneticPr fontId="35" type="noConversion"/>
  </si>
  <si>
    <t>401-11-12/
26SA04
2026-4-20</t>
    <phoneticPr fontId="35" type="noConversion"/>
  </si>
  <si>
    <t>401-15-12/
26SB04
2026-6-1</t>
    <phoneticPr fontId="35" type="noConversion"/>
  </si>
  <si>
    <t>401-8-7/
26SA01
2026.-6-4</t>
    <phoneticPr fontId="35" type="noConversion"/>
  </si>
  <si>
    <t>401-1-7/
26SA01
2026-6-4</t>
    <phoneticPr fontId="35" type="noConversion"/>
  </si>
  <si>
    <t>401-2-3/
46SB01
2026-6-4</t>
    <phoneticPr fontId="35" type="noConversion"/>
  </si>
  <si>
    <t>401-18-1/
46SB73
2026-6-4</t>
    <phoneticPr fontId="35" type="noConversion"/>
  </si>
  <si>
    <t>401-4-4/
46SB02
2026-6-4</t>
    <phoneticPr fontId="35" type="noConversion"/>
  </si>
  <si>
    <t>401-8-4/
46SB02
2026-6-4</t>
    <phoneticPr fontId="35" type="noConversion"/>
  </si>
  <si>
    <t>401-7-7/
26SA01
2026-6-4</t>
    <phoneticPr fontId="35" type="noConversion"/>
  </si>
  <si>
    <t>401-6-7/
26SA01
2026-6-4</t>
    <phoneticPr fontId="35" type="noConversion"/>
  </si>
  <si>
    <t>401-8-1/
46SB73
2026-5-28</t>
    <phoneticPr fontId="35" type="noConversion"/>
  </si>
  <si>
    <t>401-2-4/
46SB02
2026-6-1</t>
    <phoneticPr fontId="35" type="noConversion"/>
  </si>
  <si>
    <t>401-4-7/
26SA01
2026-6-7</t>
    <phoneticPr fontId="35" type="noConversion"/>
  </si>
  <si>
    <t>401-2-11/
26SA41
2026-6-7</t>
    <phoneticPr fontId="35" type="noConversion"/>
  </si>
  <si>
    <t>401-5-7/
26SA01
2026-6-7</t>
    <phoneticPr fontId="35" type="noConversion"/>
  </si>
  <si>
    <t>401-9-3/
46SB01
2026-6-7</t>
    <phoneticPr fontId="35" type="noConversion"/>
  </si>
  <si>
    <t>401-7-3/
46SB01
2026-6-9</t>
    <phoneticPr fontId="35" type="noConversion"/>
  </si>
  <si>
    <t>401-11-5
46SB05
2026-6-9</t>
    <phoneticPr fontId="35" type="noConversion"/>
  </si>
  <si>
    <t>401-12-7/
26SA01
2026-6-9</t>
    <phoneticPr fontId="35" type="noConversion"/>
  </si>
  <si>
    <t>401-9-7/
26SA01
2026-6-9</t>
    <phoneticPr fontId="35" type="noConversion"/>
  </si>
  <si>
    <t>401-18-2/
46SB42
2026-6-9</t>
    <phoneticPr fontId="35" type="noConversion"/>
  </si>
  <si>
    <t>401-3-7/
26SA01
2026-6-10</t>
    <phoneticPr fontId="35" type="noConversion"/>
  </si>
  <si>
    <t>401-10-7/
26SA01
2026-6-10</t>
    <phoneticPr fontId="35" type="noConversion"/>
  </si>
  <si>
    <t>401-13-7/
26SA01
2026-6-10</t>
    <phoneticPr fontId="35" type="noConversion"/>
  </si>
  <si>
    <t>401-11-7/
26SA01
2026-6-14</t>
    <phoneticPr fontId="35" type="noConversion"/>
  </si>
  <si>
    <t>401-14-7/
26SA01
2026-6-14</t>
    <phoneticPr fontId="35" type="noConversion"/>
  </si>
  <si>
    <t>401-15-7/
26SA01
2026-6-14</t>
    <phoneticPr fontId="35" type="noConversion"/>
  </si>
  <si>
    <t>401-16-7/
26SA01
2026-6-14</t>
    <phoneticPr fontId="35" type="noConversion"/>
  </si>
  <si>
    <t>401-5-9/
26SA01
2026-6-14</t>
    <phoneticPr fontId="35" type="noConversion"/>
  </si>
  <si>
    <t>401-4-2/
46SB42
2026-6-14</t>
    <phoneticPr fontId="35" type="noConversion"/>
  </si>
  <si>
    <t>401-10-5/
46SB05
2026-6-14</t>
    <phoneticPr fontId="35" type="noConversion"/>
  </si>
  <si>
    <t>401-2-5/
46SB05
2026-6-14</t>
    <phoneticPr fontId="35" type="noConversion"/>
  </si>
  <si>
    <t>401-16-5/
46SB05
2026-6-14</t>
    <phoneticPr fontId="35" type="noConversion"/>
  </si>
  <si>
    <t>401-16-3/
46SB01
2026-6-14</t>
    <phoneticPr fontId="35" type="noConversion"/>
  </si>
  <si>
    <t>401-6-3/
46SB01
2026-6-14</t>
    <phoneticPr fontId="35" type="noConversion"/>
  </si>
  <si>
    <t>401-14-6/
46SB76
2026-6-15</t>
    <phoneticPr fontId="35" type="noConversion"/>
  </si>
  <si>
    <t>401-17-5/
46SB05
2026-6-15</t>
    <phoneticPr fontId="35" type="noConversion"/>
  </si>
  <si>
    <t>401-3-9/
26SA01
2026-6-15</t>
    <phoneticPr fontId="35" type="noConversion"/>
  </si>
  <si>
    <t>401-6-9/
26SA01
2026-6-15</t>
    <phoneticPr fontId="35" type="noConversion"/>
  </si>
  <si>
    <t>401-10-9/
26SA01
2026-6-16</t>
    <phoneticPr fontId="35" type="noConversion"/>
  </si>
  <si>
    <t>401-4-9/
26SA01
2026-6-16</t>
    <phoneticPr fontId="35" type="noConversion"/>
  </si>
  <si>
    <t>401-17-7/
26SA01
2026-6-16</t>
    <phoneticPr fontId="35" type="noConversion"/>
  </si>
  <si>
    <t>401-3-2/
46sb42
2026-6-17</t>
    <phoneticPr fontId="35" type="noConversion"/>
  </si>
  <si>
    <t>401-14-5/
46sb05
2026-6-17</t>
    <phoneticPr fontId="35" type="noConversion"/>
  </si>
  <si>
    <t>401-17-6/
46sb76
2026-6-17</t>
    <phoneticPr fontId="35" type="noConversion"/>
  </si>
  <si>
    <t>401-13-5/
46sb05
2026-6-17</t>
    <phoneticPr fontId="35" type="noConversion"/>
  </si>
  <si>
    <t>401-7-9/
26SA01
2026-6-18</t>
    <phoneticPr fontId="35" type="noConversion"/>
  </si>
  <si>
    <t>401-9-9/
26SA01
2026-6-18</t>
    <phoneticPr fontId="35" type="noConversion"/>
  </si>
  <si>
    <t>401-2-9/
26SA01
2026-6-18</t>
    <phoneticPr fontId="35" type="noConversion"/>
  </si>
  <si>
    <t>401-18-7/
26SA01
2026-6-18</t>
    <phoneticPr fontId="35" type="noConversion"/>
  </si>
  <si>
    <t>401-11-9/
26SA01
2026-6-18</t>
    <phoneticPr fontId="35" type="noConversion"/>
  </si>
  <si>
    <t>401-8-9/
26SA01
2026-6-18</t>
    <phoneticPr fontId="35" type="noConversion"/>
  </si>
  <si>
    <t>401-14-9/
26SA01
2026-6-18</t>
    <phoneticPr fontId="35" type="noConversion"/>
  </si>
  <si>
    <t>401-12-9/
26SA01
2026-6-18</t>
    <phoneticPr fontId="35" type="noConversion"/>
  </si>
  <si>
    <t>401-12-5/
46SB05
2026-6-18</t>
    <phoneticPr fontId="35" type="noConversion"/>
  </si>
  <si>
    <t>401-6-5/
46SB05
2026-6-18</t>
    <phoneticPr fontId="35" type="noConversion"/>
  </si>
  <si>
    <t>401-18-6/
46SB76
2026-6-18</t>
    <phoneticPr fontId="35" type="noConversion"/>
  </si>
  <si>
    <t>401-15-5/
46SB05
2026-6-18</t>
    <phoneticPr fontId="35" type="noConversion"/>
  </si>
  <si>
    <t>401-1-9/
26SA01
2026-6-22</t>
    <phoneticPr fontId="35" type="noConversion"/>
  </si>
  <si>
    <t>401-13-9/
26SA01
2026-6-22</t>
    <phoneticPr fontId="35" type="noConversion"/>
  </si>
  <si>
    <t>401-7-5/
46SB05
2026-6-22</t>
    <phoneticPr fontId="35" type="noConversion"/>
  </si>
  <si>
    <t>401-4-5/
46SB05
2026-6-22</t>
    <phoneticPr fontId="35" type="noConversion"/>
  </si>
  <si>
    <t>401-1-5/
46SB05
2026-6-22</t>
    <phoneticPr fontId="35" type="noConversion"/>
  </si>
  <si>
    <t>401-11-14/
26SA74
2026-7-1</t>
    <phoneticPr fontId="35" type="noConversion"/>
  </si>
  <si>
    <t>401-17-9/
26SA01
2026-7-1</t>
    <phoneticPr fontId="35" type="noConversion"/>
  </si>
  <si>
    <t>401-15-9/
26SA01
2026-7-1</t>
    <phoneticPr fontId="35" type="noConversion"/>
  </si>
  <si>
    <t>401-2-14/
26SA74
2026-7-1</t>
    <phoneticPr fontId="35" type="noConversion"/>
  </si>
  <si>
    <t>401-16-9/
26SA01
2026-7-1</t>
    <phoneticPr fontId="35" type="noConversion"/>
  </si>
  <si>
    <t>401-11-4/
46SB02
2026-7-1</t>
    <phoneticPr fontId="35" type="noConversion"/>
  </si>
  <si>
    <t>401-16-4/
46SB02
2026-7-1</t>
    <phoneticPr fontId="35" type="noConversion"/>
  </si>
  <si>
    <t>401-18-9/
26SA01
2026-7-1</t>
    <phoneticPr fontId="35" type="noConversion"/>
  </si>
  <si>
    <t>401-4-8/
26SA02
2026-7-1</t>
    <phoneticPr fontId="35" type="noConversion"/>
  </si>
  <si>
    <t>401-13-4/
46SB02
2026-7-1</t>
    <phoneticPr fontId="35" type="noConversion"/>
  </si>
  <si>
    <t>401-1-2/
46SB42
2026-7-1</t>
    <phoneticPr fontId="35" type="noConversion"/>
  </si>
  <si>
    <t>401-12-4/
46SB02
2026-7-1</t>
    <phoneticPr fontId="35" type="noConversion"/>
  </si>
  <si>
    <t>401-5-8/
26SA02
2026-7-1</t>
    <phoneticPr fontId="35" type="noConversion"/>
  </si>
  <si>
    <t>401-3-8/
26SA02
2026-7-1</t>
    <phoneticPr fontId="35" type="noConversion"/>
  </si>
  <si>
    <t>401-6-8/
26SA02
2026-7-1</t>
    <phoneticPr fontId="35" type="noConversion"/>
  </si>
  <si>
    <t>401-7-8/
26SA02
2026-7-1</t>
    <phoneticPr fontId="35" type="noConversion"/>
  </si>
  <si>
    <t>401-17-14/
26SA74
2026-7-1</t>
    <phoneticPr fontId="35" type="noConversion"/>
  </si>
  <si>
    <t>401-12-8/
26SA02
2026-7-1</t>
    <phoneticPr fontId="35" type="noConversion"/>
  </si>
  <si>
    <t>401-11-8/
26SA02
2026-7-1</t>
    <phoneticPr fontId="35" type="noConversion"/>
  </si>
  <si>
    <t>401-10-8/
26SA02
2026-7-1</t>
    <phoneticPr fontId="35" type="noConversion"/>
  </si>
  <si>
    <t>401-8-5/
46SB05
2026-7-1</t>
    <phoneticPr fontId="35" type="noConversion"/>
  </si>
  <si>
    <t>401-1-6/
46SB76
2026-7-1</t>
    <phoneticPr fontId="35" type="noConversion"/>
  </si>
  <si>
    <t>401-18-5/
46SB05
2026-7-1</t>
    <phoneticPr fontId="35" type="noConversion"/>
  </si>
  <si>
    <t>401-3-4/
46SB02
2026-7-1</t>
    <phoneticPr fontId="35" type="noConversion"/>
  </si>
  <si>
    <t>401-3-3/
46SB01
2026-7-1</t>
    <phoneticPr fontId="35" type="noConversion"/>
  </si>
  <si>
    <t>401-5-5/
46SB05
2026-7-1</t>
    <phoneticPr fontId="35" type="noConversion"/>
  </si>
  <si>
    <t>401-10-3/
46SB01
2026-7-1</t>
    <phoneticPr fontId="35" type="noConversion"/>
  </si>
  <si>
    <t>401-8-8/
26SA02
2026-7-1</t>
    <phoneticPr fontId="35" type="noConversion"/>
  </si>
  <si>
    <t>401-9-8/
26SA02
2026-7-1</t>
    <phoneticPr fontId="35" type="noConversion"/>
  </si>
  <si>
    <t>401-1-11/
26SA41
2026-7-1</t>
    <phoneticPr fontId="35" type="noConversion"/>
  </si>
  <si>
    <t>401-15-8/
26SA02
2026-7-1</t>
    <phoneticPr fontId="35" type="noConversion"/>
  </si>
  <si>
    <t>401-16-8/
26SA02
2026-7-1</t>
    <phoneticPr fontId="35" type="noConversion"/>
  </si>
  <si>
    <t>401-14-12/
26SA04
2026-4-22
공장내부로 이동</t>
    <phoneticPr fontId="35" type="noConversion"/>
  </si>
  <si>
    <t>401-10-12/
26SA04
2026-4-6
공장내부로이동</t>
    <phoneticPr fontId="35" type="noConversion"/>
  </si>
  <si>
    <t>401-16-13/
26SA03
2026-5-28
공장내부로이동</t>
    <phoneticPr fontId="35" type="noConversion"/>
  </si>
  <si>
    <t>401-3-13/
26SA03
2026-5-18
공장내부로 이동</t>
    <phoneticPr fontId="35" type="noConversion"/>
  </si>
  <si>
    <t>401-17-13/
26SA03
2026-5-26</t>
    <phoneticPr fontId="35" type="noConversion"/>
  </si>
  <si>
    <t>401-9-12/
26SA04
2026-4-8</t>
    <phoneticPr fontId="35" type="noConversion"/>
  </si>
  <si>
    <t>401-15-3/
46SB01
2026-7-5</t>
  </si>
  <si>
    <t>401-17-3/
46SB01
2026-7-5</t>
  </si>
  <si>
    <t>401-14-3/
46SB01
2026-7-5</t>
  </si>
  <si>
    <t>401-13-8/
26SA02
2026-7-5</t>
  </si>
  <si>
    <t>401-14-8/
26SA02
2026-7-5</t>
  </si>
  <si>
    <t>401-15-14/
26SA74
2026-7-5</t>
  </si>
  <si>
    <t>401-14-14/
26SA74
2026-7-5</t>
  </si>
  <si>
    <t>401-6-11/
26SA41
2026-7-5</t>
  </si>
  <si>
    <t>401-8-11/
26SA41
2026-7-5</t>
  </si>
  <si>
    <t>401-13-2/
46SB42
2026-7-3</t>
    <phoneticPr fontId="35" type="noConversion"/>
  </si>
  <si>
    <t>401-8-3/
46SB01
2026-7-6</t>
    <phoneticPr fontId="35" type="noConversion"/>
  </si>
  <si>
    <t>401-4-10/
26SA02
2026-7-6</t>
    <phoneticPr fontId="35" type="noConversion"/>
  </si>
  <si>
    <t>401-15-2/
46SB42
2026-7-5</t>
    <phoneticPr fontId="35" type="noConversion"/>
  </si>
  <si>
    <t>401-9-11/
26SA41
2026-7-7</t>
    <phoneticPr fontId="35" type="noConversion"/>
  </si>
  <si>
    <t>401-3-10/
26SA02
2026-7-7</t>
    <phoneticPr fontId="35" type="noConversion"/>
  </si>
  <si>
    <t>401-7-2/
46SB42
2026-7-7</t>
    <phoneticPr fontId="35" type="noConversion"/>
  </si>
  <si>
    <t>401-5-10/
26SA02
2026-7-7</t>
    <phoneticPr fontId="35" type="noConversion"/>
  </si>
  <si>
    <t>401-11-6/
46SB42
2026-7-7</t>
    <phoneticPr fontId="35" type="noConversion"/>
  </si>
  <si>
    <t>401-4-11
26SA01
2026-7-13</t>
    <phoneticPr fontId="35" type="noConversion"/>
  </si>
  <si>
    <t>401-6-10
26SA02
2026-7-13</t>
    <phoneticPr fontId="35" type="noConversion"/>
  </si>
  <si>
    <t>401-16-6/
46SB76
2026-7-13</t>
    <phoneticPr fontId="35" type="noConversion"/>
  </si>
  <si>
    <t>401-15-6/
46SB76
2026-7-13</t>
    <phoneticPr fontId="35" type="noConversion"/>
  </si>
  <si>
    <t>401-12-6/
46SB76
2026-7-13</t>
    <phoneticPr fontId="35" type="noConversion"/>
  </si>
  <si>
    <t>401-3-5/
46SB05
2026-7-13</t>
    <phoneticPr fontId="35" type="noConversion"/>
  </si>
  <si>
    <t>401-9-5/
46SB05
2026-7-13</t>
    <phoneticPr fontId="35" type="noConversion"/>
  </si>
  <si>
    <t>401-3-11/
26SA41
2026-7-13</t>
    <phoneticPr fontId="35" type="noConversion"/>
  </si>
  <si>
    <t>401-7-10/
26SA02
2026-7-13</t>
    <phoneticPr fontId="35" type="noConversion"/>
  </si>
  <si>
    <t>401-15-11/
26SA41
2026-7-13</t>
    <phoneticPr fontId="35" type="noConversion"/>
  </si>
  <si>
    <t>401-8-10/
26SA02
2026-7-13</t>
    <phoneticPr fontId="35" type="noConversion"/>
  </si>
  <si>
    <t>401-9-10/
26SA02
2026-7-13</t>
    <phoneticPr fontId="35" type="noConversion"/>
  </si>
  <si>
    <t>401-10-10/
26SA02
2026-7-13</t>
    <phoneticPr fontId="35" type="noConversion"/>
  </si>
  <si>
    <t>401-8-2/
46SB42
2026-7-15</t>
    <phoneticPr fontId="35" type="noConversion"/>
  </si>
  <si>
    <t>401-4-3/
46SB01
2026-7-15</t>
    <phoneticPr fontId="35" type="noConversion"/>
  </si>
  <si>
    <t>마감완료</t>
    <phoneticPr fontId="35" type="noConversion"/>
  </si>
  <si>
    <t>검측완료</t>
    <phoneticPr fontId="35" type="noConversion"/>
  </si>
  <si>
    <t>검측완료전</t>
    <phoneticPr fontId="35" type="noConversion"/>
  </si>
  <si>
    <t>진행상태</t>
    <phoneticPr fontId="35" type="noConversion"/>
  </si>
  <si>
    <t>401-7-11/
26SA41
2026-7-15</t>
    <phoneticPr fontId="35" type="noConversion"/>
  </si>
  <si>
    <t>401-5-11/
26SA41
2026-7-15</t>
    <phoneticPr fontId="35" type="noConversion"/>
  </si>
  <si>
    <t>401-12-10/
26SA02
2026-7-15</t>
    <phoneticPr fontId="35" type="noConversion"/>
  </si>
  <si>
    <t>401-15-10/
26SA02
2026-7-15</t>
    <phoneticPr fontId="35" type="noConversion"/>
  </si>
  <si>
    <t>401-17-10/
26SA02
2026-7-15</t>
    <phoneticPr fontId="35" type="noConversion"/>
  </si>
  <si>
    <t>401-16-11/
26SA41
2026-7-15</t>
    <phoneticPr fontId="35" type="noConversion"/>
  </si>
  <si>
    <t>401-16-10/
26SA02
2026-7-15</t>
    <phoneticPr fontId="35" type="noConversion"/>
  </si>
  <si>
    <t>401-5-2/
46SB42
2026-7-15</t>
    <phoneticPr fontId="35" type="noConversion"/>
  </si>
  <si>
    <t>401-2-2/
46SB42
2026-7-15</t>
    <phoneticPr fontId="35" type="noConversion"/>
  </si>
  <si>
    <t>401-18-10/
26SA02
2026-7-15</t>
    <phoneticPr fontId="35" type="noConversion"/>
  </si>
  <si>
    <t>401-14-10/
26SA02
2026-7-15</t>
    <phoneticPr fontId="35" type="noConversion"/>
  </si>
  <si>
    <t>401-10-6/
46SB76
2026-6-17</t>
    <phoneticPr fontId="35" type="noConversion"/>
  </si>
  <si>
    <t>401-10-2/
46SB42
2026-7-15</t>
    <phoneticPr fontId="35" type="noConversion"/>
  </si>
  <si>
    <t>401-13-10/
26SA02
2026-7-15</t>
    <phoneticPr fontId="35" type="noConversion"/>
  </si>
  <si>
    <t>401-12-2/
46SB42
2026-6-7</t>
    <phoneticPr fontId="35" type="noConversion"/>
  </si>
  <si>
    <t>401-16-2/
46SB42
2026-6-22</t>
    <phoneticPr fontId="35" type="noConversion"/>
  </si>
  <si>
    <t>401-17-2/
46SB42
2026-6-14</t>
    <phoneticPr fontId="35" type="noConversion"/>
  </si>
  <si>
    <t>401-14-2/
46SB42
2026-7-19</t>
    <phoneticPr fontId="35" type="noConversion"/>
  </si>
  <si>
    <t>401-5-3/
46SB01
2026-7-19</t>
    <phoneticPr fontId="35" type="noConversion"/>
  </si>
  <si>
    <t>401-11-2/
46SB42
2026-7-19</t>
    <phoneticPr fontId="35" type="noConversion"/>
  </si>
  <si>
    <t>401-14-4/
46SB02
2026-7-19</t>
    <phoneticPr fontId="35" type="noConversion"/>
  </si>
  <si>
    <t>401-17-11/
26SA41
2026-7-19</t>
    <phoneticPr fontId="35" type="noConversion"/>
  </si>
  <si>
    <t>401-1-10/
26SA02
2026-7-19</t>
    <phoneticPr fontId="35" type="noConversion"/>
  </si>
  <si>
    <t>401-18-11/
26SA41
2026-7-19</t>
    <phoneticPr fontId="35" type="noConversion"/>
  </si>
  <si>
    <t>401-11-10/
26SA02
2026-7-15</t>
    <phoneticPr fontId="35" type="noConversion"/>
  </si>
  <si>
    <t>403/
46SB01
2026-7-13</t>
    <phoneticPr fontId="35" type="noConversion"/>
  </si>
  <si>
    <t>401-2-10/
26SA02
2026-7-21</t>
    <phoneticPr fontId="35" type="noConversion"/>
  </si>
  <si>
    <t>401-13-11/
26SA41
2026-7-21</t>
    <phoneticPr fontId="35" type="noConversion"/>
  </si>
  <si>
    <t>401-18-8/
26SA02
2026-7-21</t>
    <phoneticPr fontId="35" type="noConversion"/>
  </si>
  <si>
    <t>401-17-8/
26SA02
2026-7-21</t>
    <phoneticPr fontId="35" type="noConversion"/>
  </si>
  <si>
    <t>401-6-2/
46SB42
2026-7-21</t>
    <phoneticPr fontId="35" type="noConversion"/>
  </si>
  <si>
    <t>401-12-14/
26SA74
2026-5-28
(2층)</t>
    <phoneticPr fontId="35" type="noConversion"/>
  </si>
  <si>
    <t>401-11-11/
26SA41
2026-7-21</t>
    <phoneticPr fontId="35" type="noConversion"/>
  </si>
  <si>
    <t>403-6-3/
26HB03
2026-7-21</t>
    <phoneticPr fontId="35" type="noConversion"/>
  </si>
  <si>
    <t>403-13-14/
46SA74
2026-7-21</t>
    <phoneticPr fontId="35" type="noConversion"/>
  </si>
  <si>
    <t xml:space="preserve"> 대자 운행통로   ▼우측(도로바라봤을때)  ::  ▲좌측(도로바라봤을때)                                          대자 운행통로   ▼우측(도로바라봤을때)  ::  ▲좌측(도로바라봤을때)</t>
    <phoneticPr fontId="35" type="noConversion"/>
  </si>
  <si>
    <t>401-1-4/
46SB02
2026-7-22</t>
    <phoneticPr fontId="35" type="noConversion"/>
  </si>
  <si>
    <t>403-16-14/
46SA74
2026-7-22</t>
    <phoneticPr fontId="35" type="noConversion"/>
  </si>
  <si>
    <t>401-9-2/
46SB42
2026-7-22</t>
    <phoneticPr fontId="35" type="noConversion"/>
  </si>
  <si>
    <t>403-5-3/
26HB03
2026-7-22</t>
    <phoneticPr fontId="35" type="noConversion"/>
  </si>
  <si>
    <t>403-2-3/
26HB03
2026-7-22</t>
    <phoneticPr fontId="35" type="noConversion"/>
  </si>
  <si>
    <t>403-15-14/
46SA74
2026-7-23</t>
    <phoneticPr fontId="35" type="noConversion"/>
  </si>
  <si>
    <t>401-18-3/
46SB01
2026-7-13</t>
    <phoneticPr fontId="35" type="noConversion"/>
  </si>
  <si>
    <t>401-1-8/
26SA02
2026-7-1</t>
    <phoneticPr fontId="35" type="noConversion"/>
  </si>
  <si>
    <t>401-2-8/
26SA02
2026-07-01</t>
    <phoneticPr fontId="35" type="noConversion"/>
  </si>
  <si>
    <t>401-10-11/
46SA41
2026-7-5</t>
    <phoneticPr fontId="35" type="noConversion"/>
  </si>
  <si>
    <r>
      <t xml:space="preserve">401-14-11/
</t>
    </r>
    <r>
      <rPr>
        <b/>
        <sz val="48"/>
        <color rgb="FFFF0000"/>
        <rFont val="맑은 고딕"/>
        <family val="3"/>
        <charset val="129"/>
      </rPr>
      <t>26SA02</t>
    </r>
    <r>
      <rPr>
        <b/>
        <sz val="48"/>
        <color rgb="FF000000"/>
        <rFont val="맑은 고딕"/>
        <family val="3"/>
        <charset val="129"/>
      </rPr>
      <t xml:space="preserve">
2026-7-15</t>
    </r>
    <phoneticPr fontId="35" type="noConversion"/>
  </si>
  <si>
    <t>1차 추가</t>
    <phoneticPr fontId="35" type="noConversion"/>
  </si>
  <si>
    <t>2차 추가</t>
    <phoneticPr fontId="35" type="noConversion"/>
  </si>
  <si>
    <t>403-3-3/
26HB03
2026-7-26</t>
    <phoneticPr fontId="35" type="noConversion"/>
  </si>
  <si>
    <t>403-9-3/
26HB03
2026-7-26</t>
    <phoneticPr fontId="35" type="noConversion"/>
  </si>
  <si>
    <t>403-3-7/
26HB01
2026-7-26</t>
    <phoneticPr fontId="35" type="noConversion"/>
  </si>
  <si>
    <t>403-4-7/
26HB01
2026-7-26</t>
    <phoneticPr fontId="35" type="noConversion"/>
  </si>
  <si>
    <t>403-8-3/
26HB03
2026-7-26</t>
    <phoneticPr fontId="35" type="noConversion"/>
  </si>
  <si>
    <t>403-4-3/
26HB03
2026-7-26</t>
    <phoneticPr fontId="35" type="noConversion"/>
  </si>
  <si>
    <t>401-13-13/
26SA03
2026-7-21</t>
    <phoneticPr fontId="35" type="noConversion"/>
  </si>
  <si>
    <t>401-8-13/
26SA03
2026-6-4</t>
    <phoneticPr fontId="35" type="noConversion"/>
  </si>
  <si>
    <t>3차 추가</t>
    <phoneticPr fontId="35" type="noConversion"/>
  </si>
  <si>
    <t>3차 추가</t>
    <phoneticPr fontId="35" type="noConversion"/>
  </si>
  <si>
    <t>403-11-14
46SA74
2026-7-26</t>
    <phoneticPr fontId="35" type="noConversion"/>
  </si>
  <si>
    <t>401-14-1/
46SB73
2026-8-1</t>
    <phoneticPr fontId="35" type="noConversion"/>
  </si>
  <si>
    <t>403-10-7/
26SB01
2026-8-1</t>
    <phoneticPr fontId="35" type="noConversion"/>
  </si>
  <si>
    <t>403-5-14/
46SA74
2026-8-1</t>
    <phoneticPr fontId="35" type="noConversion"/>
  </si>
  <si>
    <t>403-1-9/
46SA75
2026-8-1</t>
    <phoneticPr fontId="35" type="noConversion"/>
  </si>
  <si>
    <t>403-5-6/
26SH02
2026-8-1</t>
    <phoneticPr fontId="35" type="noConversion"/>
  </si>
  <si>
    <t>403-11-5/
26HB01
2026-8-1</t>
    <phoneticPr fontId="35" type="noConversion"/>
  </si>
  <si>
    <t>406-2-1/
26SB73
2026-8-1</t>
    <phoneticPr fontId="35" type="noConversion"/>
  </si>
  <si>
    <t>403-9-1/
26SB73
2026-8-1</t>
    <phoneticPr fontId="35" type="noConversion"/>
  </si>
  <si>
    <t>4차 추가</t>
    <phoneticPr fontId="35" type="noConversion"/>
  </si>
  <si>
    <t>403-5-10/
46SA52
2026-8-3</t>
    <phoneticPr fontId="35" type="noConversion"/>
  </si>
  <si>
    <t>401-6-13/
26SA03
2026-4-27</t>
    <phoneticPr fontId="35" type="noConversion"/>
  </si>
  <si>
    <t>401-7-12/
26SA04
2026-4-27</t>
    <phoneticPr fontId="35" type="noConversion"/>
  </si>
  <si>
    <t>401-7-13/
26SA03
2026-4-27</t>
    <phoneticPr fontId="35" type="noConversion"/>
  </si>
  <si>
    <t>401-1-3/
46SB01
2026-8-1</t>
    <phoneticPr fontId="35" type="noConversion"/>
  </si>
  <si>
    <t>자재정리 및 폐기장소</t>
  </si>
  <si>
    <t>골재 야적장</t>
  </si>
  <si>
    <t>금천시스템
모듈</t>
    <phoneticPr fontId="35" type="noConversion"/>
  </si>
  <si>
    <t>A/L 몰딩지그대</t>
  </si>
  <si>
    <t>창고</t>
  </si>
  <si>
    <t>D동</t>
  </si>
  <si>
    <t xml:space="preserve"> C-2
동
공
장</t>
  </si>
  <si>
    <t>B-2
동
공
장</t>
  </si>
  <si>
    <t>A-2
동
공
장</t>
  </si>
  <si>
    <t>골재 배합기 슬로프</t>
  </si>
  <si>
    <t>BS2 골재 배합기</t>
  </si>
  <si>
    <t>레이저 절단기</t>
  </si>
  <si>
    <t>BS2 컨베어및
메인 컨트롤러</t>
  </si>
  <si>
    <t>유류
창고</t>
  </si>
  <si>
    <t>전기</t>
  </si>
  <si>
    <t>한양전기 
창고</t>
  </si>
  <si>
    <t>한양전기
사무실</t>
  </si>
  <si>
    <t>13동</t>
  </si>
  <si>
    <t>비품장고</t>
  </si>
  <si>
    <t>식당</t>
  </si>
  <si>
    <t>비품창고
(남자샤워실)</t>
  </si>
  <si>
    <t>비품창고
(여자샤워실)</t>
  </si>
  <si>
    <t>기밀</t>
  </si>
  <si>
    <t>중 앙 통 로</t>
  </si>
  <si>
    <t>C-1
동
공
장</t>
  </si>
  <si>
    <t>B-1
동
공
장</t>
  </si>
  <si>
    <t>A-1
동
공
장</t>
  </si>
  <si>
    <t>디자인
브로</t>
  </si>
  <si>
    <t>태광
판넬</t>
  </si>
  <si>
    <t>쉘터
(BS2)</t>
  </si>
  <si>
    <t>N
R
B
설
계
실</t>
  </si>
  <si>
    <t>N
R
B
사
무
동</t>
  </si>
  <si>
    <t>쉘터
(철골)</t>
  </si>
  <si>
    <t xml:space="preserve">교실 
지그대
</t>
  </si>
  <si>
    <t>철
골
자
재</t>
  </si>
  <si>
    <t>창  고</t>
  </si>
  <si>
    <t>중앙창고</t>
    <phoneticPr fontId="35" type="noConversion"/>
  </si>
  <si>
    <t>PC</t>
    <phoneticPr fontId="35" type="noConversion"/>
  </si>
  <si>
    <t>가스탱크</t>
    <phoneticPr fontId="35" type="noConversion"/>
  </si>
  <si>
    <t>다인</t>
    <phoneticPr fontId="35" type="noConversion"/>
  </si>
  <si>
    <t>다인</t>
  </si>
  <si>
    <t>2F</t>
    <phoneticPr fontId="35" type="noConversion"/>
  </si>
  <si>
    <t xml:space="preserve"> 대차 운행통로   ▼우측(도로바라봤을때)  ::  ▲좌측(도로바라봤을때)</t>
    <phoneticPr fontId="35" type="noConversion"/>
  </si>
  <si>
    <t xml:space="preserve"> 대차 운행통로   ▼우측(도로바라봤을때)  ::  ▲좌측(도로바라봤을때)</t>
    <phoneticPr fontId="35" type="noConversion"/>
  </si>
  <si>
    <t>BH조립다이
403-1-5</t>
    <phoneticPr fontId="35" type="noConversion"/>
  </si>
  <si>
    <t>BH조립다이
403-10-8</t>
    <phoneticPr fontId="35" type="noConversion"/>
  </si>
  <si>
    <t>BH조립다이
403-10-6</t>
    <phoneticPr fontId="35" type="noConversion"/>
  </si>
  <si>
    <t>BH조립다이
403-6-6</t>
    <phoneticPr fontId="35" type="noConversion"/>
  </si>
  <si>
    <t>BH조립다이
403-7-8</t>
    <phoneticPr fontId="35" type="noConversion"/>
  </si>
  <si>
    <t>BH조립다이
403-7-11</t>
    <phoneticPr fontId="35" type="noConversion"/>
  </si>
  <si>
    <t>BH조립다이
403-7-10</t>
    <phoneticPr fontId="35" type="noConversion"/>
  </si>
  <si>
    <t>BH조립다이
403-10-9</t>
    <phoneticPr fontId="35" type="noConversion"/>
  </si>
  <si>
    <t>BH조립다이</t>
    <phoneticPr fontId="35" type="noConversion"/>
  </si>
  <si>
    <t>BH조립다이
403-8-12</t>
    <phoneticPr fontId="35" type="noConversion"/>
  </si>
  <si>
    <t>401-18-9/
26SA01
NONE
2026-7-1</t>
    <phoneticPr fontId="35" type="noConversion"/>
  </si>
  <si>
    <t>401-15-6/
46SB76
NONE
2026-7-13</t>
    <phoneticPr fontId="35" type="noConversion"/>
  </si>
  <si>
    <t>401-12-6/
46SB76
NONE
2026-7-13</t>
    <phoneticPr fontId="35" type="noConversion"/>
  </si>
  <si>
    <t>401-13-9/
26SA01
NONE
2026-6-22</t>
    <phoneticPr fontId="35" type="noConversion"/>
  </si>
  <si>
    <t>401-12-4/
46SB02
NONE
2026-7-1</t>
    <phoneticPr fontId="35" type="noConversion"/>
  </si>
  <si>
    <t>401-18-6/
46SB76
NONE
2026-6-18</t>
    <phoneticPr fontId="35" type="noConversion"/>
  </si>
  <si>
    <t>401-12-9/
26SA01
NONE
2026-6-18</t>
    <phoneticPr fontId="35" type="noConversion"/>
  </si>
  <si>
    <t>401-11-6/
46SB42
NONE
2026-7-7</t>
    <phoneticPr fontId="35" type="noConversion"/>
  </si>
  <si>
    <t>401-17-6/
46SB76
NONE
2026-6-17</t>
    <phoneticPr fontId="35" type="noConversion"/>
  </si>
  <si>
    <t>401-14-9/
26SA01
NONE
2026-6-18</t>
    <phoneticPr fontId="35" type="noConversion"/>
  </si>
  <si>
    <t>401-13-4/
46SB02
NONE
2026-7-1</t>
    <phoneticPr fontId="35" type="noConversion"/>
  </si>
  <si>
    <t>403-4-11/
46SA03
NONE
2026-8-4</t>
    <phoneticPr fontId="35" type="noConversion"/>
  </si>
  <si>
    <t>401-11-9/
26SA01
NONE
2026-6-18</t>
    <phoneticPr fontId="35" type="noConversion"/>
  </si>
  <si>
    <t>401-13-2/
46SB42
NONE
2026-7-3</t>
    <phoneticPr fontId="35" type="noConversion"/>
  </si>
  <si>
    <t>401-16-4/
46SB02
NONE
2026-7-1</t>
    <phoneticPr fontId="35" type="noConversion"/>
  </si>
  <si>
    <t>401-8-9/
26SA01
NONE
2026-6-18</t>
    <phoneticPr fontId="35" type="noConversion"/>
  </si>
  <si>
    <t>401-11-4/
46SB02
NONE
2026-7-1</t>
    <phoneticPr fontId="35" type="noConversion"/>
  </si>
  <si>
    <t>401-14-6/
46SB76
NONE
2026-6-15</t>
    <phoneticPr fontId="35" type="noConversion"/>
  </si>
  <si>
    <t>401-18-7/
26SA01
NONE
2026-6-18</t>
    <phoneticPr fontId="35" type="noConversion"/>
  </si>
  <si>
    <t>401-16-2/
46SB42
NONE
2026-6-22</t>
    <phoneticPr fontId="35" type="noConversion"/>
  </si>
  <si>
    <t>401-17-2/
46SB42
NONE
2026-6-14</t>
    <phoneticPr fontId="35" type="noConversion"/>
  </si>
  <si>
    <t>401-11-7/
26SA01
NONE
2026-6-14</t>
    <phoneticPr fontId="35" type="noConversion"/>
  </si>
  <si>
    <t>401-18-2/
46SB42
NONE
2026-6-9</t>
    <phoneticPr fontId="35" type="noConversion"/>
  </si>
  <si>
    <t>401-14-7/
26SA01
NONE
2026-6-14</t>
    <phoneticPr fontId="35" type="noConversion"/>
  </si>
  <si>
    <t>401-10-9/
26SA01
NONE
2026-6-16</t>
    <phoneticPr fontId="35" type="noConversion"/>
  </si>
  <si>
    <t>401-10-7/
26SA01
NONE
2026-6-10</t>
    <phoneticPr fontId="35" type="noConversion"/>
  </si>
  <si>
    <t>401-11-11/
26SA41
NONE
2026-7-21</t>
    <phoneticPr fontId="35" type="noConversion"/>
  </si>
  <si>
    <t>401-13-7/
26SA01
NONE
2026-6-10</t>
    <phoneticPr fontId="35" type="noConversion"/>
  </si>
  <si>
    <t>401-17-7/
26SA01
NONE
2026-6-16</t>
    <phoneticPr fontId="35" type="noConversion"/>
  </si>
  <si>
    <t>401-15-7/
26SA01
NONE
2026-6-14</t>
    <phoneticPr fontId="35" type="noConversion"/>
  </si>
  <si>
    <t>401-9-9/
26SA01
NONE
2026-6-18</t>
    <phoneticPr fontId="35" type="noConversion"/>
  </si>
  <si>
    <t>401-16-7/
26SA01
NONE
2026-6-14</t>
    <phoneticPr fontId="35" type="noConversion"/>
  </si>
  <si>
    <t>401-15-2/
46SB42
NONE
2026-7-5</t>
    <phoneticPr fontId="35" type="noConversion"/>
  </si>
  <si>
    <t>401-13-11/
26SA41
NONE
2026-7-21</t>
    <phoneticPr fontId="35" type="noConversion"/>
  </si>
  <si>
    <t>401-8-11/
26SA41
NONE
2026-7-5</t>
    <phoneticPr fontId="35" type="noConversion"/>
  </si>
  <si>
    <t>401-14-2/
46SB42
NONE
2026-7-19</t>
    <phoneticPr fontId="35" type="noConversion"/>
  </si>
  <si>
    <t>401-14-4/
46SB02
NONE
2026-7-19</t>
    <phoneticPr fontId="35" type="noConversion"/>
  </si>
  <si>
    <t>401-13-13/
26SA03
NONE
2026-7-21</t>
    <phoneticPr fontId="35" type="noConversion"/>
  </si>
  <si>
    <t>401-16-11/
26SA41
NONE
2026-7-15</t>
    <phoneticPr fontId="35" type="noConversion"/>
  </si>
  <si>
    <t>401-10-2/
46SB42
NONE
2026-7-15</t>
    <phoneticPr fontId="35" type="noConversion"/>
  </si>
  <si>
    <t>401-11-2/
46SB42
NONE
2026-7-19</t>
    <phoneticPr fontId="35" type="noConversion"/>
  </si>
  <si>
    <t>401-17-11/
26SA41
NONE
2026-7-19</t>
    <phoneticPr fontId="35" type="noConversion"/>
  </si>
  <si>
    <t>401-18-11/
26SA41
NONE
2026-7-19</t>
    <phoneticPr fontId="35" type="noConversion"/>
  </si>
  <si>
    <t>401-10-6/
46SB76
NONE
2026-6-17</t>
    <phoneticPr fontId="35" type="noConversion"/>
  </si>
  <si>
    <t>403-5-6/
26SH02
NONE
2026-8-1</t>
    <phoneticPr fontId="35" type="noConversion"/>
  </si>
  <si>
    <t>401-8-4/
46SB02
NONE
2026-6-4</t>
    <phoneticPr fontId="35" type="noConversion"/>
  </si>
  <si>
    <t>401-15-4/
46SB02
NONE
2026-6-1</t>
    <phoneticPr fontId="35" type="noConversion"/>
  </si>
  <si>
    <t>401-10-4/
46SB02
NONE
2026-6-1</t>
    <phoneticPr fontId="35" type="noConversion"/>
  </si>
  <si>
    <t>401-18-4/
46SB02
NONE
2026-5-26</t>
    <phoneticPr fontId="35" type="noConversion"/>
  </si>
  <si>
    <t>401-9-4/
46SB02
NONE
2026-5-26</t>
    <phoneticPr fontId="35" type="noConversion"/>
  </si>
  <si>
    <t>401-8-6/
46SB76
NONE
2026-4-21</t>
    <phoneticPr fontId="35" type="noConversion"/>
  </si>
  <si>
    <t>401-12-2/
46SB42
NONE
2026-6-7</t>
    <phoneticPr fontId="35" type="noConversion"/>
  </si>
  <si>
    <t>401-17-4/
46SB02
NONE
2026-5-26</t>
    <phoneticPr fontId="35" type="noConversion"/>
  </si>
  <si>
    <t>401-9-6/
46SB76
NONE
2026-4-27</t>
    <phoneticPr fontId="35" type="noConversion"/>
  </si>
  <si>
    <t>403-2-13/
46SB41
NONE
2026-8-5</t>
    <phoneticPr fontId="35" type="noConversion"/>
  </si>
  <si>
    <t>403-1-10/
46SA06
NONE
2026-8-11</t>
    <phoneticPr fontId="35" type="noConversion"/>
  </si>
  <si>
    <t>403-7-11/
46SA01
NONE
2026-8-20</t>
    <phoneticPr fontId="35" type="noConversion"/>
  </si>
  <si>
    <t>403-4-13/
46SB41
NONE
2026-8-5</t>
    <phoneticPr fontId="35" type="noConversion"/>
  </si>
  <si>
    <t>403-4-9/
46SA57
NONE
2026-8-2</t>
    <phoneticPr fontId="35" type="noConversion"/>
  </si>
  <si>
    <t>403-5-9/
46SA57
NONE
2026-8-11</t>
    <phoneticPr fontId="35" type="noConversion"/>
  </si>
  <si>
    <t>403-5-13/
46SB41
NONE
2026-8-4</t>
    <phoneticPr fontId="35" type="noConversion"/>
  </si>
  <si>
    <t>403-3-13/
46SB41
NONE
2026-8-9</t>
    <phoneticPr fontId="35" type="noConversion"/>
  </si>
  <si>
    <t>401-9-2/
46SB42
NONE
2026-7-22</t>
    <phoneticPr fontId="35" type="noConversion"/>
  </si>
  <si>
    <t>401-13-6/
46SB76
NONE
2026-4-27</t>
    <phoneticPr fontId="35" type="noConversion"/>
  </si>
  <si>
    <t>403-3-9/
46SA57
NONE
2026-8-9</t>
    <phoneticPr fontId="35" type="noConversion"/>
  </si>
  <si>
    <t>403-1-9/
46SA75
NONE
2026-8-1</t>
    <phoneticPr fontId="35" type="noConversion"/>
  </si>
  <si>
    <t>403-1-11/
46SA01
NONE
2026-8-10</t>
    <phoneticPr fontId="35" type="noConversion"/>
  </si>
  <si>
    <t>403-5-11/
46SA01
NONE
2026-8-17</t>
    <phoneticPr fontId="35" type="noConversion"/>
  </si>
  <si>
    <t>403-2-11/
46SA01
NONE
2026-8-20</t>
    <phoneticPr fontId="35" type="noConversion"/>
  </si>
  <si>
    <t>403-2-9/
46SA57
NONE
2026-8-9</t>
    <phoneticPr fontId="35" type="noConversion"/>
  </si>
  <si>
    <t>401-18-13/
26SA03
NONE
2026-4-16</t>
    <phoneticPr fontId="35" type="noConversion"/>
  </si>
  <si>
    <t>403-3-11/
46SA01
NONE
2026-8-9</t>
    <phoneticPr fontId="35" type="noConversion"/>
  </si>
  <si>
    <t>403-1-4/
26SB68
NONE
2026-8-17</t>
    <phoneticPr fontId="35" type="noConversion"/>
  </si>
  <si>
    <t>403-3-8/
26HB04
NONE
2026-8-12</t>
    <phoneticPr fontId="35" type="noConversion"/>
  </si>
  <si>
    <t>403-2-8/
26HB04
NONE
2026-8-10</t>
    <phoneticPr fontId="35" type="noConversion"/>
  </si>
  <si>
    <t>401-17-12/
26SB04
NONE
2026-8-10</t>
    <phoneticPr fontId="35" type="noConversion"/>
  </si>
  <si>
    <t>403-1-6/
26SB62
NONE
2026-8-17</t>
    <phoneticPr fontId="35" type="noConversion"/>
  </si>
  <si>
    <t>401-9-7/
26SA01
NONE
2026-6-9</t>
    <phoneticPr fontId="35" type="noConversion"/>
  </si>
  <si>
    <t>403-5-8/
26HB04
NONE
2026-8-17</t>
    <phoneticPr fontId="35" type="noConversion"/>
  </si>
  <si>
    <t>403-5-2/
26SB54
NONE
2026-8-5</t>
    <phoneticPr fontId="35" type="noConversion"/>
  </si>
  <si>
    <t>403-4-2/
26SB54
NONE
2026-8-8</t>
    <phoneticPr fontId="35" type="noConversion"/>
  </si>
  <si>
    <t>403-3-4/
26HB42
NONE
2026-8-5</t>
    <phoneticPr fontId="35" type="noConversion"/>
  </si>
  <si>
    <t>403-3-6/
26HB02
NONE
2026-8-9</t>
    <phoneticPr fontId="35" type="noConversion"/>
  </si>
  <si>
    <t>403-6-4/
26HB42
NONE
2026-8-17</t>
    <phoneticPr fontId="35" type="noConversion"/>
  </si>
  <si>
    <t>401-11-13/
26SA03
NONE
2026-4-13</t>
    <phoneticPr fontId="35" type="noConversion"/>
  </si>
  <si>
    <t>403-2-2/
26SB54
NONE
2026-8-8</t>
    <phoneticPr fontId="35" type="noConversion"/>
  </si>
  <si>
    <t>403-4-6/
26HB02
NONE
2026-8-9</t>
    <phoneticPr fontId="35" type="noConversion"/>
  </si>
  <si>
    <t>403-2-6/
26HB02
NONE
2026-8-18</t>
    <phoneticPr fontId="35" type="noConversion"/>
  </si>
  <si>
    <t>401-9-13/
26SA03
NONE
2026-4-16</t>
    <phoneticPr fontId="35" type="noConversion"/>
  </si>
  <si>
    <t>401-12-11/
26SA41
NONE
2026-8-4</t>
    <phoneticPr fontId="35" type="noConversion"/>
  </si>
  <si>
    <t>401-9-11/
26SA41
NONE
2026-7-7</t>
    <phoneticPr fontId="35" type="noConversion"/>
  </si>
  <si>
    <t>403-4-8/
26HB04
NONE
2026-8-17</t>
    <phoneticPr fontId="35" type="noConversion"/>
  </si>
  <si>
    <t>403-5-4/
26HB42
NONE
2026-8-8</t>
    <phoneticPr fontId="35" type="noConversion"/>
  </si>
  <si>
    <t>403-3-2/
26SB54
NONE
2026-8-8</t>
    <phoneticPr fontId="35" type="noConversion"/>
  </si>
  <si>
    <t>401-15-11/
26SA41
NONE
2026-7-13</t>
    <phoneticPr fontId="35" type="noConversion"/>
  </si>
  <si>
    <t>401-14-11/
26SA02
NONE
2026-7-15</t>
    <phoneticPr fontId="35" type="noConversion"/>
  </si>
  <si>
    <t>401-8-13/
26SA03
NONE
2026-6-4</t>
    <phoneticPr fontId="35" type="noConversion"/>
  </si>
  <si>
    <t>403-2-4/
26HB42
NONE
2026-8-8</t>
    <phoneticPr fontId="35" type="noConversion"/>
  </si>
  <si>
    <t>401-12-7/
26SA01
NONE
2026-6-9</t>
    <phoneticPr fontId="35" type="noConversion"/>
  </si>
  <si>
    <t>401-17-13/
26SA03
NONE
2026-5-26</t>
    <phoneticPr fontId="35" type="noConversion"/>
  </si>
  <si>
    <t>401-8-7/
26SA01
NONE
2026.-6-4</t>
    <phoneticPr fontId="35" type="noConversion"/>
  </si>
  <si>
    <t>401-10-13/
26SA03
NONE
2026-4-6</t>
    <phoneticPr fontId="35" type="noConversion"/>
  </si>
  <si>
    <t>401-15-13/
26SA03
NONE
2026-5-26</t>
    <phoneticPr fontId="35" type="noConversion"/>
  </si>
  <si>
    <t>401-14-13/
26SA03
NONE
2026-6-1</t>
    <phoneticPr fontId="35" type="noConversion"/>
  </si>
  <si>
    <t>401-16-9/
26SA01
NONE
2026-7-1</t>
    <phoneticPr fontId="35" type="noConversion"/>
  </si>
  <si>
    <t>403-4-4/
26HB42
NONE
2026-8-4</t>
    <phoneticPr fontId="35" type="noConversion"/>
  </si>
  <si>
    <t>401-9-8/
26SA02
26A(B-1)
2026-7-1</t>
    <phoneticPr fontId="35" type="noConversion"/>
  </si>
  <si>
    <t>401-8-8/
26SA02
26A(B-1)
2026-7-1</t>
    <phoneticPr fontId="35" type="noConversion"/>
  </si>
  <si>
    <t>401-15-9/
26SA01
NONE
2026-7-1</t>
    <phoneticPr fontId="35" type="noConversion"/>
  </si>
  <si>
    <t>401-10-8/
26SA02
26A(B-1)
2026-7-1</t>
    <phoneticPr fontId="35" type="noConversion"/>
  </si>
  <si>
    <t>401-9-3/
46SB01
46A(A)
2026-6-7</t>
    <phoneticPr fontId="35" type="noConversion"/>
  </si>
  <si>
    <t>401-17-9/
26SA01
NONE
2026-7-1</t>
    <phoneticPr fontId="35" type="noConversion"/>
  </si>
  <si>
    <t>401-11-8/
26SA02
26A(B-1)
2026-7-1</t>
    <phoneticPr fontId="35" type="noConversion"/>
  </si>
  <si>
    <t>401-8-2/
46SB42
NONE
2026-7-15</t>
    <phoneticPr fontId="35" type="noConversion"/>
  </si>
  <si>
    <t>401-16-6/
46SB76
NONE
2026-7-13</t>
    <phoneticPr fontId="35" type="noConversion"/>
  </si>
  <si>
    <t>401-8-1/
46SB73
46C(A)
2026-5-28</t>
    <phoneticPr fontId="35" type="noConversion"/>
  </si>
  <si>
    <t>401-13-1/
46SB73
46C(A)
2026-6-1</t>
    <phoneticPr fontId="35" type="noConversion"/>
  </si>
  <si>
    <t>401-11-3/
46SB01
46A(A)
2026-5-27</t>
    <phoneticPr fontId="35" type="noConversion"/>
  </si>
  <si>
    <t>401-12-3/
46SB01
46A(A)
2026-6-1</t>
    <phoneticPr fontId="35" type="noConversion"/>
  </si>
  <si>
    <t>401-18-1/
46SB73
46C(A)
2026-6-4</t>
    <phoneticPr fontId="35" type="noConversion"/>
  </si>
  <si>
    <t>401-17-1/
46SB73
46C(A)
2026-5-26</t>
    <phoneticPr fontId="35" type="noConversion"/>
  </si>
  <si>
    <t>401-13-3/
46SB01
46A(A)
2026-6-1</t>
    <phoneticPr fontId="35" type="noConversion"/>
  </si>
  <si>
    <t>401-12-8/
26SA02
26A(B-1)
2026-7-1</t>
    <phoneticPr fontId="35" type="noConversion"/>
  </si>
  <si>
    <t>401-18-3/
46SB01
46A(A)
2026-7-13</t>
    <phoneticPr fontId="35" type="noConversion"/>
  </si>
  <si>
    <t>401-12-1/
46SB73
46C(A)
2026-5-26</t>
    <phoneticPr fontId="35" type="noConversion"/>
  </si>
  <si>
    <t>401-11-14/
26SA74
26A(B-1)
2026-7-1</t>
    <phoneticPr fontId="35" type="noConversion"/>
  </si>
  <si>
    <t>401-17-14/
26SA74
26A(B-1)
2026-7-1</t>
    <phoneticPr fontId="35" type="noConversion"/>
  </si>
  <si>
    <t>401-9-1/
46SB73
46C(A)
2026-4-13</t>
    <phoneticPr fontId="35" type="noConversion"/>
  </si>
  <si>
    <t>403-7-10/
46SA52
46A(A-1)
2026-8-20</t>
    <phoneticPr fontId="35" type="noConversion"/>
  </si>
  <si>
    <t>401-8-5/
46SB05
46A(A)
2026-7-1</t>
    <phoneticPr fontId="35" type="noConversion"/>
  </si>
  <si>
    <t>401-12-5/
46SB05
46A(A)
2026-6-18</t>
    <phoneticPr fontId="35" type="noConversion"/>
  </si>
  <si>
    <t>403-3-10/
46SA52
46A(A-1)
2026-8-17</t>
    <phoneticPr fontId="35" type="noConversion"/>
  </si>
  <si>
    <t>403-4-10/
46SA52
46A(A-1)
2026-8-17</t>
    <phoneticPr fontId="35" type="noConversion"/>
  </si>
  <si>
    <t>403-5-12/
46SA01
46A(A-1)
2026-8-11</t>
    <phoneticPr fontId="35" type="noConversion"/>
  </si>
  <si>
    <t>403-2-12/
46SA02
46A(A-1)
2026-8-5</t>
    <phoneticPr fontId="35" type="noConversion"/>
  </si>
  <si>
    <t>401-9-5/
46SB05
46A(A)
2026-7-13</t>
    <phoneticPr fontId="35" type="noConversion"/>
  </si>
  <si>
    <t>403-6-14/
46SA74
46B(A-1)
2026-8-19</t>
    <phoneticPr fontId="35" type="noConversion"/>
  </si>
  <si>
    <t>403-3-14/
46SA74
46B(A-1)
2026-8-17</t>
    <phoneticPr fontId="35" type="noConversion"/>
  </si>
  <si>
    <t>403-2-10/
46SA52
46A(A-1)
2026-8-3</t>
    <phoneticPr fontId="35" type="noConversion"/>
  </si>
  <si>
    <t>403-3-12/
46SA02
46A(A-1)
2026-8-4</t>
    <phoneticPr fontId="35" type="noConversion"/>
  </si>
  <si>
    <t>401-15-5/
46SB05
46A(A)
2026-6-18</t>
    <phoneticPr fontId="35" type="noConversion"/>
  </si>
  <si>
    <t>401-11-1/
46SB73
46C(A)
2026-4-6</t>
    <phoneticPr fontId="35" type="noConversion"/>
  </si>
  <si>
    <t>403-5-10/
46SA52
46A(A-1)
2026-8-2</t>
    <phoneticPr fontId="35" type="noConversion"/>
  </si>
  <si>
    <t>401-13-5/
46SB05
46A(A)
2026-6-17</t>
    <phoneticPr fontId="35" type="noConversion"/>
  </si>
  <si>
    <t>401-15-1/
46SB73
46C(A)
2026-5-20</t>
    <phoneticPr fontId="35" type="noConversion"/>
  </si>
  <si>
    <t>403-4-12/
46SA02
46A(A-1)
2026-8-9</t>
    <phoneticPr fontId="35" type="noConversion"/>
  </si>
  <si>
    <t>401-15-3/
46SB01
46A(A)
2026-7-5</t>
    <phoneticPr fontId="35" type="noConversion"/>
  </si>
  <si>
    <t>403-4-14/
46SA74
46B(A-1)
2026-8-17</t>
    <phoneticPr fontId="35" type="noConversion"/>
  </si>
  <si>
    <t>403-2-14/
46SA74
46B(A-1)
2026-8-17</t>
    <phoneticPr fontId="35" type="noConversion"/>
  </si>
  <si>
    <t>401-17-3/
46SB01
46A(A)
2026-7-5</t>
    <phoneticPr fontId="35" type="noConversion"/>
  </si>
  <si>
    <t>401-16-3/
46SB01
46A(A)
2026-6-14</t>
    <phoneticPr fontId="35" type="noConversion"/>
  </si>
  <si>
    <t>403-3-1/
26SB73
26A(B)
2026-8-19</t>
    <phoneticPr fontId="35" type="noConversion"/>
  </si>
  <si>
    <t>403-1-1/
26SB73
26A(B)
2062-8-17</t>
    <phoneticPr fontId="35" type="noConversion"/>
  </si>
  <si>
    <t>401-16-1/
46SB73
46C(A)
2026-4-20</t>
    <phoneticPr fontId="35" type="noConversion"/>
  </si>
  <si>
    <t>403-1-3/
26SB03
26A(B)
2026-8-18</t>
    <phoneticPr fontId="35" type="noConversion"/>
  </si>
  <si>
    <t>403-6-5/
26BH01
26AS(C)
2026-8-12</t>
    <phoneticPr fontId="35" type="noConversion"/>
  </si>
  <si>
    <t>401-14-3/
46SB01
46A(A)
2026-7-5</t>
    <phoneticPr fontId="35" type="noConversion"/>
  </si>
  <si>
    <t>401-17-5/
46SB05
46A(A)
2026-6-15</t>
    <phoneticPr fontId="35" type="noConversion"/>
  </si>
  <si>
    <t>401-12-10/
26SA02
26A(B-1)
2026-7-15</t>
    <phoneticPr fontId="35" type="noConversion"/>
  </si>
  <si>
    <t>403-11-14/
46SA74
46B(A-1)
2026-7-26</t>
    <phoneticPr fontId="35" type="noConversion"/>
  </si>
  <si>
    <t>401-18-5/
46SB05
46A(A)
2026-7-1</t>
    <phoneticPr fontId="35" type="noConversion"/>
  </si>
  <si>
    <t>403-4-5/
26HB01
26AS(C)
2026-8-12</t>
    <phoneticPr fontId="35" type="noConversion"/>
  </si>
  <si>
    <t>403-15-14/
46SA74
46B(A-1)
2026-7-23</t>
    <phoneticPr fontId="35" type="noConversion"/>
  </si>
  <si>
    <t>403-2-5/
26HB01
26AS(C)
2026-8-11</t>
    <phoneticPr fontId="35" type="noConversion"/>
  </si>
  <si>
    <t>401-13-12/
26SA04
26A(B-1)
2026-4-22</t>
    <phoneticPr fontId="35" type="noConversion"/>
  </si>
  <si>
    <t>403-16-14/
46SA74
46B(A-1)
2026-7-22</t>
    <phoneticPr fontId="35" type="noConversion"/>
  </si>
  <si>
    <t>403-2-7/
26HB01
26AS(C)
2026-8-8</t>
    <phoneticPr fontId="35" type="noConversion"/>
  </si>
  <si>
    <t>401-18-12/
26SA04
26A(B-1)
2026-4-22</t>
    <phoneticPr fontId="35" type="noConversion"/>
  </si>
  <si>
    <t>401-13-14/
26SA74
26A(B-1)
2026-5-26</t>
    <phoneticPr fontId="35" type="noConversion"/>
  </si>
  <si>
    <t>401-15-10/
26SA02
26A(B-1)
2026-7-15</t>
    <phoneticPr fontId="35" type="noConversion"/>
  </si>
  <si>
    <t>401-10-10/
26SA02
26A(B-1)
2026-7-13</t>
    <phoneticPr fontId="35" type="noConversion"/>
  </si>
  <si>
    <t>401-8-12/
26SA04
26A(B-1)
2026-4-8</t>
    <phoneticPr fontId="35" type="noConversion"/>
  </si>
  <si>
    <t>401-10-5/
46SB05
46A(A)
2026-6-14</t>
    <phoneticPr fontId="35" type="noConversion"/>
  </si>
  <si>
    <t>403-10-1/
26SB73
26A(B)
2026-8-2</t>
    <phoneticPr fontId="35" type="noConversion"/>
  </si>
  <si>
    <t>403-5-1/
26SB73
26A(B)
2026-8-8</t>
    <phoneticPr fontId="35" type="noConversion"/>
  </si>
  <si>
    <t>401-9-10/
26SA02
26A(B-1)
2026-7-13</t>
    <phoneticPr fontId="35" type="noConversion"/>
  </si>
  <si>
    <t>401-16-12/
26SA04
26A(B-1)
2026-4-28</t>
    <phoneticPr fontId="35" type="noConversion"/>
  </si>
  <si>
    <t>403-5-5/
26HB01
26AS(C)
2026-8-2</t>
    <phoneticPr fontId="35" type="noConversion"/>
  </si>
  <si>
    <t>403-5-7/
26HB01
26AS(C)
2026-8-3</t>
    <phoneticPr fontId="35" type="noConversion"/>
  </si>
  <si>
    <t>403-2-1/
26SB73
26A(B)
2026-8-1</t>
    <phoneticPr fontId="35" type="noConversion"/>
  </si>
  <si>
    <t>403-3-5/
26HB01
26AS(C)
2026-8-3</t>
    <phoneticPr fontId="35" type="noConversion"/>
  </si>
  <si>
    <t>403-9-1/
26SB73
26A(B)
2026-8-1</t>
    <phoneticPr fontId="35" type="noConversion"/>
  </si>
  <si>
    <t>403-6-7/
26HB01
26AS(C)
2026-8-17</t>
    <phoneticPr fontId="35" type="noConversion"/>
  </si>
  <si>
    <t>401-12-14/
26SA74
26A(B-1)
2026-5-28</t>
    <phoneticPr fontId="35" type="noConversion"/>
  </si>
  <si>
    <t>401-9-12/
26SA04
26A(B-1)
2026-4-8</t>
    <phoneticPr fontId="35" type="noConversion"/>
  </si>
  <si>
    <t>401-9-14/
26SA74
26A(B-1)
2026-5-28</t>
    <phoneticPr fontId="35" type="noConversion"/>
  </si>
  <si>
    <t>403-4-1/
26SB73
26A(B)
2026-8-18</t>
    <phoneticPr fontId="35" type="noConversion"/>
  </si>
  <si>
    <t>401-12-12/
26SA04
26A(B-1)
2026-4-23</t>
    <phoneticPr fontId="35" type="noConversion"/>
  </si>
  <si>
    <t>401-15-12/
26SB04
26A(B-1)
2026-6-1</t>
    <phoneticPr fontId="35" type="noConversion"/>
  </si>
  <si>
    <t>401-18-14/
26SA74
26A(B-1)
2026-5-20</t>
    <phoneticPr fontId="35" type="noConversion"/>
  </si>
  <si>
    <t>401-8-14/
26SA74
26A(B-1)
2026-5-26</t>
    <phoneticPr fontId="35" type="noConversion"/>
  </si>
  <si>
    <t>403-5-3/
26HB03
26AS(C)
2026-7-22</t>
    <phoneticPr fontId="35" type="noConversion"/>
  </si>
  <si>
    <t>403-3-3/
26HB03
26AS(C)
2026-7-26</t>
    <phoneticPr fontId="35" type="noConversion"/>
  </si>
  <si>
    <t>403-8-3/
26HB03
26AS(C)
2026-7-26</t>
    <phoneticPr fontId="35" type="noConversion"/>
  </si>
  <si>
    <t>403-9-3/
26HB03
26AS(C)
2026-7-26</t>
    <phoneticPr fontId="35" type="noConversion"/>
  </si>
  <si>
    <t>401-18-8/
26SA02
26A(B-1)
2026-7-21</t>
    <phoneticPr fontId="35" type="noConversion"/>
  </si>
  <si>
    <t>403-2-3/
26HB03
26AS(C)
2026-7-22</t>
    <phoneticPr fontId="35" type="noConversion"/>
  </si>
  <si>
    <t>403-4-3/
26HB03
26AS(C)
2026-7-26</t>
    <phoneticPr fontId="35" type="noConversion"/>
  </si>
  <si>
    <t>403-6-3/
26HB03
26AS(C)
2026-7-21</t>
    <phoneticPr fontId="35" type="noConversion"/>
  </si>
  <si>
    <t>403-4-7/
26HB01
26AS(C)
2026-7-26</t>
    <phoneticPr fontId="35" type="noConversion"/>
  </si>
  <si>
    <t>403-3-7/
26HB01
26AS(C)
2026-7-26</t>
    <phoneticPr fontId="35" type="noConversion"/>
  </si>
  <si>
    <t>403-10-7/
26HB01
26AS(C)
2026-8-1</t>
    <phoneticPr fontId="35" type="noConversion"/>
  </si>
  <si>
    <t>401-14-12/
26SA04
26A(B-1)
2026-4-22</t>
    <phoneticPr fontId="35" type="noConversion"/>
  </si>
  <si>
    <t>401-10-12/
26SA04
26A(B-1)
2026-4-6</t>
    <phoneticPr fontId="35" type="noConversion"/>
  </si>
  <si>
    <t>401-11-12/
26SA04
26A(B-1)
2026-4-20</t>
    <phoneticPr fontId="35" type="noConversion"/>
  </si>
  <si>
    <t>401-10-11/
26SA41
NONE
2026-7-5</t>
    <phoneticPr fontId="35" type="noConversion"/>
  </si>
  <si>
    <r>
      <t xml:space="preserve">403-5-14/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2026-8-1</t>
    </r>
    <phoneticPr fontId="35" type="noConversion"/>
  </si>
  <si>
    <r>
      <t xml:space="preserve">401-14-1/
46SB73
</t>
    </r>
    <r>
      <rPr>
        <b/>
        <sz val="40"/>
        <color rgb="FFFF0000"/>
        <rFont val="맑은 고딕"/>
        <family val="3"/>
        <charset val="129"/>
      </rPr>
      <t>46C(A)</t>
    </r>
    <r>
      <rPr>
        <b/>
        <sz val="40"/>
        <rFont val="맑은 고딕"/>
        <family val="3"/>
        <charset val="129"/>
      </rPr>
      <t xml:space="preserve">
2026-8-1</t>
    </r>
    <phoneticPr fontId="35" type="noConversion"/>
  </si>
  <si>
    <r>
      <t xml:space="preserve">401-14-10/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35" type="noConversion"/>
  </si>
  <si>
    <r>
      <t xml:space="preserve">401-18-10/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35" type="noConversion"/>
  </si>
  <si>
    <r>
      <t xml:space="preserve">401-16-10/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35" type="noConversion"/>
  </si>
  <si>
    <r>
      <t xml:space="preserve">401-8-3/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2026-7-6</t>
    </r>
    <phoneticPr fontId="35" type="noConversion"/>
  </si>
  <si>
    <r>
      <t xml:space="preserve">401-10-3/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2026-7-1</t>
    </r>
    <phoneticPr fontId="35" type="noConversion"/>
  </si>
  <si>
    <r>
      <t xml:space="preserve">401-16-5/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2026-6-14</t>
    </r>
    <phoneticPr fontId="35" type="noConversion"/>
  </si>
  <si>
    <r>
      <t xml:space="preserve">401-14-5/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2026-6-17</t>
    </r>
    <phoneticPr fontId="35" type="noConversion"/>
  </si>
  <si>
    <r>
      <t xml:space="preserve">403-13-14/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2026-7-21</t>
    </r>
    <phoneticPr fontId="35" type="noConversion"/>
  </si>
  <si>
    <t>403-1-14/
46SA74
NONE</t>
    <phoneticPr fontId="35" type="noConversion"/>
  </si>
  <si>
    <t>401-10-1/</t>
    <phoneticPr fontId="35" type="noConversion"/>
  </si>
  <si>
    <t>403-11-5/
26HB01
26AS(C)
2026-8-1</t>
    <phoneticPr fontId="35" type="noConversion"/>
  </si>
  <si>
    <t>총합</t>
    <phoneticPr fontId="35" type="noConversion"/>
  </si>
  <si>
    <t>내부</t>
    <phoneticPr fontId="35" type="noConversion"/>
  </si>
  <si>
    <t>C</t>
    <phoneticPr fontId="35" type="noConversion"/>
  </si>
  <si>
    <t>B</t>
    <phoneticPr fontId="35" type="noConversion"/>
  </si>
  <si>
    <t>A</t>
    <phoneticPr fontId="35" type="noConversion"/>
  </si>
  <si>
    <t>공장 내부</t>
    <phoneticPr fontId="35" type="noConversion"/>
  </si>
  <si>
    <t>2F</t>
  </si>
  <si>
    <t>A1</t>
    <phoneticPr fontId="35" type="noConversion"/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</si>
  <si>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</si>
  <si>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</si>
  <si>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</si>
  <si>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</si>
  <si>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</si>
  <si>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</si>
  <si>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</si>
  <si>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</si>
  <si>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</si>
  <si>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</si>
  <si>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</si>
  <si>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</si>
  <si>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  <phoneticPr fontId="35" type="noConversion"/>
  </si>
  <si>
    <t>A15</t>
    <phoneticPr fontId="35" type="noConversion"/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</si>
  <si>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</si>
  <si>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</si>
  <si>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</si>
  <si>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</si>
  <si>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</si>
  <si>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</si>
  <si>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</si>
  <si>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</si>
  <si>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</si>
  <si>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</si>
  <si>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</si>
  <si>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</si>
  <si>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</si>
  <si>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B1</t>
    <phoneticPr fontId="35" type="noConversion"/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</si>
  <si>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</si>
  <si>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</si>
  <si>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</si>
  <si>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</si>
  <si>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</si>
  <si>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</si>
  <si>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</si>
  <si>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</si>
  <si>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</si>
  <si>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</si>
  <si>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</si>
  <si>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</si>
  <si>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  <phoneticPr fontId="35" type="noConversion"/>
  </si>
  <si>
    <t>B15</t>
    <phoneticPr fontId="35" type="noConversion"/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</si>
  <si>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</si>
  <si>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</si>
  <si>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</si>
  <si>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</si>
  <si>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</si>
  <si>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</si>
  <si>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</si>
  <si>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</si>
  <si>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</si>
  <si>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</si>
  <si>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</si>
  <si>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C1</t>
    <phoneticPr fontId="35" type="noConversion"/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</si>
  <si>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</si>
  <si>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</si>
  <si>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</si>
  <si>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</si>
  <si>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</si>
  <si>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</si>
  <si>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</si>
  <si>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</si>
  <si>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</si>
  <si>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</si>
  <si>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</si>
  <si>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</si>
  <si>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  <phoneticPr fontId="35" type="noConversion"/>
  </si>
  <si>
    <t>C15</t>
    <phoneticPr fontId="35" type="noConversion"/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</si>
  <si>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</si>
  <si>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</si>
  <si>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</si>
  <si>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</si>
  <si>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</si>
  <si>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</si>
  <si>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</si>
  <si>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</si>
  <si>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</si>
  <si>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AA</t>
    <phoneticPr fontId="35" type="noConversion"/>
  </si>
  <si>
    <t>AB</t>
    <phoneticPr fontId="35" type="noConversion"/>
  </si>
  <si>
    <t>AC</t>
    <phoneticPr fontId="35" type="noConversion"/>
  </si>
  <si>
    <t>AD</t>
    <phoneticPr fontId="35" type="noConversion"/>
  </si>
  <si>
    <t>AE</t>
    <phoneticPr fontId="35" type="noConversion"/>
  </si>
  <si>
    <t>AF</t>
    <phoneticPr fontId="35" type="noConversion"/>
  </si>
  <si>
    <t>AG</t>
    <phoneticPr fontId="35" type="noConversion"/>
  </si>
  <si>
    <t>AH</t>
    <phoneticPr fontId="35" type="noConversion"/>
  </si>
  <si>
    <t>BH</t>
  </si>
  <si>
    <t>BG</t>
  </si>
  <si>
    <t>BF</t>
  </si>
  <si>
    <t>BE</t>
  </si>
  <si>
    <t>BD</t>
  </si>
  <si>
    <t>BC</t>
  </si>
  <si>
    <t>BB</t>
  </si>
  <si>
    <t>BA</t>
    <phoneticPr fontId="35" type="noConversion"/>
  </si>
  <si>
    <t>CH</t>
  </si>
  <si>
    <t>CG</t>
  </si>
  <si>
    <t>CF</t>
  </si>
  <si>
    <t>CE</t>
  </si>
  <si>
    <t>CD</t>
  </si>
  <si>
    <t>CC</t>
  </si>
  <si>
    <t>CB</t>
  </si>
  <si>
    <t>CA</t>
    <phoneticPr fontId="35" type="noConversion"/>
  </si>
  <si>
    <t>403-6-10/
46SB01
NONE
2026-7-13</t>
    <phoneticPr fontId="35" type="noConversion"/>
  </si>
  <si>
    <t>401-10-14/
26SA74
26A(B-1)
2026-5-21</t>
    <phoneticPr fontId="35" type="noConversion"/>
  </si>
  <si>
    <t>401-11-5/
46SB05
46A(A)
2026-6-9</t>
    <phoneticPr fontId="35" type="noConversion"/>
  </si>
  <si>
    <t>진행률</t>
    <phoneticPr fontId="35" type="noConversion"/>
  </si>
  <si>
    <t>403-1-12/
46SA02
NONE
2026-8-17</t>
    <phoneticPr fontId="35" type="noConversion"/>
  </si>
  <si>
    <t>402-1-3/
36SB43
NONE</t>
    <phoneticPr fontId="35" type="noConversion"/>
  </si>
  <si>
    <t>401
(252)</t>
    <phoneticPr fontId="35" type="noConversion"/>
  </si>
  <si>
    <t>402
(308)</t>
    <phoneticPr fontId="35" type="noConversion"/>
  </si>
  <si>
    <t>403
(224)</t>
    <phoneticPr fontId="35" type="noConversion"/>
  </si>
  <si>
    <t>401-13-10/
26SA02
26A(B-1)
2026-7-15</t>
    <phoneticPr fontId="35" type="noConversion"/>
  </si>
  <si>
    <t>401-17-10/
26SA02
26A(B-1)
2026-7-15</t>
    <phoneticPr fontId="35" type="noConversion"/>
  </si>
  <si>
    <t>401-15-14/
26SA74
26A(B-1)
2026-7-5</t>
    <phoneticPr fontId="35" type="noConversion"/>
  </si>
  <si>
    <t>401-14-14/
26SA74
26A(B-1)
2026-7-5</t>
    <phoneticPr fontId="35" type="noConversion"/>
  </si>
  <si>
    <t>403-8-13/
46SB41
NONE
2026-8-31</t>
    <phoneticPr fontId="35" type="noConversion"/>
  </si>
  <si>
    <t xml:space="preserve">403-11-12/
46SA02
46A(A-1)
2026-9-1
</t>
    <phoneticPr fontId="35" type="noConversion"/>
  </si>
  <si>
    <t>403-10-9/
46SA57
NONE
2026-8-24</t>
    <phoneticPr fontId="35" type="noConversion"/>
  </si>
  <si>
    <t>403-10-11/
46SA01
NONE
2026-8-25</t>
    <phoneticPr fontId="35" type="noConversion"/>
  </si>
  <si>
    <t>403-9-10/
46SA52
46A(A-1)
2026-9-20</t>
    <phoneticPr fontId="35" type="noConversion"/>
  </si>
  <si>
    <t>403-12-12/
46SA02
46A(A-1)
2026-9-2</t>
    <phoneticPr fontId="35" type="noConversion"/>
  </si>
  <si>
    <t>403-12-10/
46SA06
46A(A-1)
2026-9-1</t>
    <phoneticPr fontId="35" type="noConversion"/>
  </si>
  <si>
    <t>403-16-9/
46SA75
NONE
2026-9-1</t>
    <phoneticPr fontId="35" type="noConversion"/>
  </si>
  <si>
    <t>403-6-13/
46SA41
NONE
2026-8-24</t>
    <phoneticPr fontId="35" type="noConversion"/>
  </si>
  <si>
    <t>403-12-9/
46SA75
NONE
2026-9-16</t>
    <phoneticPr fontId="35" type="noConversion"/>
  </si>
  <si>
    <t>403-6-12/
46SA02
46A(A-1)
2026-8-26</t>
    <phoneticPr fontId="35" type="noConversion"/>
  </si>
  <si>
    <t>403-7-9/
46SA57
NONE
2026-8-26</t>
    <phoneticPr fontId="35" type="noConversion"/>
  </si>
  <si>
    <t>403-7-12/
46SA02
46A(A-1)
2026-8-26</t>
    <phoneticPr fontId="35" type="noConversion"/>
  </si>
  <si>
    <t>403-8-12/
46SA02
46A(A-1)
2026-8-24</t>
    <phoneticPr fontId="35" type="noConversion"/>
  </si>
  <si>
    <t>403-11-9/
46SA57
NONE
2026-9-1</t>
    <phoneticPr fontId="35" type="noConversion"/>
  </si>
  <si>
    <t>403-13-6/
26SB62
NONE
2026-9-8</t>
    <phoneticPr fontId="35" type="noConversion"/>
  </si>
  <si>
    <t>403-8-7/
46HB01
26AS(C)
2026-9-2</t>
    <phoneticPr fontId="35" type="noConversion"/>
  </si>
  <si>
    <t>403-10-13/
46SB41
NONE
2026-9-20</t>
    <phoneticPr fontId="35" type="noConversion"/>
  </si>
  <si>
    <t>403-11-3/
26HB03
26AS(C)
2026-9-7</t>
    <phoneticPr fontId="35" type="noConversion"/>
  </si>
  <si>
    <t>403-15-3/
26SB03
26A(B)
2026-9-3</t>
    <phoneticPr fontId="35" type="noConversion"/>
  </si>
  <si>
    <t>403-10-10/
46SA52
46A(A-1)
2026-9-7</t>
    <phoneticPr fontId="35" type="noConversion"/>
  </si>
  <si>
    <t>403-12-11/
46SA01
NONE
2026-8-31</t>
    <phoneticPr fontId="35" type="noConversion"/>
  </si>
  <si>
    <t>403-15-7/
26SB61
26A(B)
2026-9-8</t>
    <phoneticPr fontId="35" type="noConversion"/>
  </si>
  <si>
    <t>403-11-4/
26HB42
NONE
2026-9-8</t>
    <phoneticPr fontId="35" type="noConversion"/>
  </si>
  <si>
    <t>403-10-4/
26HB42
NONE
2026-9-7</t>
    <phoneticPr fontId="35" type="noConversion"/>
  </si>
  <si>
    <t>403-6-11/
46SA01
NONE
2026-8-24</t>
    <phoneticPr fontId="35" type="noConversion"/>
  </si>
  <si>
    <t>403-14-11/
46SA01
NONE
2026-9-20</t>
    <phoneticPr fontId="35" type="noConversion"/>
  </si>
  <si>
    <t>403-9-9/
46SB57
NONE
2026-9-7</t>
    <phoneticPr fontId="35" type="noConversion"/>
  </si>
  <si>
    <t>403-8-11/
46SA01
NONE
2026-8-24</t>
    <phoneticPr fontId="35" type="noConversion"/>
  </si>
  <si>
    <t>403-12-14/
46SA74
46B(A-1)
2026-8-31</t>
    <phoneticPr fontId="35" type="noConversion"/>
  </si>
  <si>
    <t>403-8-10/
46SA52
46A(A-1)
2026-8-31</t>
    <phoneticPr fontId="35" type="noConversion"/>
  </si>
  <si>
    <t>403-10-14/
46SA74
46B(A-1)
2026-8-31</t>
    <phoneticPr fontId="35" type="noConversion"/>
  </si>
  <si>
    <t>403-9-13/
46SB41
NONE
2026-9-20</t>
    <phoneticPr fontId="35" type="noConversion"/>
  </si>
  <si>
    <t>403-15-12/
46SA02
NONE
2026-9-7</t>
    <phoneticPr fontId="35" type="noConversion"/>
  </si>
  <si>
    <t>403-1-8/
26SB62
NONE
2026-9-20</t>
    <phoneticPr fontId="35" type="noConversion"/>
  </si>
  <si>
    <t>403-7-6/
26BH02
NONE
2026-8-24</t>
    <phoneticPr fontId="35" type="noConversion"/>
  </si>
  <si>
    <t>403-7-8/
26HB04
NONE
2026-8-24</t>
    <phoneticPr fontId="35" type="noConversion"/>
  </si>
  <si>
    <t>403-7-4/
26HB42
NONE
2026-9-3</t>
    <phoneticPr fontId="35" type="noConversion"/>
  </si>
  <si>
    <t>403-7-14/
46SA74
46B(A-1)
2026-9-20</t>
    <phoneticPr fontId="35" type="noConversion"/>
  </si>
  <si>
    <t>403-11-10/
46SA52
46A(A-1)
2026-9-7</t>
    <phoneticPr fontId="35" type="noConversion"/>
  </si>
  <si>
    <t>403-9-4/
26HB42
NONE
2026-9-3</t>
    <phoneticPr fontId="35" type="noConversion"/>
  </si>
  <si>
    <t>403-1-2/
26SB04
NONE
2026-9-14</t>
    <phoneticPr fontId="35" type="noConversion"/>
  </si>
  <si>
    <t>402-1-7/
36SB01
36A(B-1)
2026-9-20</t>
    <phoneticPr fontId="35" type="noConversion"/>
  </si>
  <si>
    <t>403-10-8/
26HB04
NONE
2026-8-24</t>
    <phoneticPr fontId="35" type="noConversion"/>
  </si>
  <si>
    <t>403-1-5/
26SB01
NONE
2026-8-24</t>
    <phoneticPr fontId="35" type="noConversion"/>
  </si>
  <si>
    <t>403-12-2/
26SB04
NONE
2026-8-31</t>
    <phoneticPr fontId="35" type="noConversion"/>
  </si>
  <si>
    <t>403-6-6/
26HB02
NONE
2026-8-24</t>
    <phoneticPr fontId="35" type="noConversion"/>
  </si>
  <si>
    <t>403-6-8/
26HB04
NONE
2026-8-24</t>
    <phoneticPr fontId="35" type="noConversion"/>
  </si>
  <si>
    <t>403-13-13/
46SA41
NONE
2026-9-8</t>
    <phoneticPr fontId="35" type="noConversion"/>
  </si>
  <si>
    <t>403-9-8/
26HB04
NONE
2026-8-25</t>
    <phoneticPr fontId="35" type="noConversion"/>
  </si>
  <si>
    <t>403-9-6/
26HB02
NONE
2026-8-25</t>
    <phoneticPr fontId="35" type="noConversion"/>
  </si>
  <si>
    <t>403-10-6/
26HB02
NONE
2026-8-24</t>
    <phoneticPr fontId="35" type="noConversion"/>
  </si>
  <si>
    <t>403-9-2/
26SB54
NONE
2026-8-27</t>
    <phoneticPr fontId="35" type="noConversion"/>
  </si>
  <si>
    <t>403-14-2/
26SB04
NONE
2026-8-26</t>
    <phoneticPr fontId="35" type="noConversion"/>
  </si>
  <si>
    <t>403-8-1/
26SB73
26A(B)
2026-8-24</t>
    <phoneticPr fontId="35" type="noConversion"/>
  </si>
  <si>
    <t>403-1-13/
46SA41
NONE
2026-8-31</t>
    <phoneticPr fontId="35" type="noConversion"/>
  </si>
  <si>
    <t>403-13-11/
46SA01
NONE
2026-9-14</t>
    <phoneticPr fontId="35" type="noConversion"/>
  </si>
  <si>
    <t>403-14-9/
46SA75
NONE
2026-9-8</t>
    <phoneticPr fontId="35" type="noConversion"/>
  </si>
  <si>
    <t>403-8-8/
26HB04
NONE
2026-9-8</t>
    <phoneticPr fontId="35" type="noConversion"/>
  </si>
  <si>
    <t>403-7-2/
26SB54
NONE
2026-8-31</t>
    <phoneticPr fontId="35" type="noConversion"/>
  </si>
  <si>
    <t>403-15-10
46SA06
46A(A-1)
2026-9-8</t>
    <phoneticPr fontId="35" type="noConversion"/>
  </si>
  <si>
    <t>403-16-12/
46SA02
46A(A-1)
2026-9-8</t>
    <phoneticPr fontId="35" type="noConversion"/>
  </si>
  <si>
    <t>403-11-8/
26HB04
NONE
2026-8-27</t>
    <phoneticPr fontId="35" type="noConversion"/>
  </si>
  <si>
    <t>403-16-7/
26SB61
26A(B)
2026-9-9</t>
    <phoneticPr fontId="35" type="noConversion"/>
  </si>
  <si>
    <t>403-15-5/
26SB01
26A(B)
2026-9-9</t>
    <phoneticPr fontId="35" type="noConversion"/>
  </si>
  <si>
    <t>403-16-8/
26SB62
NONE
2026-9-9</t>
    <phoneticPr fontId="35" type="noConversion"/>
  </si>
  <si>
    <t>403-13-10/
46SA06
46A(A-1)
2026-9-9</t>
    <phoneticPr fontId="35" type="noConversion"/>
  </si>
  <si>
    <t>403-15-13/
46SA41
NONE
2026-9-8</t>
    <phoneticPr fontId="35" type="noConversion"/>
  </si>
  <si>
    <t>403-13-7/
26SB01
26A(B)
2026-9-9</t>
    <phoneticPr fontId="35" type="noConversion"/>
  </si>
  <si>
    <t>403-7-7/
26HB01
26AS(C)
2026-8-31</t>
    <phoneticPr fontId="35" type="noConversion"/>
  </si>
  <si>
    <t>403-14-8/
26SB62
NONE
2026-9-9</t>
    <phoneticPr fontId="35" type="noConversion"/>
  </si>
  <si>
    <t>403-9-7/
26HB01
26AS(C)
2026-9-2</t>
    <phoneticPr fontId="35" type="noConversion"/>
  </si>
  <si>
    <t>403-7-3/
26HB03
26AS(C)
2026-9-7</t>
    <phoneticPr fontId="35" type="noConversion"/>
  </si>
  <si>
    <t>403-6-2/
26SB54
NONE
2026-8-31</t>
    <phoneticPr fontId="35" type="noConversion"/>
  </si>
  <si>
    <t>403-13-5/
26HB61
26A(B)
2026-9-8</t>
    <phoneticPr fontId="35" type="noConversion"/>
  </si>
  <si>
    <t>403-14-3/
26SB03
26A(B)
2026-9-7</t>
    <phoneticPr fontId="35" type="noConversion"/>
  </si>
  <si>
    <t>403-10-3/
26HB03
26AS(C)
2026-9-9</t>
    <phoneticPr fontId="35" type="noConversion"/>
  </si>
  <si>
    <t>403-16-13/
NONE
NONE
2026-9-20</t>
    <phoneticPr fontId="35" type="noConversion"/>
  </si>
  <si>
    <t>402-3-13/
26SA43
NONE
2026-9-20</t>
    <phoneticPr fontId="35" type="noConversion"/>
  </si>
  <si>
    <t>402-2-13/
26SA43
NONE
2026-9-20</t>
    <phoneticPr fontId="35" type="noConversion"/>
  </si>
  <si>
    <t>402-2-14/
26SA74
26A(B-1)
2026-9-20</t>
    <phoneticPr fontId="35" type="noConversion"/>
  </si>
  <si>
    <t>402-2-10/
36SB76
NONE
2026-9-20</t>
    <phoneticPr fontId="35" type="noConversion"/>
  </si>
  <si>
    <t>402-1-2/
36SB04
NONE
2026-9-20</t>
    <phoneticPr fontId="35" type="noConversion"/>
  </si>
  <si>
    <t>402-6-11/
26SA01
NONE
2026-9-20</t>
    <phoneticPr fontId="35" type="noConversion"/>
  </si>
  <si>
    <t>402-2-11/
26SA01
NONE
2026-9-20</t>
    <phoneticPr fontId="35" type="noConversion"/>
  </si>
  <si>
    <t>402-1-14/
26SA74
26A(B-1)
2026-9-20</t>
    <phoneticPr fontId="35" type="noConversion"/>
  </si>
  <si>
    <t>402-1-13/
26SA43
NONE
2026-10-1</t>
    <phoneticPr fontId="35" type="noConversion"/>
  </si>
  <si>
    <t>403-1-7/
26SB61
36A(B-1)
2026-9-20</t>
    <phoneticPr fontId="35" type="noConversion"/>
  </si>
  <si>
    <t>402-4-12/
26SA02
26A(B-1)
2026-9-14</t>
    <phoneticPr fontId="35" type="noConversion"/>
  </si>
  <si>
    <t>402-7-12/26SA02
26A(B-1)
2026-9-14</t>
    <phoneticPr fontId="35" type="noConversion"/>
  </si>
  <si>
    <t>402-5-13/
26SA43
NONE
2026-9-20</t>
    <phoneticPr fontId="35" type="noConversion"/>
  </si>
  <si>
    <t>402-5-11/
26SA01
NONE
2026-9-20</t>
    <phoneticPr fontId="35" type="noConversion"/>
  </si>
  <si>
    <t>402-5-14/
26SA74
26A(B-1)
2026-9-20</t>
    <phoneticPr fontId="35" type="noConversion"/>
  </si>
  <si>
    <t>402-3-14/
26SA74
26A(B-1)
2026-10-1</t>
    <phoneticPr fontId="35" type="noConversion"/>
  </si>
  <si>
    <t>402-6-13/
26SA43
NONE
2026-9-20</t>
    <phoneticPr fontId="35" type="noConversion"/>
  </si>
  <si>
    <t>402-3-11/
26SA01
NONE
2026-9-14</t>
    <phoneticPr fontId="35" type="noConversion"/>
  </si>
  <si>
    <t>402-5-12/
26SA02
26A(B-1)
2026-9-14</t>
    <phoneticPr fontId="35" type="noConversion"/>
  </si>
  <si>
    <t>402-6-14/
26SA74
26A(B-1)
2026-10-1</t>
    <phoneticPr fontId="35" type="noConversion"/>
  </si>
  <si>
    <t>402-1-12/
26SA02
26A(B-1)
2026-10-1</t>
    <phoneticPr fontId="35" type="noConversion"/>
  </si>
  <si>
    <t>402-4-13/
26SA43
NONE
2026-9-20</t>
    <phoneticPr fontId="35" type="noConversion"/>
  </si>
  <si>
    <t>402-4-14/
26SA74
26A(B-1)
2026-9-14</t>
    <phoneticPr fontId="35" type="noConversion"/>
  </si>
  <si>
    <t>402-3-12/
26SA02
26A(B-1)
2026-9-14</t>
    <phoneticPr fontId="35" type="noConversion"/>
  </si>
  <si>
    <t>402-4-11/
26SA01
NONE
2026-9-20</t>
    <phoneticPr fontId="35" type="noConversion"/>
  </si>
  <si>
    <t>402-1-11/
26SA01
NONE
2026-10-1</t>
    <phoneticPr fontId="35" type="noConversion"/>
  </si>
  <si>
    <t>402-2-12/
26SA02
26A(B-1)
2026-10-1</t>
    <phoneticPr fontId="35" type="noConversion"/>
  </si>
  <si>
    <t>402-6-12/
26SA02
26A(B-1)
2026-10-1</t>
    <phoneticPr fontId="35" type="noConversion"/>
  </si>
  <si>
    <t>402-3-1/
26SB73
36B(B-1)
2026-10-1</t>
    <phoneticPr fontId="35" type="noConversion"/>
  </si>
  <si>
    <t>402-5-6/
36SB02
NONE
2026-10-1</t>
    <phoneticPr fontId="35" type="noConversion"/>
  </si>
  <si>
    <t>402-4-4/
36SB42
NONE
2026-10-1</t>
    <phoneticPr fontId="35" type="noConversion"/>
  </si>
  <si>
    <t>402-4-5/
36SB01
36A(B-1)
2026-10-1</t>
    <phoneticPr fontId="35" type="noConversion"/>
  </si>
  <si>
    <t>402-3-8/
36SB02
NONE
2026-10-1</t>
    <phoneticPr fontId="35" type="noConversion"/>
  </si>
  <si>
    <t>402-5-10/
36SB76
NONE
2026-10-1</t>
    <phoneticPr fontId="35" type="noConversion"/>
  </si>
  <si>
    <r>
      <t xml:space="preserve">401-8-10/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35" type="noConversion"/>
  </si>
  <si>
    <r>
      <t xml:space="preserve">401-17-8/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2026-7-21</t>
    </r>
    <phoneticPr fontId="35" type="noConversion"/>
  </si>
  <si>
    <r>
      <t xml:space="preserve">401-16-14/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2026-5-28</t>
    </r>
    <phoneticPr fontId="35" type="noConversion"/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</si>
  <si>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</si>
  <si>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</si>
  <si>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</si>
  <si>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</si>
  <si>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</si>
  <si>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</si>
  <si>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</si>
  <si>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</si>
  <si>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</si>
  <si>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</si>
  <si>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</si>
  <si>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</si>
  <si>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</si>
  <si>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  <phoneticPr fontId="35" type="noConversion"/>
  </si>
  <si>
    <t>DH</t>
  </si>
  <si>
    <t>DG</t>
  </si>
  <si>
    <t>DF</t>
  </si>
  <si>
    <t>DE</t>
  </si>
  <si>
    <t>DD</t>
  </si>
  <si>
    <t>DB</t>
  </si>
  <si>
    <t>DA</t>
  </si>
  <si>
    <t>DC</t>
    <phoneticPr fontId="35" type="noConversion"/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</si>
  <si>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</si>
  <si>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</si>
  <si>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</si>
  <si>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</si>
  <si>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</si>
  <si>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</si>
  <si>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</si>
  <si>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</si>
  <si>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</si>
  <si>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</si>
  <si>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402-3-10/
36SB76
2026-10-1</t>
    <phoneticPr fontId="35" type="noConversion"/>
  </si>
  <si>
    <t>403-7-5/
26HB01
2026-10-1</t>
    <phoneticPr fontId="35" type="noConversion"/>
  </si>
  <si>
    <t>D</t>
    <phoneticPr fontId="35" type="noConversion"/>
  </si>
  <si>
    <t>402-2-2/
36SB04
2026-10-1</t>
    <phoneticPr fontId="35" type="noConversion"/>
  </si>
  <si>
    <t xml:space="preserve"> </t>
    <phoneticPr fontId="35" type="noConversion"/>
  </si>
  <si>
    <t>401-11-10/
26SA02
26A(B-1)
2026-7-15</t>
    <phoneticPr fontId="35" type="noConversion"/>
  </si>
  <si>
    <t>401-16-8/
26SA02
26A(B-1)
2026-7-1</t>
    <phoneticPr fontId="35" type="noConversion"/>
  </si>
  <si>
    <t>401-15-8/
26SA02
26A(B-1)
2026-7-1</t>
    <phoneticPr fontId="35" type="noConversion"/>
  </si>
  <si>
    <t>401-14-8/
26SA02
26A(B-1)
2026-7-5</t>
    <phoneticPr fontId="35" type="noConversion"/>
  </si>
  <si>
    <t>401-13-8/
26SA02
26A(B-1)
2026-7-5</t>
    <phoneticPr fontId="35" type="noConversion"/>
  </si>
  <si>
    <t>403-8-5/
26HB01
2026-10-1</t>
    <phoneticPr fontId="35" type="noConversion"/>
  </si>
  <si>
    <t>403-6-1/
26SB73
26A(B)
2026-9-20</t>
    <phoneticPr fontId="35" type="noConversion"/>
  </si>
  <si>
    <t>403-9-12/
46SA02
46A(A-1)
2026-9-16</t>
    <phoneticPr fontId="35" type="noConversion"/>
  </si>
  <si>
    <t>403-9-11/
46SA01
NONE
2026-9-16</t>
    <phoneticPr fontId="35" type="noConversion"/>
  </si>
  <si>
    <t>403-11-11/
46SA01
NONE
2026-9-20</t>
    <phoneticPr fontId="35" type="noConversion"/>
  </si>
  <si>
    <t>403-6-9/
46SA57
NONE
2026-9-7</t>
    <phoneticPr fontId="35" type="noConversion"/>
  </si>
  <si>
    <t>403-14-12/
46SA02
46A(A-1)
2026-9-20</t>
    <phoneticPr fontId="35" type="noConversion"/>
  </si>
  <si>
    <t>403-13-9/
46SA75
NONE
2026-9-20</t>
    <phoneticPr fontId="35" type="noConversion"/>
  </si>
  <si>
    <t>403-14-10/
46SA06
46A(A-1)
2026-9-7</t>
    <phoneticPr fontId="35" type="noConversion"/>
  </si>
  <si>
    <t>403-12-13/
46SA41
NONE
2026-9-8</t>
    <phoneticPr fontId="35" type="noConversion"/>
  </si>
  <si>
    <t>403-10-12/
46SA02
46A(A-1)
2026-8-25</t>
    <phoneticPr fontId="35" type="noConversion"/>
  </si>
  <si>
    <t>403-7-13/
46SB41
NONE
2026-9-20</t>
    <phoneticPr fontId="35" type="noConversion"/>
  </si>
  <si>
    <t>403-9-14/
46SA74
46B(A-1)
2026-8-31</t>
    <phoneticPr fontId="35" type="noConversion"/>
  </si>
  <si>
    <t>403-8-9/
46SA57
NONE
2026-9-7</t>
    <phoneticPr fontId="35" type="noConversion"/>
  </si>
  <si>
    <t>403-8-4/
NONE
NONE
2026-9-3</t>
    <phoneticPr fontId="35" type="noConversion"/>
  </si>
  <si>
    <t>403-11-13/
46SB41
NONE
2026-9-9</t>
    <phoneticPr fontId="35" type="noConversion"/>
  </si>
  <si>
    <t>403-14-14/
46SA74
46B(A-1)
2026-9-16</t>
    <phoneticPr fontId="35" type="noConversion"/>
  </si>
  <si>
    <t>403-14-13/
46SA41
NONE
2026-9-8</t>
    <phoneticPr fontId="35" type="noConversion"/>
  </si>
  <si>
    <t>403-15-11/
46SA01
NONE
2026-9-15</t>
    <phoneticPr fontId="35" type="noConversion"/>
  </si>
  <si>
    <t>403-16-3/
26SB03
26A(B)
2026-8-27</t>
    <phoneticPr fontId="35" type="noConversion"/>
  </si>
  <si>
    <t>403-8-6/
26HB02
NONE
2026-8-24</t>
    <phoneticPr fontId="35" type="noConversion"/>
  </si>
  <si>
    <t>403-16-10/
46SA06
46A(A-1)
2026-9-8</t>
    <phoneticPr fontId="35" type="noConversion"/>
  </si>
  <si>
    <t>402-2-5/
36SB01
36A(B-1)
2026-10-1</t>
    <phoneticPr fontId="35" type="noConversion"/>
  </si>
  <si>
    <t>402-1-10/
36SB76
NONE
2026-10-1</t>
    <phoneticPr fontId="35" type="noConversion"/>
  </si>
  <si>
    <t>402-1-8/
36SB02
NONE
2026-10-1</t>
    <phoneticPr fontId="35" type="noConversion"/>
  </si>
  <si>
    <t>402-1-1/
36SB73
NONE
2026-10-1</t>
    <phoneticPr fontId="35" type="noConversion"/>
  </si>
  <si>
    <t>402-5-3/
36SB43
36A(B-1)
2026-10-1</t>
    <phoneticPr fontId="35" type="noConversion"/>
  </si>
  <si>
    <t>402-8-12/
26SA02
26A(B-1)
2026-10-1</t>
    <phoneticPr fontId="35" type="noConversion"/>
  </si>
  <si>
    <t>402-9-13/
26SA43
NONE
2026-10-1</t>
    <phoneticPr fontId="35" type="noConversion"/>
  </si>
  <si>
    <t>402-5-9/
36SB05
36A(B-1)
2026-10-1</t>
    <phoneticPr fontId="35" type="noConversion"/>
  </si>
  <si>
    <t>402-5-5/
36SB01
36A(B-1)
2026-10-1</t>
    <phoneticPr fontId="35" type="noConversion"/>
  </si>
  <si>
    <t>402-4-1/
36SB73
36B(B-1)
2026-10-1</t>
    <phoneticPr fontId="35" type="noConversion"/>
  </si>
  <si>
    <t>402-4-8/
36SB01
NONE
2026-10-1</t>
    <phoneticPr fontId="35" type="noConversion"/>
  </si>
  <si>
    <t>403-11-7/
26HB01
26AS(C)
2026-10-1</t>
    <phoneticPr fontId="35" type="noConversion"/>
  </si>
  <si>
    <t>403-9-5/
26HB01
26AS(C)
2026-10-1</t>
    <phoneticPr fontId="35" type="noConversion"/>
  </si>
  <si>
    <t>403-15-2/
26SB04
NONE
2026-10-1</t>
    <phoneticPr fontId="35" type="noConversion"/>
  </si>
  <si>
    <t>반출</t>
    <phoneticPr fontId="35" type="noConversion"/>
  </si>
  <si>
    <t>402-1-9/
36SB05
2026-10-6</t>
    <phoneticPr fontId="35" type="noConversion"/>
  </si>
  <si>
    <t>402-2-7/
36SB01
2026-10-6</t>
    <phoneticPr fontId="35" type="noConversion"/>
  </si>
  <si>
    <t>403-10-5/
26HB01
2026-10-6</t>
    <phoneticPr fontId="35" type="noConversion"/>
  </si>
  <si>
    <t>403-13-8/
26SB62
2026-10-6</t>
    <phoneticPr fontId="35" type="noConversion"/>
  </si>
  <si>
    <t>403-14-1/
26SB73
2026-10-6</t>
    <phoneticPr fontId="35" type="noConversion"/>
  </si>
  <si>
    <t>402-2-4/
36SB42
2026-10-6</t>
    <phoneticPr fontId="35" type="noConversion"/>
  </si>
  <si>
    <t>402-3-7/
36SB01
2026-10-6</t>
    <phoneticPr fontId="35" type="noConversion"/>
  </si>
  <si>
    <t>402-5-4/
36SB42
2026-10-6</t>
    <phoneticPr fontId="35" type="noConversion"/>
  </si>
  <si>
    <t>402-3-9/
36SB05
2026-10-6</t>
    <phoneticPr fontId="35" type="noConversion"/>
  </si>
  <si>
    <t>402-2-6/
36SB02
2026-10-6</t>
    <phoneticPr fontId="35" type="noConversion"/>
  </si>
  <si>
    <t>402-4-7/
36SB01
2026-10-6</t>
    <phoneticPr fontId="35" type="noConversion"/>
  </si>
  <si>
    <t>402-5-8/
36SB02
2026-10-6</t>
    <phoneticPr fontId="35" type="noConversion"/>
  </si>
  <si>
    <t>402-5-7/
36SB01
2026-10-6</t>
    <phoneticPr fontId="35" type="noConversion"/>
  </si>
  <si>
    <t>402-4-9/
36SB05
2026-10-6</t>
    <phoneticPr fontId="35" type="noConversion"/>
  </si>
  <si>
    <t>402-2-9
36SB05
2026-10-6</t>
    <phoneticPr fontId="35" type="noConversion"/>
  </si>
  <si>
    <t>403-12-1/
26SB73
2026-10-6</t>
    <phoneticPr fontId="35" type="noConversion"/>
  </si>
  <si>
    <t>403-13-2/
26SB04
2026-10-6</t>
    <phoneticPr fontId="35" type="noConversion"/>
  </si>
  <si>
    <t>402-4-6/
36SB02
2026-10-6</t>
    <phoneticPr fontId="35" type="noConversion"/>
  </si>
  <si>
    <t>403-14-5/
26SB61
2026-10-6</t>
    <phoneticPr fontId="35" type="noConversion"/>
  </si>
  <si>
    <t>403-8-14/
46SA74
46B(A-1)
2026-8-4</t>
    <phoneticPr fontId="35" type="noConversion"/>
  </si>
  <si>
    <t>402-3-2/
36SB04
2026-10-7</t>
    <phoneticPr fontId="35" type="noConversion"/>
  </si>
  <si>
    <t>402-2-1/
36SB73
2026-10-7</t>
    <phoneticPr fontId="35" type="noConversion"/>
  </si>
  <si>
    <t>402-1-6/
36SB02
2026-10-7</t>
    <phoneticPr fontId="35" type="noConversion"/>
  </si>
  <si>
    <t>402-5-1/
36SB73
2026-10-7</t>
    <phoneticPr fontId="35" type="noConversion"/>
  </si>
  <si>
    <t>403-14-6/
26SB62
2026-10-7</t>
    <phoneticPr fontId="35" type="noConversion"/>
  </si>
  <si>
    <t>403-14-7/
26SB61
2026-10-7</t>
    <phoneticPr fontId="35" type="noConversion"/>
  </si>
  <si>
    <t>402-2-3/
36SB43
2026-10-8</t>
    <phoneticPr fontId="35" type="noConversion"/>
  </si>
  <si>
    <t>402-3-5/
36SB01
2026-10-8</t>
    <phoneticPr fontId="35" type="noConversion"/>
  </si>
  <si>
    <t>402-3-6/
36SB02
2026-10-8</t>
    <phoneticPr fontId="35" type="noConversion"/>
  </si>
  <si>
    <t>402-6-6/
36SB02
2026-10-8</t>
    <phoneticPr fontId="35" type="noConversion"/>
  </si>
  <si>
    <t>402-4-2/
36SB04
2026-10-12</t>
    <phoneticPr fontId="35" type="noConversion"/>
  </si>
  <si>
    <t>402-5-2/
36SB04
2026-10-12</t>
    <phoneticPr fontId="35" type="noConversion"/>
  </si>
  <si>
    <t>402-9-3/
36SB43
2026-10-12</t>
    <phoneticPr fontId="35" type="noConversion"/>
  </si>
  <si>
    <t>402-2-8/
36SB02
2026-10-12</t>
    <phoneticPr fontId="35" type="noConversion"/>
  </si>
  <si>
    <t>402-3-4/
26SB42
2026-10-12</t>
    <phoneticPr fontId="35" type="noConversion"/>
  </si>
  <si>
    <t>403-12-4/
26SB56
2026-10-12</t>
    <phoneticPr fontId="35" type="noConversion"/>
  </si>
  <si>
    <t>403-10-2/
26SA54
2026-10-12</t>
    <phoneticPr fontId="35" type="noConversion"/>
  </si>
  <si>
    <t>403-11-2/
26SB54
2026-10-12</t>
    <phoneticPr fontId="35" type="noConversion"/>
  </si>
  <si>
    <t>403-15-8/
26SB62
2026-10-12</t>
    <phoneticPr fontId="35" type="noConversion"/>
  </si>
  <si>
    <t>403-8-2/
26SB54
206-10-12</t>
    <phoneticPr fontId="35" type="noConversion"/>
  </si>
  <si>
    <t>403-16-2/
26SB04
2026-10-12</t>
    <phoneticPr fontId="35" type="noConversion"/>
  </si>
  <si>
    <t>402-8-4/
26SB42
2026-10-12</t>
    <phoneticPr fontId="35" type="noConversion"/>
  </si>
  <si>
    <t>402-6-2/
36SB04
NONE
2026-4-9</t>
    <phoneticPr fontId="35" type="noConversion"/>
  </si>
  <si>
    <t>C25</t>
  </si>
  <si>
    <t>402-10-3/
36SB43
2026-10-13</t>
    <phoneticPr fontId="35" type="noConversion"/>
  </si>
  <si>
    <t>403-11-1/
26SB73
2026-10-13</t>
    <phoneticPr fontId="35" type="noConversion"/>
  </si>
  <si>
    <t>403-15-1/
26SB73
2026-10-13</t>
    <phoneticPr fontId="35" type="noConversion"/>
  </si>
  <si>
    <t>402-4-3/
36SB43
2026-10-13</t>
    <phoneticPr fontId="35" type="noConversion"/>
  </si>
  <si>
    <t>403-13-1/
26SB73
2026-10-13</t>
    <phoneticPr fontId="35" type="noConversion"/>
  </si>
  <si>
    <t>403-12-7/
26SB51
2026-10-13</t>
    <phoneticPr fontId="35" type="noConversion"/>
  </si>
  <si>
    <t>403-11-6/
26HB02
2026-10-13</t>
    <phoneticPr fontId="35" type="noConversion"/>
  </si>
  <si>
    <t>403-15-9/
46SA75
NONE
2026-9-14</t>
    <phoneticPr fontId="35" type="noConversion"/>
  </si>
  <si>
    <t>403-12-3/
26SB03
2026-10-12</t>
    <phoneticPr fontId="35" type="noConversion"/>
  </si>
  <si>
    <t>403-12-6/
26HB02
2026-10-14</t>
    <phoneticPr fontId="35" type="noConversion"/>
  </si>
  <si>
    <t>403-15-6/
26SB62
2026-10-13</t>
    <phoneticPr fontId="35" type="noConversion"/>
  </si>
  <si>
    <t>402-9-7/
36SB01
2026-10-14</t>
    <phoneticPr fontId="35" type="noConversion"/>
  </si>
  <si>
    <t>402-8-6/
26SB02
2026-10-14</t>
    <phoneticPr fontId="35" type="noConversion"/>
  </si>
  <si>
    <t>402-8-9/
36SB05
2026-10-14</t>
    <phoneticPr fontId="35" type="noConversion"/>
  </si>
  <si>
    <t>403-16-11/
46SA01
NONE
2026-9-1</t>
    <phoneticPr fontId="35" type="noConversion"/>
  </si>
  <si>
    <t>403-16-6/
26SB62
2026-10-6</t>
    <phoneticPr fontId="35" type="noConversion"/>
  </si>
  <si>
    <t>402-6-3/
36SB43
2026-10-13</t>
    <phoneticPr fontId="35" type="noConversion"/>
  </si>
  <si>
    <t>402-3-3/
36SB43
2026-10-13</t>
    <phoneticPr fontId="35" type="noConversion"/>
  </si>
  <si>
    <t>403-7-1/
26SB73
36B(B-1)
2026-10-1</t>
    <phoneticPr fontId="35" type="noConversion"/>
  </si>
  <si>
    <t>401-12-13/
26SA03
NONE
2026-5-28</t>
    <phoneticPr fontId="35" type="noConversion"/>
  </si>
  <si>
    <t>401-16-13/
26SA03
NONE
2026-6-1</t>
    <phoneticPr fontId="35" type="noConversion"/>
  </si>
  <si>
    <t>402-1-4/
36SB42
2026-10-15</t>
    <phoneticPr fontId="35" type="noConversion"/>
  </si>
  <si>
    <t>403-16-5
26SB61
2026-10-15</t>
    <phoneticPr fontId="35" type="noConversion"/>
  </si>
  <si>
    <t>403-16-4/
26SB68
2026-10-19</t>
    <phoneticPr fontId="35" type="noConversion"/>
  </si>
  <si>
    <t>403-13-3/
26SB03
2026-10-19</t>
    <phoneticPr fontId="35" type="noConversion"/>
  </si>
  <si>
    <t>402-11-11/
26SA01
2026-10-19</t>
    <phoneticPr fontId="35" type="noConversion"/>
  </si>
  <si>
    <t>402-7-8/
36SB02
2026-10-19</t>
    <phoneticPr fontId="35" type="noConversion"/>
  </si>
  <si>
    <t>402-1-5/
36SB01
2026-10-19</t>
    <phoneticPr fontId="35" type="noConversion"/>
  </si>
  <si>
    <t>402-9-2/
36SB04
2026-10-19</t>
    <phoneticPr fontId="35" type="noConversion"/>
  </si>
  <si>
    <t>402-10-2/
36SB04
2026-10-9</t>
    <phoneticPr fontId="35" type="noConversion"/>
  </si>
  <si>
    <t>402-14-3/
36SB43
2026-10-19</t>
    <phoneticPr fontId="35" type="noConversion"/>
  </si>
  <si>
    <t>402-8-1/
36SB73
2026-10-19</t>
    <phoneticPr fontId="35" type="noConversion"/>
  </si>
  <si>
    <t>403-14-4/
26SB68
2026-10-19</t>
    <phoneticPr fontId="35" type="noConversion"/>
  </si>
  <si>
    <t>402-8-2/
36SB04
2026-10-19</t>
    <phoneticPr fontId="35" type="noConversion"/>
  </si>
  <si>
    <t>402-9-12/
26SA02
2026-10-19</t>
    <phoneticPr fontId="35" type="noConversion"/>
  </si>
  <si>
    <t>403-12-8/
26SB62
2026-10-15</t>
    <phoneticPr fontId="35" type="noConversion"/>
  </si>
  <si>
    <t>402-16-3/
36SB43
2026-10-19</t>
    <phoneticPr fontId="35" type="noConversion"/>
  </si>
  <si>
    <t>403-15-4/
26SB68
2026-10-19</t>
    <phoneticPr fontId="35" type="noConversion"/>
  </si>
  <si>
    <t>402-8-11/
26SA01
2026-10-19</t>
    <phoneticPr fontId="35" type="noConversion"/>
  </si>
  <si>
    <t>403-13-4/
26SB68
2026-10-19</t>
    <phoneticPr fontId="35" type="noConversion"/>
  </si>
  <si>
    <t>403-12-5/
26HB01
2026-10-13</t>
    <phoneticPr fontId="35" type="noConversion"/>
  </si>
  <si>
    <t>402-12-12/
26SA02
2026-10-20</t>
    <phoneticPr fontId="35" type="noConversion"/>
  </si>
  <si>
    <t>402-6-8/
36SB02
2026-10-20</t>
    <phoneticPr fontId="35" type="noConversion"/>
  </si>
  <si>
    <t>402-6-7/
36SB01
2026-10-19</t>
    <phoneticPr fontId="35" type="noConversion"/>
  </si>
  <si>
    <t>402-8-13/
26SA43
2026-10-20</t>
    <phoneticPr fontId="35" type="noConversion"/>
  </si>
  <si>
    <t>402-6-5/
36SB01
2026-10-20</t>
    <phoneticPr fontId="35" type="noConversion"/>
  </si>
  <si>
    <t>402-17-3/
36SB43
2026-10-20</t>
    <phoneticPr fontId="35" type="noConversion"/>
  </si>
  <si>
    <t>402-12-13/
36SA43
2026-10-20</t>
    <phoneticPr fontId="35" type="noConversion"/>
  </si>
  <si>
    <t>402-12-10/
36SB76
2026-10-20</t>
    <phoneticPr fontId="35" type="noConversion"/>
  </si>
  <si>
    <t>402-7-5/
36SB01
2026-10-20</t>
    <phoneticPr fontId="3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</si>
</sst>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.0_-;\-* #,##0.0_-;_-* &quot;-&quot;_-;_-@_-"/>
    <numFmt numFmtId="177" formatCode="_-* #,##0.00_-;\-* #,##0.00_-;_-* &quot;-&quot;_-;_-@_-"/>
    <numFmt numFmtId="178" formatCode="#,##0.0_ "/>
    <numFmt numFmtId="179" formatCode="mm&quot;월&quot;\ dd&quot;일&quot;"/>
    <numFmt numFmtId="180" formatCode="0_);[Red]\(0\)"/>
  </numFmts>
  <fonts count="79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72"/>
      <color rgb="FF000000"/>
      <name val="맑은 고딕"/>
      <family val="3"/>
      <charset val="129"/>
    </font>
    <font>
      <sz val="72"/>
      <color rgb="FF00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sz val="11"/>
      <color rgb="FF000000"/>
      <name val="함초롬돋움"/>
      <family val="3"/>
      <charset val="129"/>
    </font>
    <font>
      <b/>
      <sz val="24"/>
      <color rgb="FF00000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sz val="26"/>
      <color rgb="FF000000"/>
      <name val="맑은 고딕"/>
      <family val="3"/>
      <charset val="129"/>
    </font>
    <font>
      <sz val="36"/>
      <color rgb="FF000000"/>
      <name val="맑은 고딕"/>
      <family val="3"/>
      <charset val="129"/>
    </font>
    <font>
      <b/>
      <sz val="24"/>
      <color rgb="FF0070C0"/>
      <name val="맑은 고딕"/>
      <family val="3"/>
      <charset val="129"/>
    </font>
    <font>
      <sz val="14"/>
      <color rgb="FF000000"/>
      <name val="맑은 고딕"/>
      <family val="3"/>
      <charset val="129"/>
    </font>
    <font>
      <b/>
      <sz val="22"/>
      <color rgb="FF000000"/>
      <name val="맑은 고딕"/>
      <family val="3"/>
      <charset val="129"/>
    </font>
    <font>
      <b/>
      <sz val="24"/>
      <color rgb="FFFF0000"/>
      <name val="맑은 고딕"/>
      <family val="3"/>
      <charset val="129"/>
    </font>
    <font>
      <sz val="28"/>
      <color rgb="FF000000"/>
      <name val="맑은 고딕"/>
      <family val="3"/>
      <charset val="129"/>
    </font>
    <font>
      <b/>
      <sz val="28"/>
      <color rgb="FF000000"/>
      <name val="맑은 고딕"/>
      <family val="3"/>
      <charset val="129"/>
    </font>
    <font>
      <b/>
      <sz val="26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28"/>
      <color rgb="FF0070C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sz val="48"/>
      <color rgb="FF000000"/>
      <name val="맑은 고딕"/>
      <family val="3"/>
      <charset val="129"/>
    </font>
    <font>
      <b/>
      <sz val="28"/>
      <color rgb="FFFF0000"/>
      <name val="맑은 고딕"/>
      <family val="3"/>
      <charset val="129"/>
    </font>
    <font>
      <b/>
      <sz val="100"/>
      <color rgb="FF000000"/>
      <name val="맑은 고딕"/>
      <family val="3"/>
      <charset val="129"/>
    </font>
    <font>
      <b/>
      <sz val="14"/>
      <color rgb="FFFF0000"/>
      <name val="맑은 고딕"/>
      <family val="3"/>
      <charset val="129"/>
    </font>
    <font>
      <b/>
      <u/>
      <sz val="14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b/>
      <sz val="150"/>
      <color rgb="FF000000"/>
      <name val="맑은 고딕"/>
      <family val="3"/>
      <charset val="129"/>
    </font>
    <font>
      <b/>
      <sz val="72"/>
      <color rgb="FFFF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24"/>
      <name val="맑은 고딕"/>
      <family val="3"/>
      <charset val="129"/>
    </font>
    <font>
      <b/>
      <sz val="28"/>
      <color rgb="FF002060"/>
      <name val="맑은 고딕"/>
      <family val="3"/>
      <charset val="129"/>
    </font>
    <font>
      <b/>
      <sz val="18"/>
      <color rgb="FFFF0000"/>
      <name val="맑은 고딕"/>
      <family val="3"/>
      <charset val="129"/>
    </font>
    <font>
      <b/>
      <sz val="26"/>
      <color rgb="FFFFFFFF"/>
      <name val="맑은 고딕"/>
      <family val="3"/>
      <charset val="129"/>
    </font>
    <font>
      <b/>
      <sz val="28"/>
      <color rgb="FFFFFFFF"/>
      <name val="맑은 고딕"/>
      <family val="3"/>
      <charset val="129"/>
    </font>
    <font>
      <b/>
      <sz val="48"/>
      <color theme="0"/>
      <name val="맑은 고딕"/>
      <family val="3"/>
      <charset val="129"/>
    </font>
    <font>
      <b/>
      <sz val="48"/>
      <color rgb="FFFF0000"/>
      <name val="맑은 고딕"/>
      <family val="3"/>
      <charset val="129"/>
    </font>
    <font>
      <b/>
      <sz val="36"/>
      <name val="맑은 고딕"/>
      <family val="3"/>
      <charset val="129"/>
    </font>
    <font>
      <b/>
      <sz val="48"/>
      <name val="맑은 고딕"/>
      <family val="3"/>
      <charset val="129"/>
    </font>
    <font>
      <sz val="120"/>
      <color rgb="FF000000"/>
      <name val="맑은 고딕"/>
      <family val="3"/>
      <charset val="129"/>
    </font>
    <font>
      <sz val="78"/>
      <color rgb="FF000000"/>
      <name val="맑은 고딕"/>
      <family val="3"/>
      <charset val="129"/>
    </font>
    <font>
      <b/>
      <sz val="78"/>
      <color rgb="FF000000"/>
      <name val="맑은 고딕"/>
      <family val="3"/>
      <charset val="129"/>
    </font>
    <font>
      <b/>
      <sz val="22"/>
      <name val="맑은 고딕"/>
      <family val="3"/>
      <charset val="129"/>
    </font>
    <font>
      <sz val="22"/>
      <color rgb="FF000000"/>
      <name val="맑은 고딕"/>
      <family val="3"/>
      <charset val="129"/>
    </font>
    <font>
      <b/>
      <sz val="72"/>
      <color rgb="FFFFFFFF"/>
      <name val="맑은 고딕"/>
      <family val="3"/>
      <charset val="129"/>
    </font>
    <font>
      <sz val="24"/>
      <color rgb="FFFF0000"/>
      <name val="맑은 고딕"/>
      <family val="3"/>
      <charset val="129"/>
    </font>
    <font>
      <sz val="24"/>
      <color rgb="FF000000"/>
      <name val="맑은 고딕"/>
      <family val="3"/>
      <charset val="129"/>
    </font>
    <font>
      <b/>
      <sz val="144"/>
      <color rgb="FF000000"/>
      <name val="맑은 고딕"/>
      <family val="3"/>
      <charset val="129"/>
    </font>
    <font>
      <b/>
      <sz val="24"/>
      <color rgb="FFFFFFFF"/>
      <name val="맑은 고딕"/>
      <family val="3"/>
      <charset val="129"/>
    </font>
    <font>
      <b/>
      <sz val="46"/>
      <color rgb="FF000000"/>
      <name val="맑은 고딕"/>
      <family val="3"/>
      <charset val="129"/>
    </font>
    <font>
      <b/>
      <sz val="20"/>
      <name val="맑은 고딕"/>
      <family val="3"/>
      <charset val="129"/>
    </font>
    <font>
      <b/>
      <sz val="28"/>
      <name val="맑은 고딕"/>
      <family val="3"/>
      <charset val="129"/>
    </font>
    <font>
      <b/>
      <sz val="90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b/>
      <sz val="19"/>
      <color rgb="FF000000"/>
      <name val="맑은 고딕"/>
      <family val="3"/>
      <charset val="129"/>
    </font>
    <font>
      <b/>
      <sz val="26"/>
      <name val="맑은 고딕"/>
      <family val="3"/>
      <charset val="129"/>
    </font>
    <font>
      <b/>
      <sz val="18"/>
      <name val="맑은 고딕"/>
      <family val="3"/>
      <charset val="129"/>
    </font>
    <font>
      <b/>
      <sz val="19"/>
      <name val="맑은 고딕"/>
      <family val="3"/>
      <charset val="129"/>
    </font>
    <font>
      <b/>
      <sz val="60"/>
      <color rgb="FF000000"/>
      <name val="맑은 고딕"/>
      <family val="3"/>
      <charset val="129"/>
    </font>
    <font>
      <b/>
      <sz val="46"/>
      <name val="맑은 고딕"/>
      <family val="3"/>
      <charset val="129"/>
    </font>
    <font>
      <b/>
      <sz val="120"/>
      <color rgb="FF000000"/>
      <name val="맑은 고딕"/>
      <family val="3"/>
      <charset val="129"/>
    </font>
    <font>
      <b/>
      <sz val="37"/>
      <color rgb="FF000000"/>
      <name val="맑은 고딕"/>
      <family val="3"/>
      <charset val="129"/>
    </font>
    <font>
      <sz val="46"/>
      <color rgb="FF000000"/>
      <name val="맑은 고딕"/>
      <family val="3"/>
      <charset val="129"/>
    </font>
    <font>
      <b/>
      <sz val="37"/>
      <name val="맑은 고딕"/>
      <family val="3"/>
      <charset val="129"/>
    </font>
    <font>
      <b/>
      <sz val="72"/>
      <name val="맑은 고딕"/>
      <family val="3"/>
      <charset val="129"/>
    </font>
    <font>
      <b/>
      <sz val="40"/>
      <name val="맑은 고딕"/>
      <family val="3"/>
      <charset val="129"/>
    </font>
    <font>
      <b/>
      <sz val="42"/>
      <name val="맑은 고딕"/>
      <family val="3"/>
      <charset val="129"/>
    </font>
    <font>
      <sz val="11"/>
      <color theme="1"/>
      <name val="맑은 고딕"/>
      <family val="2"/>
      <scheme val="minor"/>
    </font>
    <font>
      <b/>
      <sz val="40"/>
      <color rgb="FFFF0000"/>
      <name val="맑은 고딕"/>
      <family val="3"/>
      <charset val="129"/>
    </font>
    <font>
      <b/>
      <sz val="52"/>
      <color rgb="FF000000"/>
      <name val="맑은 고딕"/>
      <family val="3"/>
      <charset val="129"/>
    </font>
    <font>
      <b/>
      <sz val="70"/>
      <color rgb="FF000000"/>
      <name val="맑은 고딕"/>
      <family val="3"/>
      <charset val="129"/>
    </font>
    <font>
      <b/>
      <sz val="40"/>
      <color rgb="FF000000"/>
      <name val="맑은 고딕"/>
      <family val="3"/>
      <charset val="129"/>
    </font>
    <font>
      <b/>
      <sz val="70"/>
      <name val="맑은 고딕"/>
      <family val="3"/>
      <charset val="129"/>
    </font>
  </fonts>
  <fills count="37">
    <fill>
      <patternFill patternType="none"/>
    </fill>
    <fill>
      <patternFill patternType="gray125"/>
    </fill>
    <fill>
      <patternFill patternType="solid">
        <fgColor rgb="FFC6E0B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7DDE4"/>
        <bgColor indexed="64"/>
      </patternFill>
    </fill>
    <fill>
      <patternFill patternType="solid">
        <fgColor rgb="FFFBE5D7"/>
        <bgColor indexed="64"/>
      </patternFill>
    </fill>
    <fill>
      <patternFill patternType="solid">
        <fgColor rgb="FFF8CBA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3B383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</fills>
  <borders count="11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indexed="64"/>
      </left>
      <right style="mediumDashed">
        <color indexed="64"/>
      </right>
      <top style="thin">
        <color indexed="64"/>
      </top>
      <bottom style="mediumDashed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dashed">
        <color indexed="64"/>
      </left>
      <right/>
      <top/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dashed">
        <color indexed="64"/>
      </right>
      <top/>
      <bottom/>
      <diagonal/>
    </border>
    <border diagonalUp="1" diagonalDown="1"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 style="medium">
        <color indexed="64"/>
      </diagonal>
    </border>
  </borders>
  <cellStyleXfs count="22">
    <xf numFmtId="0" fontId="0" fillId="0" borderId="0">
      <alignment vertical="center"/>
    </xf>
    <xf numFmtId="41" fontId="34" fillId="0" borderId="0">
      <alignment vertical="center"/>
    </xf>
    <xf numFmtId="9" fontId="34" fillId="0" borderId="0">
      <alignment vertical="center"/>
    </xf>
    <xf numFmtId="41" fontId="34" fillId="0" borderId="0">
      <alignment vertical="center"/>
    </xf>
    <xf numFmtId="0" fontId="34" fillId="0" borderId="0">
      <alignment vertical="center"/>
    </xf>
    <xf numFmtId="0" fontId="2" fillId="0" borderId="0">
      <alignment vertical="center"/>
    </xf>
    <xf numFmtId="0" fontId="34" fillId="0" borderId="0">
      <alignment vertical="center"/>
    </xf>
    <xf numFmtId="41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73" fillId="0" borderId="0"/>
  </cellStyleXfs>
  <cellXfs count="118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3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0" fillId="0" borderId="3" xfId="0" applyBorder="1" applyAlignment="1">
      <alignment horizontal="center" vertical="center"/>
    </xf>
    <xf numFmtId="0" fontId="0" fillId="4" borderId="0" xfId="0" applyFill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4" fillId="0" borderId="0" xfId="0" applyFont="1">
      <alignment vertical="center"/>
    </xf>
    <xf numFmtId="0" fontId="4" fillId="0" borderId="3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>
      <alignment vertical="center"/>
    </xf>
    <xf numFmtId="0" fontId="0" fillId="0" borderId="5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1" fontId="34" fillId="0" borderId="0" xfId="1">
      <alignment vertical="center"/>
    </xf>
    <xf numFmtId="41" fontId="4" fillId="0" borderId="0" xfId="1" applyFont="1">
      <alignment vertical="center"/>
    </xf>
    <xf numFmtId="177" fontId="34" fillId="0" borderId="0" xfId="1" applyNumberFormat="1">
      <alignment vertical="center"/>
    </xf>
    <xf numFmtId="9" fontId="0" fillId="0" borderId="0" xfId="0" applyNumberFormat="1">
      <alignment vertical="center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vertical="center" textRotation="255"/>
    </xf>
    <xf numFmtId="0" fontId="0" fillId="0" borderId="3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0" fillId="0" borderId="0" xfId="0" quotePrefix="1">
      <alignment vertical="center"/>
    </xf>
    <xf numFmtId="0" fontId="5" fillId="0" borderId="5" xfId="0" applyFont="1" applyBorder="1" applyAlignment="1">
      <alignment vertical="center" textRotation="255"/>
    </xf>
    <xf numFmtId="0" fontId="4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vertical="center" textRotation="255"/>
    </xf>
    <xf numFmtId="0" fontId="9" fillId="6" borderId="8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34" fillId="0" borderId="0" xfId="4">
      <alignment vertical="center"/>
    </xf>
    <xf numFmtId="0" fontId="34" fillId="0" borderId="0" xfId="4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9" fontId="34" fillId="9" borderId="3" xfId="2" applyFill="1" applyBorder="1" applyAlignment="1">
      <alignment horizontal="center" vertical="center"/>
    </xf>
    <xf numFmtId="176" fontId="3" fillId="0" borderId="3" xfId="1" applyNumberFormat="1" applyFont="1" applyBorder="1" applyAlignment="1">
      <alignment horizontal="center" vertical="center"/>
    </xf>
    <xf numFmtId="0" fontId="4" fillId="0" borderId="0" xfId="4" applyFont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9" fontId="4" fillId="9" borderId="3" xfId="2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11" fillId="5" borderId="4" xfId="0" applyFont="1" applyFill="1" applyBorder="1">
      <alignment vertical="center"/>
    </xf>
    <xf numFmtId="0" fontId="11" fillId="5" borderId="11" xfId="0" applyFont="1" applyFill="1" applyBorder="1">
      <alignment vertical="center"/>
    </xf>
    <xf numFmtId="0" fontId="11" fillId="5" borderId="6" xfId="0" applyFont="1" applyFill="1" applyBorder="1">
      <alignment vertical="center"/>
    </xf>
    <xf numFmtId="0" fontId="4" fillId="0" borderId="4" xfId="0" applyFont="1" applyBorder="1">
      <alignment vertical="center"/>
    </xf>
    <xf numFmtId="0" fontId="4" fillId="3" borderId="4" xfId="0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4" fillId="7" borderId="17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34" fillId="0" borderId="7" xfId="1" applyNumberFormat="1" applyBorder="1">
      <alignment vertical="center"/>
    </xf>
    <xf numFmtId="41" fontId="34" fillId="0" borderId="16" xfId="1" applyBorder="1">
      <alignment vertical="center"/>
    </xf>
    <xf numFmtId="14" fontId="0" fillId="0" borderId="3" xfId="0" applyNumberForma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0" fontId="34" fillId="0" borderId="0" xfId="11">
      <alignment vertical="center"/>
    </xf>
    <xf numFmtId="14" fontId="14" fillId="0" borderId="0" xfId="11" applyNumberFormat="1" applyFont="1" applyAlignment="1">
      <alignment horizontal="center" vertical="center"/>
    </xf>
    <xf numFmtId="0" fontId="8" fillId="0" borderId="0" xfId="11" applyFont="1">
      <alignment vertical="center"/>
    </xf>
    <xf numFmtId="0" fontId="13" fillId="0" borderId="0" xfId="11" applyFo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1" fillId="5" borderId="7" xfId="0" applyFont="1" applyFill="1" applyBorder="1">
      <alignment vertical="center"/>
    </xf>
    <xf numFmtId="0" fontId="9" fillId="0" borderId="26" xfId="0" applyFont="1" applyBorder="1" applyAlignment="1">
      <alignment horizontal="center" vertical="center"/>
    </xf>
    <xf numFmtId="0" fontId="18" fillId="0" borderId="0" xfId="0" applyFont="1">
      <alignment vertical="center"/>
    </xf>
    <xf numFmtId="9" fontId="19" fillId="0" borderId="0" xfId="1" applyNumberFormat="1" applyFont="1">
      <alignment vertical="center"/>
    </xf>
    <xf numFmtId="9" fontId="0" fillId="0" borderId="25" xfId="0" applyNumberFormat="1" applyBorder="1" applyAlignment="1">
      <alignment horizontal="center" vertical="center"/>
    </xf>
    <xf numFmtId="9" fontId="11" fillId="0" borderId="27" xfId="0" applyNumberFormat="1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1" fillId="5" borderId="28" xfId="0" applyFont="1" applyFill="1" applyBorder="1">
      <alignment vertical="center"/>
    </xf>
    <xf numFmtId="0" fontId="19" fillId="6" borderId="29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 wrapText="1"/>
    </xf>
    <xf numFmtId="0" fontId="0" fillId="0" borderId="30" xfId="0" applyBorder="1">
      <alignment vertical="center"/>
    </xf>
    <xf numFmtId="0" fontId="3" fillId="3" borderId="31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9" fontId="0" fillId="3" borderId="32" xfId="0" applyNumberFormat="1" applyFill="1" applyBorder="1" applyAlignment="1">
      <alignment horizontal="center" vertical="center"/>
    </xf>
    <xf numFmtId="9" fontId="0" fillId="0" borderId="3" xfId="0" applyNumberFormat="1" applyBorder="1" applyAlignment="1">
      <alignment horizontal="center" vertical="center"/>
    </xf>
    <xf numFmtId="176" fontId="3" fillId="14" borderId="3" xfId="0" applyNumberFormat="1" applyFont="1" applyFill="1" applyBorder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0" fontId="4" fillId="3" borderId="1" xfId="0" applyFont="1" applyFill="1" applyBorder="1">
      <alignment vertical="center"/>
    </xf>
    <xf numFmtId="0" fontId="34" fillId="0" borderId="0" xfId="13">
      <alignment vertical="center"/>
    </xf>
    <xf numFmtId="0" fontId="8" fillId="0" borderId="0" xfId="13" applyFont="1">
      <alignment vertical="center"/>
    </xf>
    <xf numFmtId="0" fontId="8" fillId="0" borderId="5" xfId="13" applyFont="1" applyBorder="1" applyAlignment="1">
      <alignment horizontal="center" vertical="center"/>
    </xf>
    <xf numFmtId="0" fontId="4" fillId="15" borderId="3" xfId="13" applyFont="1" applyFill="1" applyBorder="1" applyAlignment="1">
      <alignment horizontal="center" vertical="center" wrapText="1"/>
    </xf>
    <xf numFmtId="0" fontId="8" fillId="0" borderId="3" xfId="13" applyFont="1" applyBorder="1" applyAlignment="1">
      <alignment horizontal="center" vertical="center" wrapText="1"/>
    </xf>
    <xf numFmtId="0" fontId="3" fillId="15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0" borderId="0" xfId="13" applyFont="1" applyAlignment="1">
      <alignment horizontal="center" vertical="center" wrapText="1"/>
    </xf>
    <xf numFmtId="0" fontId="3" fillId="0" borderId="5" xfId="13" applyFont="1" applyBorder="1" applyAlignment="1">
      <alignment horizontal="center" vertical="center"/>
    </xf>
    <xf numFmtId="0" fontId="34" fillId="0" borderId="0" xfId="13" applyAlignment="1">
      <alignment horizontal="center" vertical="center"/>
    </xf>
    <xf numFmtId="0" fontId="34" fillId="0" borderId="0" xfId="13" applyAlignment="1">
      <alignment horizontal="center" vertical="center" wrapText="1"/>
    </xf>
    <xf numFmtId="0" fontId="3" fillId="0" borderId="11" xfId="13" applyFont="1" applyBorder="1" applyAlignment="1">
      <alignment horizontal="center" vertical="center" wrapText="1"/>
    </xf>
    <xf numFmtId="0" fontId="34" fillId="0" borderId="7" xfId="13" applyBorder="1" applyAlignment="1">
      <alignment horizontal="center" vertical="center" wrapText="1"/>
    </xf>
    <xf numFmtId="0" fontId="13" fillId="0" borderId="0" xfId="13" applyFont="1">
      <alignment vertical="center"/>
    </xf>
    <xf numFmtId="0" fontId="13" fillId="0" borderId="37" xfId="13" applyFont="1" applyBorder="1" applyAlignment="1">
      <alignment horizontal="center" vertical="center"/>
    </xf>
    <xf numFmtId="0" fontId="13" fillId="0" borderId="5" xfId="13" applyFont="1" applyBorder="1" applyAlignment="1">
      <alignment horizontal="center" vertical="center"/>
    </xf>
    <xf numFmtId="0" fontId="13" fillId="0" borderId="38" xfId="13" applyFont="1" applyBorder="1" applyAlignment="1">
      <alignment horizontal="center" vertical="center"/>
    </xf>
    <xf numFmtId="0" fontId="4" fillId="0" borderId="33" xfId="13" applyFont="1" applyBorder="1" applyAlignment="1">
      <alignment horizontal="center" vertical="center" wrapText="1"/>
    </xf>
    <xf numFmtId="0" fontId="4" fillId="15" borderId="1" xfId="13" applyFont="1" applyFill="1" applyBorder="1" applyAlignment="1">
      <alignment horizontal="center" vertical="center" wrapText="1"/>
    </xf>
    <xf numFmtId="0" fontId="0" fillId="3" borderId="0" xfId="0" applyFill="1">
      <alignment vertical="center"/>
    </xf>
    <xf numFmtId="0" fontId="4" fillId="0" borderId="12" xfId="13" applyFont="1" applyBorder="1" applyAlignment="1">
      <alignment horizontal="center" vertical="center" wrapText="1"/>
    </xf>
    <xf numFmtId="0" fontId="3" fillId="16" borderId="3" xfId="0" applyFont="1" applyFill="1" applyBorder="1" applyAlignment="1">
      <alignment horizontal="center" vertical="center" wrapText="1"/>
    </xf>
    <xf numFmtId="0" fontId="4" fillId="16" borderId="3" xfId="0" applyFont="1" applyFill="1" applyBorder="1" applyAlignment="1">
      <alignment horizontal="center" vertical="center" wrapText="1"/>
    </xf>
    <xf numFmtId="0" fontId="3" fillId="16" borderId="1" xfId="13" applyFont="1" applyFill="1" applyBorder="1" applyAlignment="1">
      <alignment horizontal="center" vertical="center" wrapText="1"/>
    </xf>
    <xf numFmtId="0" fontId="3" fillId="16" borderId="3" xfId="13" applyFont="1" applyFill="1" applyBorder="1" applyAlignment="1">
      <alignment horizontal="center" vertical="center" wrapText="1"/>
    </xf>
    <xf numFmtId="0" fontId="4" fillId="16" borderId="3" xfId="13" applyFont="1" applyFill="1" applyBorder="1" applyAlignment="1">
      <alignment horizontal="center" vertical="center" wrapText="1"/>
    </xf>
    <xf numFmtId="0" fontId="3" fillId="3" borderId="3" xfId="13" applyFont="1" applyFill="1" applyBorder="1" applyAlignment="1">
      <alignment horizontal="center" vertical="center" wrapText="1"/>
    </xf>
    <xf numFmtId="0" fontId="4" fillId="3" borderId="0" xfId="13" applyFont="1" applyFill="1" applyAlignment="1">
      <alignment horizontal="center" vertical="center" wrapText="1"/>
    </xf>
    <xf numFmtId="0" fontId="4" fillId="3" borderId="0" xfId="0" applyFont="1" applyFill="1">
      <alignment vertical="center"/>
    </xf>
    <xf numFmtId="0" fontId="3" fillId="16" borderId="1" xfId="0" applyFont="1" applyFill="1" applyBorder="1" applyAlignment="1">
      <alignment horizontal="center" vertical="center" wrapText="1"/>
    </xf>
    <xf numFmtId="0" fontId="4" fillId="3" borderId="3" xfId="4" applyFont="1" applyFill="1" applyBorder="1">
      <alignment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3" xfId="14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46" xfId="0" applyFont="1" applyFill="1" applyBorder="1" applyAlignment="1">
      <alignment horizontal="center" vertical="center" wrapText="1"/>
    </xf>
    <xf numFmtId="0" fontId="8" fillId="3" borderId="0" xfId="13" applyFont="1" applyFill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1" xfId="13" applyFont="1" applyFill="1" applyBorder="1" applyAlignment="1">
      <alignment horizontal="center" vertical="center" wrapText="1"/>
    </xf>
    <xf numFmtId="0" fontId="13" fillId="0" borderId="0" xfId="13" applyFont="1" applyAlignment="1">
      <alignment horizontal="center" vertical="center"/>
    </xf>
    <xf numFmtId="0" fontId="3" fillId="0" borderId="0" xfId="13" applyFont="1" applyAlignment="1">
      <alignment horizontal="center" vertical="center" wrapText="1"/>
    </xf>
    <xf numFmtId="0" fontId="3" fillId="0" borderId="12" xfId="13" applyFont="1" applyBorder="1" applyAlignment="1">
      <alignment horizontal="center" vertical="center" wrapText="1"/>
    </xf>
    <xf numFmtId="0" fontId="3" fillId="15" borderId="3" xfId="13" applyFont="1" applyFill="1" applyBorder="1" applyAlignment="1">
      <alignment horizontal="center" vertical="center" wrapText="1"/>
    </xf>
    <xf numFmtId="0" fontId="3" fillId="0" borderId="47" xfId="13" applyFont="1" applyBorder="1" applyAlignment="1">
      <alignment horizontal="center" vertical="center" wrapText="1"/>
    </xf>
    <xf numFmtId="0" fontId="3" fillId="0" borderId="48" xfId="13" applyFont="1" applyBorder="1" applyAlignment="1">
      <alignment horizontal="center" vertical="center" wrapText="1"/>
    </xf>
    <xf numFmtId="0" fontId="3" fillId="0" borderId="0" xfId="13" applyFont="1" applyAlignment="1">
      <alignment horizontal="center" vertical="center"/>
    </xf>
    <xf numFmtId="0" fontId="8" fillId="0" borderId="0" xfId="13" applyFont="1" applyAlignment="1">
      <alignment horizontal="center" vertical="center"/>
    </xf>
    <xf numFmtId="0" fontId="8" fillId="0" borderId="37" xfId="13" applyFont="1" applyBorder="1" applyAlignment="1">
      <alignment horizontal="center" vertical="center"/>
    </xf>
    <xf numFmtId="0" fontId="8" fillId="0" borderId="38" xfId="13" applyFont="1" applyBorder="1" applyAlignment="1">
      <alignment horizontal="center" vertical="center"/>
    </xf>
    <xf numFmtId="0" fontId="8" fillId="0" borderId="12" xfId="13" applyFont="1" applyBorder="1" applyAlignment="1">
      <alignment horizontal="center" vertical="center"/>
    </xf>
    <xf numFmtId="0" fontId="8" fillId="0" borderId="48" xfId="13" applyFont="1" applyBorder="1" applyAlignment="1">
      <alignment horizontal="center" vertical="center"/>
    </xf>
    <xf numFmtId="0" fontId="34" fillId="15" borderId="3" xfId="13" applyFill="1" applyBorder="1" applyAlignment="1">
      <alignment horizontal="center" vertical="center"/>
    </xf>
    <xf numFmtId="0" fontId="34" fillId="0" borderId="12" xfId="13" applyBorder="1" applyAlignment="1">
      <alignment horizontal="center" vertical="center"/>
    </xf>
    <xf numFmtId="0" fontId="3" fillId="0" borderId="48" xfId="13" applyFont="1" applyBorder="1" applyAlignment="1">
      <alignment horizontal="center" vertical="center"/>
    </xf>
    <xf numFmtId="0" fontId="3" fillId="15" borderId="3" xfId="13" applyFont="1" applyFill="1" applyBorder="1" applyAlignment="1">
      <alignment horizontal="center" vertical="center"/>
    </xf>
    <xf numFmtId="0" fontId="34" fillId="0" borderId="48" xfId="13" applyBorder="1" applyAlignment="1">
      <alignment horizontal="center" vertical="center"/>
    </xf>
    <xf numFmtId="0" fontId="3" fillId="0" borderId="33" xfId="13" applyFont="1" applyBorder="1" applyAlignment="1">
      <alignment horizontal="center" vertical="center"/>
    </xf>
    <xf numFmtId="0" fontId="34" fillId="3" borderId="12" xfId="13" applyFill="1" applyBorder="1" applyAlignment="1">
      <alignment horizontal="center" vertical="center"/>
    </xf>
    <xf numFmtId="0" fontId="34" fillId="3" borderId="0" xfId="13" applyFill="1" applyAlignment="1">
      <alignment horizontal="center" vertical="center"/>
    </xf>
    <xf numFmtId="0" fontId="34" fillId="0" borderId="49" xfId="13" applyBorder="1" applyAlignment="1">
      <alignment horizontal="center" vertical="center"/>
    </xf>
    <xf numFmtId="0" fontId="34" fillId="0" borderId="11" xfId="13" applyBorder="1" applyAlignment="1">
      <alignment horizontal="center" vertical="center"/>
    </xf>
    <xf numFmtId="0" fontId="26" fillId="0" borderId="11" xfId="13" applyFont="1" applyBorder="1" applyAlignment="1">
      <alignment horizontal="center" vertical="center"/>
    </xf>
    <xf numFmtId="0" fontId="4" fillId="0" borderId="48" xfId="13" applyFont="1" applyBorder="1" applyAlignment="1">
      <alignment horizontal="center" vertical="center"/>
    </xf>
    <xf numFmtId="0" fontId="3" fillId="0" borderId="14" xfId="13" applyFont="1" applyBorder="1" applyAlignment="1">
      <alignment horizontal="center" vertical="center"/>
    </xf>
    <xf numFmtId="0" fontId="3" fillId="0" borderId="14" xfId="13" applyFont="1" applyBorder="1" applyAlignment="1">
      <alignment horizontal="center" vertical="center" wrapText="1"/>
    </xf>
    <xf numFmtId="0" fontId="34" fillId="0" borderId="14" xfId="13" applyBorder="1" applyAlignment="1">
      <alignment horizontal="center" vertical="center" wrapText="1"/>
    </xf>
    <xf numFmtId="0" fontId="4" fillId="0" borderId="0" xfId="13" applyFont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11" fillId="3" borderId="50" xfId="13" applyFont="1" applyFill="1" applyBorder="1">
      <alignment vertical="center"/>
    </xf>
    <xf numFmtId="0" fontId="11" fillId="3" borderId="7" xfId="13" applyFont="1" applyFill="1" applyBorder="1">
      <alignment vertical="center"/>
    </xf>
    <xf numFmtId="0" fontId="3" fillId="0" borderId="0" xfId="0" applyFont="1" applyAlignment="1">
      <alignment horizontal="center" vertical="center" wrapText="1"/>
    </xf>
    <xf numFmtId="0" fontId="3" fillId="3" borderId="0" xfId="13" applyFont="1" applyFill="1" applyAlignment="1">
      <alignment horizontal="center" vertical="center" wrapText="1"/>
    </xf>
    <xf numFmtId="0" fontId="3" fillId="3" borderId="16" xfId="13" applyFont="1" applyFill="1" applyBorder="1" applyAlignment="1">
      <alignment horizontal="center" vertical="center" wrapText="1"/>
    </xf>
    <xf numFmtId="0" fontId="3" fillId="0" borderId="3" xfId="13" applyFont="1" applyBorder="1" applyAlignment="1">
      <alignment horizontal="center" vertical="center"/>
    </xf>
    <xf numFmtId="0" fontId="3" fillId="3" borderId="6" xfId="13" applyFont="1" applyFill="1" applyBorder="1" applyAlignment="1">
      <alignment horizontal="center" vertical="center" wrapText="1"/>
    </xf>
    <xf numFmtId="0" fontId="8" fillId="3" borderId="0" xfId="13" applyFont="1" applyFill="1" applyAlignment="1">
      <alignment vertical="center" wrapText="1"/>
    </xf>
    <xf numFmtId="0" fontId="3" fillId="3" borderId="33" xfId="13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3" borderId="14" xfId="0" applyFont="1" applyFill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3" borderId="46" xfId="13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0" fontId="3" fillId="2" borderId="51" xfId="0" applyFont="1" applyFill="1" applyBorder="1" applyAlignment="1">
      <alignment horizontal="center" vertical="center" wrapText="1"/>
    </xf>
    <xf numFmtId="0" fontId="3" fillId="3" borderId="37" xfId="0" applyFont="1" applyFill="1" applyBorder="1" applyAlignment="1">
      <alignment horizontal="center" vertical="center" wrapText="1"/>
    </xf>
    <xf numFmtId="0" fontId="3" fillId="2" borderId="52" xfId="0" applyFont="1" applyFill="1" applyBorder="1" applyAlignment="1">
      <alignment horizontal="center" vertical="center" wrapText="1"/>
    </xf>
    <xf numFmtId="0" fontId="3" fillId="3" borderId="6" xfId="13" applyFont="1" applyFill="1" applyBorder="1" applyAlignment="1">
      <alignment horizontal="center" vertical="center"/>
    </xf>
    <xf numFmtId="12" fontId="8" fillId="0" borderId="0" xfId="13" applyNumberFormat="1" applyFont="1" applyAlignment="1">
      <alignment horizontal="center" vertical="center"/>
    </xf>
    <xf numFmtId="0" fontId="34" fillId="3" borderId="48" xfId="13" applyFill="1" applyBorder="1" applyAlignment="1">
      <alignment horizontal="center" vertical="center"/>
    </xf>
    <xf numFmtId="0" fontId="3" fillId="0" borderId="0" xfId="0" quotePrefix="1" applyFont="1" applyAlignment="1">
      <alignment horizontal="center" vertical="center" wrapText="1"/>
    </xf>
    <xf numFmtId="14" fontId="17" fillId="0" borderId="6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17" fillId="3" borderId="6" xfId="0" applyNumberFormat="1" applyFont="1" applyFill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0" fontId="3" fillId="3" borderId="1" xfId="1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4" fontId="0" fillId="3" borderId="3" xfId="0" applyNumberFormat="1" applyFill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0" fontId="3" fillId="3" borderId="3" xfId="11" applyFont="1" applyFill="1" applyBorder="1" applyAlignment="1">
      <alignment horizontal="center" vertical="center" wrapText="1"/>
    </xf>
    <xf numFmtId="0" fontId="0" fillId="3" borderId="3" xfId="0" applyFill="1" applyBorder="1">
      <alignment vertical="center"/>
    </xf>
    <xf numFmtId="0" fontId="3" fillId="3" borderId="6" xfId="14" applyFont="1" applyFill="1" applyBorder="1" applyAlignment="1">
      <alignment horizontal="center" vertical="center" wrapText="1"/>
    </xf>
    <xf numFmtId="0" fontId="3" fillId="3" borderId="53" xfId="0" applyFont="1" applyFill="1" applyBorder="1" applyAlignment="1">
      <alignment vertical="center" wrapText="1"/>
    </xf>
    <xf numFmtId="0" fontId="3" fillId="3" borderId="53" xfId="0" applyFont="1" applyFill="1" applyBorder="1" applyAlignment="1">
      <alignment horizontal="center" vertical="center" wrapText="1"/>
    </xf>
    <xf numFmtId="9" fontId="4" fillId="0" borderId="0" xfId="13" applyNumberFormat="1" applyFont="1" applyAlignment="1">
      <alignment horizontal="center" vertical="center" wrapText="1"/>
    </xf>
    <xf numFmtId="9" fontId="4" fillId="3" borderId="0" xfId="13" applyNumberFormat="1" applyFont="1" applyFill="1" applyAlignment="1">
      <alignment horizontal="center" vertical="center" wrapText="1"/>
    </xf>
    <xf numFmtId="0" fontId="3" fillId="3" borderId="2" xfId="14" applyFont="1" applyFill="1" applyBorder="1" applyAlignment="1">
      <alignment horizontal="center" vertical="center" wrapText="1"/>
    </xf>
    <xf numFmtId="14" fontId="0" fillId="3" borderId="3" xfId="0" quotePrefix="1" applyNumberFormat="1" applyFill="1" applyBorder="1" applyAlignment="1">
      <alignment horizontal="center" vertical="center"/>
    </xf>
    <xf numFmtId="0" fontId="8" fillId="0" borderId="24" xfId="13" applyFont="1" applyBorder="1">
      <alignment vertical="center"/>
    </xf>
    <xf numFmtId="0" fontId="3" fillId="0" borderId="24" xfId="13" applyFont="1" applyBorder="1">
      <alignment vertical="center"/>
    </xf>
    <xf numFmtId="0" fontId="9" fillId="3" borderId="24" xfId="13" applyFont="1" applyFill="1" applyBorder="1" applyAlignment="1">
      <alignment vertical="center" wrapText="1"/>
    </xf>
    <xf numFmtId="0" fontId="8" fillId="3" borderId="24" xfId="13" applyFont="1" applyFill="1" applyBorder="1" applyAlignment="1">
      <alignment vertical="center" wrapText="1"/>
    </xf>
    <xf numFmtId="0" fontId="26" fillId="0" borderId="7" xfId="13" applyFont="1" applyBorder="1" applyAlignment="1">
      <alignment horizontal="center" vertical="center"/>
    </xf>
    <xf numFmtId="0" fontId="26" fillId="0" borderId="0" xfId="13" applyFont="1" applyAlignment="1">
      <alignment horizontal="center" vertical="center"/>
    </xf>
    <xf numFmtId="0" fontId="34" fillId="0" borderId="54" xfId="13" applyBorder="1" applyAlignment="1">
      <alignment horizontal="center" vertical="center"/>
    </xf>
    <xf numFmtId="0" fontId="34" fillId="0" borderId="50" xfId="13" applyBorder="1" applyAlignment="1">
      <alignment horizontal="center" vertical="center"/>
    </xf>
    <xf numFmtId="0" fontId="34" fillId="3" borderId="7" xfId="13" applyFill="1" applyBorder="1" applyAlignment="1">
      <alignment horizontal="center" vertical="center" wrapText="1"/>
    </xf>
    <xf numFmtId="0" fontId="34" fillId="3" borderId="7" xfId="13" applyFill="1" applyBorder="1" applyAlignment="1">
      <alignment horizontal="center" vertical="center"/>
    </xf>
    <xf numFmtId="0" fontId="34" fillId="0" borderId="7" xfId="13" applyBorder="1" applyAlignment="1">
      <alignment horizontal="center" vertical="center"/>
    </xf>
    <xf numFmtId="0" fontId="34" fillId="0" borderId="24" xfId="13" applyBorder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8" fillId="3" borderId="2" xfId="14" applyFont="1" applyFill="1" applyBorder="1" applyAlignment="1">
      <alignment horizontal="center" vertical="center" wrapText="1"/>
    </xf>
    <xf numFmtId="0" fontId="29" fillId="0" borderId="2" xfId="13" applyFont="1" applyBorder="1" applyAlignment="1">
      <alignment horizontal="center" vertical="center" wrapText="1"/>
    </xf>
    <xf numFmtId="0" fontId="8" fillId="3" borderId="2" xfId="13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15" borderId="3" xfId="0" applyFont="1" applyFill="1" applyBorder="1" applyAlignment="1">
      <alignment horizontal="center" vertical="center" wrapText="1"/>
    </xf>
    <xf numFmtId="9" fontId="34" fillId="0" borderId="0" xfId="2">
      <alignment vertical="center"/>
    </xf>
    <xf numFmtId="9" fontId="4" fillId="0" borderId="0" xfId="13" applyNumberFormat="1" applyFont="1" applyAlignment="1">
      <alignment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11" applyFont="1" applyFill="1" applyBorder="1" applyAlignment="1">
      <alignment horizontal="center" vertical="center" wrapText="1"/>
    </xf>
    <xf numFmtId="0" fontId="8" fillId="3" borderId="3" xfId="11" applyFont="1" applyFill="1" applyBorder="1" applyAlignment="1">
      <alignment horizontal="center" vertical="center" wrapText="1"/>
    </xf>
    <xf numFmtId="0" fontId="8" fillId="3" borderId="3" xfId="13" applyFont="1" applyFill="1" applyBorder="1" applyAlignment="1">
      <alignment horizontal="center" vertical="center" wrapText="1"/>
    </xf>
    <xf numFmtId="0" fontId="3" fillId="3" borderId="0" xfId="13" applyFont="1" applyFill="1" applyAlignment="1">
      <alignment horizontal="center" vertical="center"/>
    </xf>
    <xf numFmtId="0" fontId="8" fillId="3" borderId="0" xfId="13" applyFont="1" applyFill="1" applyAlignment="1">
      <alignment horizontal="center" vertical="center" wrapText="1"/>
    </xf>
    <xf numFmtId="9" fontId="8" fillId="0" borderId="11" xfId="0" applyNumberFormat="1" applyFont="1" applyBorder="1" applyAlignment="1">
      <alignment horizontal="center" vertical="center"/>
    </xf>
    <xf numFmtId="0" fontId="9" fillId="3" borderId="0" xfId="13" applyFont="1" applyFill="1" applyAlignment="1">
      <alignment horizontal="center" vertical="center"/>
    </xf>
    <xf numFmtId="14" fontId="0" fillId="3" borderId="2" xfId="0" applyNumberFormat="1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18" borderId="3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8" fillId="18" borderId="3" xfId="13" applyFont="1" applyFill="1" applyBorder="1" applyAlignment="1">
      <alignment horizontal="center" vertical="center" wrapText="1"/>
    </xf>
    <xf numFmtId="0" fontId="4" fillId="18" borderId="3" xfId="0" applyFont="1" applyFill="1" applyBorder="1">
      <alignment vertical="center"/>
    </xf>
    <xf numFmtId="14" fontId="0" fillId="18" borderId="3" xfId="0" applyNumberFormat="1" applyFill="1" applyBorder="1" applyAlignment="1">
      <alignment horizontal="center" vertical="center"/>
    </xf>
    <xf numFmtId="14" fontId="0" fillId="18" borderId="3" xfId="0" quotePrefix="1" applyNumberFormat="1" applyFill="1" applyBorder="1" applyAlignment="1">
      <alignment horizontal="center" vertical="center"/>
    </xf>
    <xf numFmtId="0" fontId="4" fillId="18" borderId="0" xfId="0" applyFont="1" applyFill="1">
      <alignment vertical="center"/>
    </xf>
    <xf numFmtId="0" fontId="8" fillId="18" borderId="1" xfId="11" applyFont="1" applyFill="1" applyBorder="1" applyAlignment="1">
      <alignment horizontal="center" vertical="center" wrapText="1"/>
    </xf>
    <xf numFmtId="0" fontId="8" fillId="18" borderId="4" xfId="0" applyFont="1" applyFill="1" applyBorder="1" applyAlignment="1">
      <alignment horizontal="center" vertical="center" wrapText="1"/>
    </xf>
    <xf numFmtId="0" fontId="8" fillId="18" borderId="2" xfId="0" applyFont="1" applyFill="1" applyBorder="1" applyAlignment="1">
      <alignment horizontal="center"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30" fillId="18" borderId="3" xfId="0" applyFont="1" applyFill="1" applyBorder="1" applyAlignment="1">
      <alignment horizontal="center" vertical="center" wrapText="1"/>
    </xf>
    <xf numFmtId="0" fontId="8" fillId="18" borderId="3" xfId="11" applyFont="1" applyFill="1" applyBorder="1" applyAlignment="1">
      <alignment horizontal="center" vertical="center" wrapText="1"/>
    </xf>
    <xf numFmtId="0" fontId="17" fillId="18" borderId="0" xfId="13" applyFont="1" applyFill="1" applyAlignment="1">
      <alignment horizontal="center" vertical="center" wrapText="1"/>
    </xf>
    <xf numFmtId="0" fontId="17" fillId="18" borderId="0" xfId="13" applyFont="1" applyFill="1" applyAlignment="1">
      <alignment horizontal="center" vertical="center"/>
    </xf>
    <xf numFmtId="0" fontId="8" fillId="18" borderId="0" xfId="13" applyFont="1" applyFill="1" applyAlignment="1">
      <alignment horizontal="center" vertical="center"/>
    </xf>
    <xf numFmtId="0" fontId="8" fillId="18" borderId="1" xfId="0" applyFont="1" applyFill="1" applyBorder="1" applyAlignment="1">
      <alignment horizontal="center" vertical="center" wrapText="1"/>
    </xf>
    <xf numFmtId="0" fontId="8" fillId="18" borderId="2" xfId="13" applyFont="1" applyFill="1" applyBorder="1" applyAlignment="1">
      <alignment horizontal="center" vertical="center" wrapText="1"/>
    </xf>
    <xf numFmtId="0" fontId="8" fillId="18" borderId="3" xfId="13" applyFont="1" applyFill="1" applyBorder="1" applyAlignment="1">
      <alignment horizontal="center" vertical="center"/>
    </xf>
    <xf numFmtId="0" fontId="9" fillId="18" borderId="3" xfId="13" applyFont="1" applyFill="1" applyBorder="1" applyAlignment="1">
      <alignment horizontal="center" vertical="center"/>
    </xf>
    <xf numFmtId="0" fontId="34" fillId="0" borderId="0" xfId="11" applyAlignment="1">
      <alignment horizontal="center" vertical="center"/>
    </xf>
    <xf numFmtId="0" fontId="5" fillId="13" borderId="0" xfId="11" applyFont="1" applyFill="1">
      <alignment vertical="center"/>
    </xf>
    <xf numFmtId="0" fontId="20" fillId="11" borderId="34" xfId="11" applyFont="1" applyFill="1" applyBorder="1" applyAlignment="1">
      <alignment horizontal="center" vertical="center" wrapText="1"/>
    </xf>
    <xf numFmtId="0" fontId="11" fillId="0" borderId="0" xfId="11" applyFont="1" applyAlignment="1">
      <alignment vertical="center" wrapText="1"/>
    </xf>
    <xf numFmtId="0" fontId="5" fillId="0" borderId="0" xfId="11" applyFont="1">
      <alignment vertical="center"/>
    </xf>
    <xf numFmtId="0" fontId="34" fillId="0" borderId="33" xfId="11" applyBorder="1">
      <alignment vertical="center"/>
    </xf>
    <xf numFmtId="0" fontId="9" fillId="0" borderId="0" xfId="11" applyFont="1" applyAlignment="1">
      <alignment horizontal="center" vertical="center" wrapText="1"/>
    </xf>
    <xf numFmtId="0" fontId="18" fillId="0" borderId="0" xfId="11" applyFont="1" applyAlignment="1">
      <alignment horizontal="center" vertical="center"/>
    </xf>
    <xf numFmtId="0" fontId="20" fillId="0" borderId="0" xfId="11" applyFont="1">
      <alignment vertical="center"/>
    </xf>
    <xf numFmtId="0" fontId="26" fillId="0" borderId="0" xfId="11" applyFont="1">
      <alignment vertical="center"/>
    </xf>
    <xf numFmtId="0" fontId="6" fillId="0" borderId="0" xfId="11" applyFont="1">
      <alignment vertical="center"/>
    </xf>
    <xf numFmtId="0" fontId="22" fillId="0" borderId="0" xfId="11" applyFont="1" applyAlignment="1">
      <alignment vertical="center" wrapText="1"/>
    </xf>
    <xf numFmtId="0" fontId="11" fillId="0" borderId="0" xfId="11" applyFont="1">
      <alignment vertical="center"/>
    </xf>
    <xf numFmtId="0" fontId="5" fillId="0" borderId="22" xfId="11" applyFont="1" applyBorder="1">
      <alignment vertical="center"/>
    </xf>
    <xf numFmtId="0" fontId="5" fillId="0" borderId="21" xfId="11" applyFont="1" applyBorder="1">
      <alignment vertical="center"/>
    </xf>
    <xf numFmtId="0" fontId="22" fillId="0" borderId="21" xfId="11" applyFont="1" applyBorder="1" applyAlignment="1">
      <alignment vertical="center" wrapText="1"/>
    </xf>
    <xf numFmtId="0" fontId="22" fillId="0" borderId="21" xfId="11" applyFont="1" applyBorder="1">
      <alignment vertical="center"/>
    </xf>
    <xf numFmtId="0" fontId="34" fillId="0" borderId="35" xfId="11" applyBorder="1">
      <alignment vertical="center"/>
    </xf>
    <xf numFmtId="0" fontId="5" fillId="0" borderId="42" xfId="11" applyFont="1" applyBorder="1">
      <alignment vertical="center"/>
    </xf>
    <xf numFmtId="0" fontId="18" fillId="0" borderId="0" xfId="11" applyFont="1">
      <alignment vertical="center"/>
    </xf>
    <xf numFmtId="0" fontId="5" fillId="0" borderId="24" xfId="11" applyFont="1" applyBorder="1">
      <alignment vertical="center"/>
    </xf>
    <xf numFmtId="0" fontId="12" fillId="0" borderId="0" xfId="11" applyFont="1" applyAlignment="1">
      <alignment horizontal="center" vertical="center" wrapText="1"/>
    </xf>
    <xf numFmtId="0" fontId="22" fillId="0" borderId="19" xfId="11" applyFont="1" applyBorder="1" applyAlignment="1">
      <alignment vertical="center" wrapText="1"/>
    </xf>
    <xf numFmtId="0" fontId="5" fillId="0" borderId="19" xfId="11" applyFont="1" applyBorder="1">
      <alignment vertical="center"/>
    </xf>
    <xf numFmtId="0" fontId="11" fillId="0" borderId="0" xfId="11" applyFont="1" applyAlignment="1">
      <alignment horizontal="center" vertical="center" wrapText="1"/>
    </xf>
    <xf numFmtId="0" fontId="18" fillId="0" borderId="24" xfId="11" applyFont="1" applyBorder="1">
      <alignment vertical="center"/>
    </xf>
    <xf numFmtId="0" fontId="9" fillId="0" borderId="0" xfId="11" applyFont="1" applyAlignment="1">
      <alignment vertical="center" wrapText="1"/>
    </xf>
    <xf numFmtId="0" fontId="34" fillId="0" borderId="19" xfId="11" applyBorder="1">
      <alignment vertical="center"/>
    </xf>
    <xf numFmtId="0" fontId="11" fillId="0" borderId="19" xfId="11" applyFont="1" applyBorder="1" applyAlignment="1">
      <alignment vertical="center" wrapText="1"/>
    </xf>
    <xf numFmtId="0" fontId="23" fillId="0" borderId="0" xfId="11" applyFont="1" applyAlignment="1">
      <alignment vertical="center" wrapText="1"/>
    </xf>
    <xf numFmtId="0" fontId="23" fillId="0" borderId="19" xfId="11" applyFont="1" applyBorder="1" applyAlignment="1">
      <alignment vertical="center" wrapText="1"/>
    </xf>
    <xf numFmtId="0" fontId="22" fillId="0" borderId="24" xfId="11" applyFont="1" applyBorder="1">
      <alignment vertical="center"/>
    </xf>
    <xf numFmtId="0" fontId="22" fillId="0" borderId="0" xfId="11" applyFont="1">
      <alignment vertical="center"/>
    </xf>
    <xf numFmtId="0" fontId="14" fillId="3" borderId="0" xfId="11" applyFont="1" applyFill="1">
      <alignment vertical="center"/>
    </xf>
    <xf numFmtId="0" fontId="22" fillId="3" borderId="0" xfId="11" applyFont="1" applyFill="1" applyAlignment="1">
      <alignment vertical="center" wrapText="1"/>
    </xf>
    <xf numFmtId="0" fontId="34" fillId="3" borderId="0" xfId="11" applyFill="1">
      <alignment vertical="center"/>
    </xf>
    <xf numFmtId="0" fontId="22" fillId="0" borderId="0" xfId="11" applyFont="1" applyAlignment="1">
      <alignment horizontal="center" vertical="center" wrapText="1"/>
    </xf>
    <xf numFmtId="0" fontId="12" fillId="3" borderId="0" xfId="11" applyFont="1" applyFill="1" applyAlignment="1">
      <alignment horizontal="center" vertical="center" wrapText="1"/>
    </xf>
    <xf numFmtId="0" fontId="11" fillId="3" borderId="0" xfId="11" applyFont="1" applyFill="1" applyAlignment="1">
      <alignment vertical="center" wrapText="1"/>
    </xf>
    <xf numFmtId="0" fontId="18" fillId="3" borderId="0" xfId="11" applyFont="1" applyFill="1" applyAlignment="1">
      <alignment vertical="center" wrapText="1"/>
    </xf>
    <xf numFmtId="0" fontId="5" fillId="0" borderId="19" xfId="11" applyFont="1" applyBorder="1" applyAlignment="1">
      <alignment vertical="center" wrapText="1"/>
    </xf>
    <xf numFmtId="0" fontId="18" fillId="0" borderId="0" xfId="11" applyFont="1" applyAlignment="1">
      <alignment vertical="center" wrapText="1"/>
    </xf>
    <xf numFmtId="0" fontId="11" fillId="3" borderId="0" xfId="11" applyFont="1" applyFill="1">
      <alignment vertical="center"/>
    </xf>
    <xf numFmtId="0" fontId="12" fillId="3" borderId="0" xfId="11" applyFont="1" applyFill="1" applyAlignment="1">
      <alignment vertical="center" wrapText="1"/>
    </xf>
    <xf numFmtId="0" fontId="21" fillId="0" borderId="19" xfId="11" applyFont="1" applyBorder="1" applyAlignment="1">
      <alignment vertical="center" wrapText="1"/>
    </xf>
    <xf numFmtId="0" fontId="22" fillId="0" borderId="19" xfId="11" applyFont="1" applyBorder="1">
      <alignment vertical="center"/>
    </xf>
    <xf numFmtId="0" fontId="11" fillId="0" borderId="0" xfId="0" applyFont="1" applyAlignment="1">
      <alignment horizontal="center" vertical="center" wrapText="1"/>
    </xf>
    <xf numFmtId="0" fontId="12" fillId="0" borderId="0" xfId="11" applyFont="1" applyAlignment="1">
      <alignment vertical="center" wrapText="1"/>
    </xf>
    <xf numFmtId="0" fontId="22" fillId="18" borderId="24" xfId="11" applyFont="1" applyFill="1" applyBorder="1" applyAlignment="1">
      <alignment vertical="center" wrapText="1"/>
    </xf>
    <xf numFmtId="0" fontId="22" fillId="18" borderId="0" xfId="11" applyFont="1" applyFill="1" applyAlignment="1">
      <alignment vertical="center" wrapText="1"/>
    </xf>
    <xf numFmtId="0" fontId="11" fillId="0" borderId="0" xfId="0" applyFont="1" applyAlignment="1">
      <alignment vertical="center" wrapText="1"/>
    </xf>
    <xf numFmtId="0" fontId="21" fillId="0" borderId="0" xfId="11" applyFont="1" applyAlignment="1">
      <alignment vertical="center" wrapText="1"/>
    </xf>
    <xf numFmtId="0" fontId="14" fillId="0" borderId="0" xfId="11" applyFont="1">
      <alignment vertical="center"/>
    </xf>
    <xf numFmtId="0" fontId="11" fillId="0" borderId="0" xfId="12" applyFont="1" applyAlignment="1">
      <alignment vertical="center" wrapText="1"/>
    </xf>
    <xf numFmtId="0" fontId="9" fillId="3" borderId="0" xfId="11" applyFont="1" applyFill="1" applyAlignment="1">
      <alignment vertical="center" wrapText="1"/>
    </xf>
    <xf numFmtId="0" fontId="11" fillId="0" borderId="39" xfId="12" applyFont="1" applyBorder="1" applyAlignment="1">
      <alignment vertical="center" wrapText="1"/>
    </xf>
    <xf numFmtId="0" fontId="22" fillId="0" borderId="39" xfId="11" applyFont="1" applyBorder="1">
      <alignment vertical="center"/>
    </xf>
    <xf numFmtId="0" fontId="37" fillId="3" borderId="0" xfId="11" applyFont="1" applyFill="1" applyAlignment="1">
      <alignment vertical="center" wrapText="1"/>
    </xf>
    <xf numFmtId="0" fontId="21" fillId="0" borderId="0" xfId="11" applyFont="1" applyAlignment="1">
      <alignment horizontal="center" vertical="center" wrapText="1"/>
    </xf>
    <xf numFmtId="0" fontId="11" fillId="3" borderId="0" xfId="0" applyFont="1" applyFill="1" applyAlignment="1">
      <alignment vertical="center" wrapText="1"/>
    </xf>
    <xf numFmtId="0" fontId="38" fillId="0" borderId="0" xfId="11" applyFont="1" applyAlignment="1">
      <alignment horizontal="center" vertical="center" wrapText="1"/>
    </xf>
    <xf numFmtId="0" fontId="25" fillId="0" borderId="0" xfId="11" applyFont="1" applyAlignment="1">
      <alignment vertical="center" wrapText="1"/>
    </xf>
    <xf numFmtId="0" fontId="33" fillId="0" borderId="0" xfId="11" applyFont="1" applyAlignment="1">
      <alignment vertical="center" wrapText="1"/>
    </xf>
    <xf numFmtId="0" fontId="23" fillId="3" borderId="0" xfId="11" applyFont="1" applyFill="1" applyAlignment="1">
      <alignment horizontal="center" vertical="center" wrapText="1"/>
    </xf>
    <xf numFmtId="0" fontId="16" fillId="0" borderId="0" xfId="11" applyFont="1" applyAlignment="1">
      <alignment horizontal="center" vertical="center" wrapText="1"/>
    </xf>
    <xf numFmtId="0" fontId="27" fillId="0" borderId="0" xfId="11" applyFont="1" applyAlignment="1">
      <alignment vertical="center" wrapText="1"/>
    </xf>
    <xf numFmtId="0" fontId="34" fillId="0" borderId="36" xfId="11" applyBorder="1">
      <alignment vertical="center"/>
    </xf>
    <xf numFmtId="0" fontId="34" fillId="0" borderId="23" xfId="11" applyBorder="1">
      <alignment vertical="center"/>
    </xf>
    <xf numFmtId="0" fontId="27" fillId="0" borderId="23" xfId="11" applyFont="1" applyBorder="1" applyAlignment="1">
      <alignment vertical="center" wrapText="1"/>
    </xf>
    <xf numFmtId="0" fontId="22" fillId="0" borderId="23" xfId="11" applyFont="1" applyBorder="1" applyAlignment="1">
      <alignment vertical="center" wrapText="1"/>
    </xf>
    <xf numFmtId="0" fontId="24" fillId="0" borderId="20" xfId="11" applyFont="1" applyBorder="1" applyAlignment="1">
      <alignment vertical="center" wrapText="1"/>
    </xf>
    <xf numFmtId="0" fontId="39" fillId="0" borderId="0" xfId="11" applyFont="1" applyAlignment="1">
      <alignment vertical="center" wrapText="1"/>
    </xf>
    <xf numFmtId="0" fontId="5" fillId="0" borderId="0" xfId="11" applyFont="1" applyAlignment="1">
      <alignment vertical="center" wrapText="1"/>
    </xf>
    <xf numFmtId="0" fontId="40" fillId="0" borderId="0" xfId="11" applyFont="1" applyAlignment="1">
      <alignment vertical="center" wrapText="1"/>
    </xf>
    <xf numFmtId="0" fontId="40" fillId="0" borderId="23" xfId="11" applyFont="1" applyBorder="1" applyAlignment="1">
      <alignment vertical="center" wrapText="1"/>
    </xf>
    <xf numFmtId="0" fontId="25" fillId="0" borderId="0" xfId="0" applyFont="1" applyAlignment="1">
      <alignment vertical="center" wrapText="1"/>
    </xf>
    <xf numFmtId="0" fontId="9" fillId="3" borderId="0" xfId="11" applyFont="1" applyFill="1">
      <alignment vertical="center"/>
    </xf>
    <xf numFmtId="0" fontId="12" fillId="0" borderId="0" xfId="11" applyFont="1">
      <alignment vertical="center"/>
    </xf>
    <xf numFmtId="0" fontId="22" fillId="0" borderId="34" xfId="11" applyFont="1" applyBorder="1" applyAlignment="1">
      <alignment horizontal="center" vertical="center" wrapText="1"/>
    </xf>
    <xf numFmtId="0" fontId="6" fillId="0" borderId="33" xfId="11" applyFont="1" applyBorder="1">
      <alignment vertical="center"/>
    </xf>
    <xf numFmtId="0" fontId="15" fillId="0" borderId="0" xfId="11" applyFont="1" applyAlignment="1">
      <alignment horizontal="center" vertical="center"/>
    </xf>
    <xf numFmtId="0" fontId="11" fillId="18" borderId="0" xfId="11" applyFont="1" applyFill="1" applyAlignment="1">
      <alignment vertical="center" wrapText="1"/>
    </xf>
    <xf numFmtId="0" fontId="34" fillId="0" borderId="41" xfId="11" applyBorder="1">
      <alignment vertical="center"/>
    </xf>
    <xf numFmtId="0" fontId="11" fillId="0" borderId="23" xfId="0" applyFont="1" applyBorder="1" applyAlignment="1">
      <alignment vertical="center" wrapText="1"/>
    </xf>
    <xf numFmtId="0" fontId="34" fillId="0" borderId="73" xfId="11" applyBorder="1">
      <alignment vertical="center"/>
    </xf>
    <xf numFmtId="0" fontId="34" fillId="0" borderId="21" xfId="11" applyBorder="1">
      <alignment vertical="center"/>
    </xf>
    <xf numFmtId="0" fontId="22" fillId="18" borderId="0" xfId="11" applyFont="1" applyFill="1">
      <alignment vertical="center"/>
    </xf>
    <xf numFmtId="0" fontId="11" fillId="18" borderId="0" xfId="11" applyFont="1" applyFill="1" applyAlignment="1">
      <alignment horizontal="center" vertical="center" wrapText="1"/>
    </xf>
    <xf numFmtId="0" fontId="9" fillId="18" borderId="24" xfId="11" applyFont="1" applyFill="1" applyBorder="1" applyAlignment="1">
      <alignment vertical="center" wrapText="1"/>
    </xf>
    <xf numFmtId="0" fontId="9" fillId="18" borderId="0" xfId="11" applyFont="1" applyFill="1" applyAlignment="1">
      <alignment vertical="center" wrapText="1"/>
    </xf>
    <xf numFmtId="0" fontId="21" fillId="18" borderId="0" xfId="11" applyFont="1" applyFill="1" applyAlignment="1">
      <alignment vertical="center" wrapText="1"/>
    </xf>
    <xf numFmtId="0" fontId="22" fillId="18" borderId="24" xfId="11" applyFont="1" applyFill="1" applyBorder="1">
      <alignment vertical="center"/>
    </xf>
    <xf numFmtId="0" fontId="25" fillId="18" borderId="0" xfId="11" applyFont="1" applyFill="1" applyAlignment="1">
      <alignment vertical="center" wrapText="1"/>
    </xf>
    <xf numFmtId="0" fontId="34" fillId="18" borderId="24" xfId="11" applyFill="1" applyBorder="1">
      <alignment vertical="center"/>
    </xf>
    <xf numFmtId="0" fontId="21" fillId="18" borderId="0" xfId="11" applyFont="1" applyFill="1">
      <alignment vertical="center"/>
    </xf>
    <xf numFmtId="0" fontId="33" fillId="18" borderId="0" xfId="11" applyFont="1" applyFill="1" applyAlignment="1">
      <alignment vertical="center" wrapText="1"/>
    </xf>
    <xf numFmtId="0" fontId="34" fillId="18" borderId="0" xfId="11" applyFill="1">
      <alignment vertical="center"/>
    </xf>
    <xf numFmtId="0" fontId="25" fillId="18" borderId="24" xfId="11" applyFont="1" applyFill="1" applyBorder="1" applyAlignment="1">
      <alignment vertical="center" wrapText="1"/>
    </xf>
    <xf numFmtId="0" fontId="6" fillId="18" borderId="0" xfId="11" applyFont="1" applyFill="1">
      <alignment vertical="center"/>
    </xf>
    <xf numFmtId="0" fontId="11" fillId="18" borderId="24" xfId="11" applyFont="1" applyFill="1" applyBorder="1" applyAlignment="1">
      <alignment horizontal="center" vertical="center" wrapText="1"/>
    </xf>
    <xf numFmtId="0" fontId="27" fillId="18" borderId="0" xfId="11" applyFont="1" applyFill="1" applyAlignment="1">
      <alignment vertical="center" wrapText="1"/>
    </xf>
    <xf numFmtId="0" fontId="36" fillId="18" borderId="0" xfId="11" applyFont="1" applyFill="1" applyAlignment="1">
      <alignment horizontal="center" vertical="center" wrapText="1"/>
    </xf>
    <xf numFmtId="0" fontId="24" fillId="18" borderId="0" xfId="11" applyFont="1" applyFill="1" applyAlignment="1">
      <alignment horizontal="center" vertical="center" wrapText="1"/>
    </xf>
    <xf numFmtId="0" fontId="24" fillId="18" borderId="0" xfId="11" applyFont="1" applyFill="1" applyAlignment="1">
      <alignment vertical="center" wrapText="1"/>
    </xf>
    <xf numFmtId="0" fontId="21" fillId="18" borderId="0" xfId="11" applyFont="1" applyFill="1" applyAlignment="1">
      <alignment horizontal="center" vertical="center" wrapText="1"/>
    </xf>
    <xf numFmtId="0" fontId="11" fillId="18" borderId="0" xfId="11" applyFont="1" applyFill="1">
      <alignment vertical="center"/>
    </xf>
    <xf numFmtId="0" fontId="36" fillId="18" borderId="0" xfId="11" applyFont="1" applyFill="1" applyAlignment="1">
      <alignment vertical="center" wrapText="1"/>
    </xf>
    <xf numFmtId="0" fontId="36" fillId="18" borderId="0" xfId="11" applyFont="1" applyFill="1">
      <alignment vertical="center"/>
    </xf>
    <xf numFmtId="0" fontId="22" fillId="18" borderId="36" xfId="11" applyFont="1" applyFill="1" applyBorder="1">
      <alignment vertical="center"/>
    </xf>
    <xf numFmtId="0" fontId="22" fillId="18" borderId="23" xfId="11" applyFont="1" applyFill="1" applyBorder="1">
      <alignment vertical="center"/>
    </xf>
    <xf numFmtId="0" fontId="22" fillId="0" borderId="20" xfId="11" applyFont="1" applyBorder="1">
      <alignment vertical="center"/>
    </xf>
    <xf numFmtId="0" fontId="22" fillId="0" borderId="22" xfId="11" applyFont="1" applyBorder="1">
      <alignment vertical="center"/>
    </xf>
    <xf numFmtId="0" fontId="22" fillId="0" borderId="35" xfId="11" applyFont="1" applyBorder="1">
      <alignment vertical="center"/>
    </xf>
    <xf numFmtId="0" fontId="36" fillId="18" borderId="24" xfId="11" applyFont="1" applyFill="1" applyBorder="1" applyAlignment="1">
      <alignment horizontal="center" vertical="center" wrapText="1"/>
    </xf>
    <xf numFmtId="0" fontId="36" fillId="18" borderId="24" xfId="11" applyFont="1" applyFill="1" applyBorder="1" applyAlignment="1">
      <alignment vertical="center" wrapText="1"/>
    </xf>
    <xf numFmtId="0" fontId="25" fillId="0" borderId="19" xfId="11" applyFont="1" applyBorder="1" applyAlignment="1">
      <alignment vertical="center" wrapText="1"/>
    </xf>
    <xf numFmtId="0" fontId="11" fillId="0" borderId="19" xfId="11" applyFont="1" applyBorder="1" applyAlignment="1">
      <alignment horizontal="center" vertical="center" wrapText="1"/>
    </xf>
    <xf numFmtId="0" fontId="34" fillId="0" borderId="20" xfId="11" applyBorder="1">
      <alignment vertical="center"/>
    </xf>
    <xf numFmtId="0" fontId="25" fillId="0" borderId="0" xfId="11" applyFont="1">
      <alignment vertical="center"/>
    </xf>
    <xf numFmtId="0" fontId="25" fillId="0" borderId="0" xfId="11" applyFont="1" applyAlignment="1">
      <alignment horizontal="center" vertical="center" wrapText="1"/>
    </xf>
    <xf numFmtId="0" fontId="11" fillId="18" borderId="24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26" fillId="11" borderId="0" xfId="11" applyFont="1" applyFill="1" applyAlignment="1">
      <alignment horizontal="center" vertical="center" wrapText="1"/>
    </xf>
    <xf numFmtId="0" fontId="25" fillId="0" borderId="23" xfId="11" applyFont="1" applyBorder="1">
      <alignment vertical="center"/>
    </xf>
    <xf numFmtId="0" fontId="25" fillId="0" borderId="20" xfId="11" applyFont="1" applyBorder="1">
      <alignment vertical="center"/>
    </xf>
    <xf numFmtId="0" fontId="25" fillId="0" borderId="36" xfId="11" applyFont="1" applyBorder="1">
      <alignment vertical="center"/>
    </xf>
    <xf numFmtId="0" fontId="5" fillId="18" borderId="0" xfId="11" applyFont="1" applyFill="1">
      <alignment vertical="center"/>
    </xf>
    <xf numFmtId="0" fontId="25" fillId="18" borderId="0" xfId="11" applyFont="1" applyFill="1">
      <alignment vertical="center"/>
    </xf>
    <xf numFmtId="0" fontId="41" fillId="22" borderId="43" xfId="11" applyFont="1" applyFill="1" applyBorder="1">
      <alignment vertical="center"/>
    </xf>
    <xf numFmtId="0" fontId="25" fillId="23" borderId="43" xfId="11" applyFont="1" applyFill="1" applyBorder="1">
      <alignment vertical="center"/>
    </xf>
    <xf numFmtId="0" fontId="25" fillId="26" borderId="43" xfId="11" applyFont="1" applyFill="1" applyBorder="1" applyAlignment="1">
      <alignment horizontal="center" vertical="center"/>
    </xf>
    <xf numFmtId="0" fontId="25" fillId="25" borderId="34" xfId="11" applyFont="1" applyFill="1" applyBorder="1" applyAlignment="1">
      <alignment horizontal="center" vertical="center"/>
    </xf>
    <xf numFmtId="0" fontId="5" fillId="22" borderId="43" xfId="11" applyFont="1" applyFill="1" applyBorder="1">
      <alignment vertical="center"/>
    </xf>
    <xf numFmtId="0" fontId="5" fillId="22" borderId="39" xfId="11" applyFont="1" applyFill="1" applyBorder="1">
      <alignment vertical="center"/>
    </xf>
    <xf numFmtId="0" fontId="5" fillId="22" borderId="40" xfId="11" applyFont="1" applyFill="1" applyBorder="1">
      <alignment vertical="center"/>
    </xf>
    <xf numFmtId="0" fontId="25" fillId="27" borderId="43" xfId="11" applyFont="1" applyFill="1" applyBorder="1">
      <alignment vertical="center"/>
    </xf>
    <xf numFmtId="0" fontId="25" fillId="6" borderId="39" xfId="11" applyFont="1" applyFill="1" applyBorder="1" applyAlignment="1">
      <alignment horizontal="center" vertical="center"/>
    </xf>
    <xf numFmtId="0" fontId="44" fillId="21" borderId="34" xfId="11" applyFont="1" applyFill="1" applyBorder="1" applyAlignment="1">
      <alignment horizontal="center" vertical="center"/>
    </xf>
    <xf numFmtId="0" fontId="5" fillId="8" borderId="22" xfId="16" applyFont="1" applyFill="1" applyBorder="1">
      <alignment vertical="center"/>
    </xf>
    <xf numFmtId="0" fontId="5" fillId="8" borderId="21" xfId="16" applyFont="1" applyFill="1" applyBorder="1">
      <alignment vertical="center"/>
    </xf>
    <xf numFmtId="0" fontId="5" fillId="0" borderId="0" xfId="16" applyFont="1" applyAlignment="1">
      <alignment horizontal="center" vertical="center"/>
    </xf>
    <xf numFmtId="0" fontId="45" fillId="0" borderId="35" xfId="16" applyFont="1" applyBorder="1">
      <alignment vertical="center"/>
    </xf>
    <xf numFmtId="0" fontId="1" fillId="0" borderId="0" xfId="16" applyAlignment="1">
      <alignment horizontal="center" vertical="center"/>
    </xf>
    <xf numFmtId="0" fontId="1" fillId="0" borderId="0" xfId="16">
      <alignment vertical="center"/>
    </xf>
    <xf numFmtId="0" fontId="46" fillId="0" borderId="0" xfId="16" applyFont="1">
      <alignment vertical="center"/>
    </xf>
    <xf numFmtId="0" fontId="47" fillId="0" borderId="0" xfId="16" applyFont="1">
      <alignment vertical="center"/>
    </xf>
    <xf numFmtId="0" fontId="47" fillId="13" borderId="22" xfId="16" applyFont="1" applyFill="1" applyBorder="1">
      <alignment vertical="center"/>
    </xf>
    <xf numFmtId="0" fontId="47" fillId="13" borderId="21" xfId="16" applyFont="1" applyFill="1" applyBorder="1">
      <alignment vertical="center"/>
    </xf>
    <xf numFmtId="0" fontId="47" fillId="13" borderId="35" xfId="16" applyFont="1" applyFill="1" applyBorder="1">
      <alignment vertical="center"/>
    </xf>
    <xf numFmtId="0" fontId="1" fillId="28" borderId="24" xfId="16" applyFill="1" applyBorder="1">
      <alignment vertical="center"/>
    </xf>
    <xf numFmtId="0" fontId="1" fillId="28" borderId="0" xfId="16" applyFill="1">
      <alignment vertical="center"/>
    </xf>
    <xf numFmtId="0" fontId="5" fillId="28" borderId="0" xfId="16" applyFont="1" applyFill="1">
      <alignment vertical="center"/>
    </xf>
    <xf numFmtId="0" fontId="5" fillId="28" borderId="19" xfId="16" applyFont="1" applyFill="1" applyBorder="1">
      <alignment vertical="center"/>
    </xf>
    <xf numFmtId="0" fontId="5" fillId="13" borderId="0" xfId="16" applyFont="1" applyFill="1">
      <alignment vertical="center"/>
    </xf>
    <xf numFmtId="0" fontId="25" fillId="13" borderId="0" xfId="16" applyFont="1" applyFill="1" applyAlignment="1">
      <alignment horizontal="center" vertical="center" wrapText="1"/>
    </xf>
    <xf numFmtId="0" fontId="25" fillId="13" borderId="19" xfId="16" applyFont="1" applyFill="1" applyBorder="1" applyAlignment="1">
      <alignment horizontal="center" vertical="center" wrapText="1"/>
    </xf>
    <xf numFmtId="0" fontId="25" fillId="11" borderId="34" xfId="16" applyFont="1" applyFill="1" applyBorder="1" applyAlignment="1">
      <alignment horizontal="center" vertical="center" wrapText="1"/>
    </xf>
    <xf numFmtId="0" fontId="25" fillId="13" borderId="24" xfId="16" applyFont="1" applyFill="1" applyBorder="1" applyAlignment="1">
      <alignment horizontal="center" vertical="center" wrapText="1"/>
    </xf>
    <xf numFmtId="0" fontId="25" fillId="0" borderId="0" xfId="16" applyFont="1" applyAlignment="1">
      <alignment horizontal="center" vertical="center" wrapText="1"/>
    </xf>
    <xf numFmtId="0" fontId="5" fillId="8" borderId="36" xfId="16" applyFont="1" applyFill="1" applyBorder="1">
      <alignment vertical="center"/>
    </xf>
    <xf numFmtId="0" fontId="5" fillId="8" borderId="23" xfId="16" applyFont="1" applyFill="1" applyBorder="1">
      <alignment vertical="center"/>
    </xf>
    <xf numFmtId="0" fontId="45" fillId="0" borderId="20" xfId="16" applyFont="1" applyBorder="1">
      <alignment vertical="center"/>
    </xf>
    <xf numFmtId="0" fontId="46" fillId="13" borderId="21" xfId="16" applyFont="1" applyFill="1" applyBorder="1" applyAlignment="1">
      <alignment vertical="center" wrapText="1"/>
    </xf>
    <xf numFmtId="0" fontId="47" fillId="13" borderId="0" xfId="16" applyFont="1" applyFill="1">
      <alignment vertical="center"/>
    </xf>
    <xf numFmtId="0" fontId="47" fillId="13" borderId="19" xfId="16" applyFont="1" applyFill="1" applyBorder="1">
      <alignment vertical="center"/>
    </xf>
    <xf numFmtId="0" fontId="1" fillId="28" borderId="36" xfId="16" applyFill="1" applyBorder="1">
      <alignment vertical="center"/>
    </xf>
    <xf numFmtId="0" fontId="1" fillId="28" borderId="23" xfId="16" applyFill="1" applyBorder="1">
      <alignment vertical="center"/>
    </xf>
    <xf numFmtId="0" fontId="5" fillId="28" borderId="23" xfId="16" applyFont="1" applyFill="1" applyBorder="1">
      <alignment vertical="center"/>
    </xf>
    <xf numFmtId="0" fontId="5" fillId="28" borderId="20" xfId="16" applyFont="1" applyFill="1" applyBorder="1">
      <alignment vertical="center"/>
    </xf>
    <xf numFmtId="0" fontId="5" fillId="13" borderId="23" xfId="16" applyFont="1" applyFill="1" applyBorder="1">
      <alignment vertical="center"/>
    </xf>
    <xf numFmtId="0" fontId="25" fillId="13" borderId="23" xfId="16" applyFont="1" applyFill="1" applyBorder="1" applyAlignment="1">
      <alignment horizontal="center" vertical="center" wrapText="1"/>
    </xf>
    <xf numFmtId="0" fontId="25" fillId="13" borderId="20" xfId="16" applyFont="1" applyFill="1" applyBorder="1" applyAlignment="1">
      <alignment horizontal="center" vertical="center" wrapText="1"/>
    </xf>
    <xf numFmtId="0" fontId="25" fillId="13" borderId="36" xfId="16" applyFont="1" applyFill="1" applyBorder="1" applyAlignment="1">
      <alignment horizontal="center" vertical="center" wrapText="1"/>
    </xf>
    <xf numFmtId="0" fontId="25" fillId="18" borderId="0" xfId="16" applyFont="1" applyFill="1" applyAlignment="1">
      <alignment horizontal="center" vertical="center" wrapText="1"/>
    </xf>
    <xf numFmtId="0" fontId="1" fillId="8" borderId="22" xfId="16" applyFill="1" applyBorder="1">
      <alignment vertical="center"/>
    </xf>
    <xf numFmtId="0" fontId="1" fillId="8" borderId="21" xfId="16" applyFill="1" applyBorder="1">
      <alignment vertical="center"/>
    </xf>
    <xf numFmtId="0" fontId="1" fillId="8" borderId="35" xfId="16" applyFill="1" applyBorder="1">
      <alignment vertical="center"/>
    </xf>
    <xf numFmtId="0" fontId="9" fillId="0" borderId="0" xfId="16" applyFont="1" applyAlignment="1">
      <alignment horizontal="center" vertical="center"/>
    </xf>
    <xf numFmtId="14" fontId="14" fillId="0" borderId="0" xfId="16" applyNumberFormat="1" applyFont="1" applyAlignment="1">
      <alignment horizontal="center" vertical="center"/>
    </xf>
    <xf numFmtId="0" fontId="11" fillId="0" borderId="0" xfId="16" applyFont="1" applyAlignment="1">
      <alignment vertical="center" wrapText="1"/>
    </xf>
    <xf numFmtId="0" fontId="46" fillId="13" borderId="0" xfId="16" applyFont="1" applyFill="1" applyAlignment="1">
      <alignment vertical="center" wrapText="1"/>
    </xf>
    <xf numFmtId="0" fontId="5" fillId="0" borderId="0" xfId="16" applyFont="1">
      <alignment vertical="center"/>
    </xf>
    <xf numFmtId="0" fontId="48" fillId="0" borderId="34" xfId="16" applyFont="1" applyBorder="1" applyAlignment="1">
      <alignment horizontal="center" vertical="center" wrapText="1"/>
    </xf>
    <xf numFmtId="0" fontId="36" fillId="0" borderId="34" xfId="16" applyFont="1" applyBorder="1" applyAlignment="1">
      <alignment horizontal="center" vertical="center" wrapText="1"/>
    </xf>
    <xf numFmtId="0" fontId="5" fillId="8" borderId="24" xfId="16" applyFont="1" applyFill="1" applyBorder="1">
      <alignment vertical="center"/>
    </xf>
    <xf numFmtId="0" fontId="5" fillId="8" borderId="0" xfId="16" applyFont="1" applyFill="1">
      <alignment vertical="center"/>
    </xf>
    <xf numFmtId="0" fontId="1" fillId="8" borderId="19" xfId="16" applyFill="1" applyBorder="1">
      <alignment vertical="center"/>
    </xf>
    <xf numFmtId="14" fontId="49" fillId="0" borderId="0" xfId="16" applyNumberFormat="1" applyFont="1" applyAlignment="1">
      <alignment horizontal="center" vertical="center"/>
    </xf>
    <xf numFmtId="0" fontId="1" fillId="8" borderId="20" xfId="16" applyFill="1" applyBorder="1">
      <alignment vertical="center"/>
    </xf>
    <xf numFmtId="0" fontId="9" fillId="0" borderId="0" xfId="16" applyFont="1" applyAlignment="1">
      <alignment horizontal="center" vertical="center" wrapText="1"/>
    </xf>
    <xf numFmtId="0" fontId="18" fillId="0" borderId="0" xfId="16" applyFont="1" applyAlignment="1">
      <alignment horizontal="center" vertical="center"/>
    </xf>
    <xf numFmtId="0" fontId="46" fillId="13" borderId="23" xfId="16" applyFont="1" applyFill="1" applyBorder="1" applyAlignment="1">
      <alignment vertical="center" wrapText="1"/>
    </xf>
    <xf numFmtId="0" fontId="47" fillId="13" borderId="23" xfId="16" applyFont="1" applyFill="1" applyBorder="1">
      <alignment vertical="center"/>
    </xf>
    <xf numFmtId="0" fontId="47" fillId="13" borderId="20" xfId="16" applyFont="1" applyFill="1" applyBorder="1">
      <alignment vertical="center"/>
    </xf>
    <xf numFmtId="0" fontId="5" fillId="8" borderId="35" xfId="16" applyFont="1" applyFill="1" applyBorder="1">
      <alignment vertical="center"/>
    </xf>
    <xf numFmtId="0" fontId="9" fillId="0" borderId="0" xfId="16" applyFont="1">
      <alignment vertical="center"/>
    </xf>
    <xf numFmtId="0" fontId="50" fillId="0" borderId="0" xfId="16" applyFont="1">
      <alignment vertical="center"/>
    </xf>
    <xf numFmtId="0" fontId="5" fillId="0" borderId="21" xfId="16" applyFont="1" applyBorder="1">
      <alignment vertical="center"/>
    </xf>
    <xf numFmtId="0" fontId="5" fillId="8" borderId="19" xfId="16" applyFont="1" applyFill="1" applyBorder="1">
      <alignment vertical="center"/>
    </xf>
    <xf numFmtId="0" fontId="22" fillId="0" borderId="0" xfId="16" applyFont="1" applyAlignment="1">
      <alignment vertical="top"/>
    </xf>
    <xf numFmtId="0" fontId="5" fillId="8" borderId="20" xfId="16" applyFont="1" applyFill="1" applyBorder="1">
      <alignment vertical="center"/>
    </xf>
    <xf numFmtId="0" fontId="8" fillId="0" borderId="0" xfId="16" applyFont="1">
      <alignment vertical="center"/>
    </xf>
    <xf numFmtId="0" fontId="1" fillId="0" borderId="0" xfId="16" applyAlignment="1">
      <alignment vertical="center" wrapText="1"/>
    </xf>
    <xf numFmtId="0" fontId="5" fillId="0" borderId="23" xfId="16" applyFont="1" applyBorder="1">
      <alignment vertical="center"/>
    </xf>
    <xf numFmtId="0" fontId="51" fillId="0" borderId="0" xfId="16" applyFont="1">
      <alignment vertical="center"/>
    </xf>
    <xf numFmtId="0" fontId="52" fillId="0" borderId="0" xfId="16" applyFont="1" applyAlignment="1">
      <alignment horizontal="center" vertical="center"/>
    </xf>
    <xf numFmtId="0" fontId="52" fillId="0" borderId="0" xfId="16" applyFont="1">
      <alignment vertical="center"/>
    </xf>
    <xf numFmtId="0" fontId="11" fillId="0" borderId="0" xfId="16" applyFont="1">
      <alignment vertical="center"/>
    </xf>
    <xf numFmtId="0" fontId="53" fillId="0" borderId="22" xfId="16" applyFont="1" applyBorder="1" applyAlignment="1">
      <alignment vertical="center" wrapText="1"/>
    </xf>
    <xf numFmtId="0" fontId="53" fillId="0" borderId="21" xfId="16" applyFont="1" applyBorder="1" applyAlignment="1">
      <alignment vertical="center" wrapText="1"/>
    </xf>
    <xf numFmtId="0" fontId="1" fillId="4" borderId="35" xfId="16" applyFill="1" applyBorder="1">
      <alignment vertical="center"/>
    </xf>
    <xf numFmtId="0" fontId="18" fillId="0" borderId="22" xfId="16" applyFont="1" applyBorder="1" applyAlignment="1">
      <alignment horizontal="center" vertical="center"/>
    </xf>
    <xf numFmtId="0" fontId="18" fillId="0" borderId="21" xfId="16" applyFont="1" applyBorder="1" applyAlignment="1">
      <alignment horizontal="center" vertical="center"/>
    </xf>
    <xf numFmtId="0" fontId="18" fillId="0" borderId="35" xfId="16" applyFont="1" applyBorder="1" applyAlignment="1">
      <alignment horizontal="center" vertical="center"/>
    </xf>
    <xf numFmtId="0" fontId="11" fillId="0" borderId="0" xfId="16" applyFont="1" applyAlignment="1">
      <alignment horizontal="center" vertical="center"/>
    </xf>
    <xf numFmtId="0" fontId="53" fillId="0" borderId="24" xfId="16" applyFont="1" applyBorder="1" applyAlignment="1">
      <alignment vertical="center" wrapText="1"/>
    </xf>
    <xf numFmtId="0" fontId="53" fillId="0" borderId="0" xfId="16" applyFont="1" applyAlignment="1">
      <alignment vertical="center" wrapText="1"/>
    </xf>
    <xf numFmtId="0" fontId="53" fillId="0" borderId="0" xfId="16" applyFont="1" applyAlignment="1">
      <alignment horizontal="center" vertical="center" wrapText="1"/>
    </xf>
    <xf numFmtId="0" fontId="1" fillId="4" borderId="0" xfId="16" applyFill="1">
      <alignment vertical="center"/>
    </xf>
    <xf numFmtId="0" fontId="18" fillId="0" borderId="24" xfId="16" applyFont="1" applyBorder="1" applyAlignment="1">
      <alignment horizontal="center" vertical="center"/>
    </xf>
    <xf numFmtId="0" fontId="18" fillId="0" borderId="19" xfId="16" applyFont="1" applyBorder="1" applyAlignment="1">
      <alignment horizontal="center" vertical="center"/>
    </xf>
    <xf numFmtId="0" fontId="18" fillId="0" borderId="0" xfId="16" applyFont="1">
      <alignment vertical="center"/>
    </xf>
    <xf numFmtId="0" fontId="5" fillId="0" borderId="24" xfId="16" applyFont="1" applyBorder="1">
      <alignment vertical="center"/>
    </xf>
    <xf numFmtId="0" fontId="22" fillId="0" borderId="0" xfId="16" applyFont="1" applyAlignment="1">
      <alignment vertical="center" wrapText="1"/>
    </xf>
    <xf numFmtId="0" fontId="12" fillId="0" borderId="0" xfId="16" applyFont="1" applyAlignment="1">
      <alignment horizontal="center" vertical="center" wrapText="1"/>
    </xf>
    <xf numFmtId="0" fontId="25" fillId="0" borderId="19" xfId="16" applyFont="1" applyBorder="1" applyAlignment="1">
      <alignment horizontal="center" vertical="center" wrapText="1"/>
    </xf>
    <xf numFmtId="0" fontId="11" fillId="0" borderId="0" xfId="17" applyFont="1" applyAlignment="1">
      <alignment horizontal="center" vertical="center" wrapText="1"/>
    </xf>
    <xf numFmtId="0" fontId="11" fillId="0" borderId="0" xfId="16" applyFont="1" applyAlignment="1">
      <alignment horizontal="center" vertical="center" wrapText="1"/>
    </xf>
    <xf numFmtId="0" fontId="54" fillId="0" borderId="0" xfId="16" applyFont="1" applyAlignment="1">
      <alignment vertical="center" wrapText="1"/>
    </xf>
    <xf numFmtId="0" fontId="9" fillId="0" borderId="0" xfId="16" applyFont="1" applyAlignment="1">
      <alignment vertical="center" wrapText="1"/>
    </xf>
    <xf numFmtId="0" fontId="1" fillId="0" borderId="19" xfId="16" applyBorder="1">
      <alignment vertical="center"/>
    </xf>
    <xf numFmtId="0" fontId="11" fillId="0" borderId="0" xfId="17" applyFont="1" applyAlignment="1">
      <alignment vertical="center" wrapText="1"/>
    </xf>
    <xf numFmtId="0" fontId="5" fillId="0" borderId="0" xfId="17" applyFont="1" applyAlignment="1">
      <alignment vertical="center" wrapText="1"/>
    </xf>
    <xf numFmtId="0" fontId="23" fillId="0" borderId="0" xfId="16" applyFont="1" applyAlignment="1">
      <alignment vertical="center" wrapText="1"/>
    </xf>
    <xf numFmtId="0" fontId="21" fillId="0" borderId="0" xfId="16" applyFont="1" applyAlignment="1">
      <alignment vertical="center" wrapText="1"/>
    </xf>
    <xf numFmtId="0" fontId="1" fillId="3" borderId="0" xfId="16" applyFill="1">
      <alignment vertical="center"/>
    </xf>
    <xf numFmtId="0" fontId="22" fillId="0" borderId="0" xfId="16" applyFont="1" applyAlignment="1">
      <alignment horizontal="center" vertical="center" wrapText="1"/>
    </xf>
    <xf numFmtId="0" fontId="22" fillId="0" borderId="0" xfId="16" applyFont="1">
      <alignment vertical="center"/>
    </xf>
    <xf numFmtId="0" fontId="21" fillId="0" borderId="0" xfId="17" applyFont="1" applyAlignment="1">
      <alignment vertical="center" wrapText="1"/>
    </xf>
    <xf numFmtId="0" fontId="18" fillId="0" borderId="0" xfId="16" applyFont="1" applyAlignment="1">
      <alignment vertical="center" wrapText="1"/>
    </xf>
    <xf numFmtId="0" fontId="53" fillId="0" borderId="36" xfId="16" applyFont="1" applyBorder="1" applyAlignment="1">
      <alignment vertical="center" wrapText="1"/>
    </xf>
    <xf numFmtId="0" fontId="1" fillId="0" borderId="24" xfId="16" applyBorder="1">
      <alignment vertical="center"/>
    </xf>
    <xf numFmtId="0" fontId="55" fillId="0" borderId="0" xfId="16" applyFont="1">
      <alignment vertical="center"/>
    </xf>
    <xf numFmtId="0" fontId="53" fillId="0" borderId="39" xfId="16" applyFont="1" applyBorder="1" applyAlignment="1">
      <alignment vertical="center" wrapText="1"/>
    </xf>
    <xf numFmtId="0" fontId="53" fillId="0" borderId="23" xfId="16" applyFont="1" applyBorder="1" applyAlignment="1">
      <alignment vertical="center" wrapText="1"/>
    </xf>
    <xf numFmtId="0" fontId="12" fillId="0" borderId="0" xfId="16" applyFont="1" applyAlignment="1">
      <alignment vertical="center" wrapText="1"/>
    </xf>
    <xf numFmtId="0" fontId="1" fillId="0" borderId="24" xfId="16" applyBorder="1" applyAlignment="1">
      <alignment vertical="center" wrapText="1"/>
    </xf>
    <xf numFmtId="0" fontId="9" fillId="0" borderId="0" xfId="17" applyFont="1" applyAlignment="1">
      <alignment vertical="center" wrapText="1"/>
    </xf>
    <xf numFmtId="0" fontId="18" fillId="0" borderId="0" xfId="16" applyFont="1" applyAlignment="1">
      <alignment horizontal="center" vertical="center" wrapText="1"/>
    </xf>
    <xf numFmtId="0" fontId="4" fillId="0" borderId="19" xfId="16" applyFont="1" applyBorder="1" applyAlignment="1">
      <alignment horizontal="center" vertical="center" wrapText="1"/>
    </xf>
    <xf numFmtId="0" fontId="4" fillId="0" borderId="24" xfId="16" applyFont="1" applyBorder="1" applyAlignment="1">
      <alignment vertical="center" wrapText="1"/>
    </xf>
    <xf numFmtId="0" fontId="57" fillId="0" borderId="0" xfId="16" applyFont="1" applyAlignment="1">
      <alignment vertical="center" wrapText="1"/>
    </xf>
    <xf numFmtId="0" fontId="1" fillId="0" borderId="19" xfId="16" applyBorder="1" applyAlignment="1">
      <alignment vertical="center" wrapText="1"/>
    </xf>
    <xf numFmtId="0" fontId="57" fillId="0" borderId="0" xfId="16" applyFont="1">
      <alignment vertical="center"/>
    </xf>
    <xf numFmtId="0" fontId="0" fillId="0" borderId="0" xfId="16" applyFont="1" applyAlignment="1">
      <alignment vertical="center" wrapText="1"/>
    </xf>
    <xf numFmtId="0" fontId="5" fillId="17" borderId="24" xfId="16" applyFont="1" applyFill="1" applyBorder="1" applyAlignment="1">
      <alignment vertical="center" wrapText="1"/>
    </xf>
    <xf numFmtId="0" fontId="5" fillId="17" borderId="0" xfId="16" applyFont="1" applyFill="1" applyAlignment="1">
      <alignment vertical="center" wrapText="1"/>
    </xf>
    <xf numFmtId="0" fontId="59" fillId="0" borderId="0" xfId="16" applyFont="1">
      <alignment vertical="center"/>
    </xf>
    <xf numFmtId="0" fontId="18" fillId="3" borderId="0" xfId="16" applyFont="1" applyFill="1" applyAlignment="1">
      <alignment horizontal="center" vertical="center" wrapText="1"/>
    </xf>
    <xf numFmtId="0" fontId="22" fillId="0" borderId="0" xfId="17" applyFont="1" applyAlignment="1">
      <alignment vertical="center" wrapText="1"/>
    </xf>
    <xf numFmtId="0" fontId="9" fillId="3" borderId="0" xfId="16" applyFont="1" applyFill="1" applyAlignment="1">
      <alignment horizontal="center" vertical="center" wrapText="1"/>
    </xf>
    <xf numFmtId="0" fontId="19" fillId="0" borderId="24" xfId="16" applyFont="1" applyBorder="1" applyAlignment="1">
      <alignment vertical="center" wrapText="1"/>
    </xf>
    <xf numFmtId="0" fontId="18" fillId="0" borderId="0" xfId="17" applyFont="1" applyAlignment="1">
      <alignment vertical="center" wrapText="1"/>
    </xf>
    <xf numFmtId="0" fontId="60" fillId="0" borderId="0" xfId="16" applyFont="1" applyAlignment="1">
      <alignment horizontal="center" vertical="center" wrapText="1"/>
    </xf>
    <xf numFmtId="0" fontId="22" fillId="3" borderId="24" xfId="16" applyFont="1" applyFill="1" applyBorder="1" applyAlignment="1">
      <alignment vertical="center" wrapText="1"/>
    </xf>
    <xf numFmtId="0" fontId="27" fillId="18" borderId="19" xfId="16" applyFont="1" applyFill="1" applyBorder="1" applyAlignment="1">
      <alignment vertical="center" wrapText="1"/>
    </xf>
    <xf numFmtId="0" fontId="61" fillId="0" borderId="0" xfId="16" applyFont="1" applyAlignment="1">
      <alignment vertical="center" wrapText="1"/>
    </xf>
    <xf numFmtId="0" fontId="21" fillId="0" borderId="19" xfId="16" applyFont="1" applyBorder="1" applyAlignment="1">
      <alignment horizontal="center" vertical="center" wrapText="1"/>
    </xf>
    <xf numFmtId="0" fontId="14" fillId="0" borderId="0" xfId="16" applyFont="1">
      <alignment vertical="center"/>
    </xf>
    <xf numFmtId="0" fontId="11" fillId="0" borderId="0" xfId="5" applyFont="1" applyAlignment="1">
      <alignment horizontal="center" vertical="center" wrapText="1"/>
    </xf>
    <xf numFmtId="0" fontId="1" fillId="4" borderId="84" xfId="16" applyFill="1" applyBorder="1">
      <alignment vertical="center"/>
    </xf>
    <xf numFmtId="0" fontId="9" fillId="0" borderId="19" xfId="5" applyFont="1" applyBorder="1" applyAlignment="1">
      <alignment horizontal="center" vertical="center" wrapText="1"/>
    </xf>
    <xf numFmtId="0" fontId="11" fillId="0" borderId="19" xfId="5" applyFont="1" applyBorder="1" applyAlignment="1">
      <alignment horizontal="center" vertical="center" wrapText="1"/>
    </xf>
    <xf numFmtId="0" fontId="21" fillId="3" borderId="0" xfId="17" applyFont="1" applyFill="1" applyAlignment="1">
      <alignment vertical="center" wrapText="1"/>
    </xf>
    <xf numFmtId="0" fontId="15" fillId="0" borderId="0" xfId="16" applyFont="1">
      <alignment vertical="center"/>
    </xf>
    <xf numFmtId="0" fontId="9" fillId="3" borderId="0" xfId="16" applyFont="1" applyFill="1" applyAlignment="1">
      <alignment vertical="center" wrapText="1"/>
    </xf>
    <xf numFmtId="0" fontId="9" fillId="0" borderId="0" xfId="5" applyFont="1" applyAlignment="1">
      <alignment horizontal="center" vertical="center" wrapText="1"/>
    </xf>
    <xf numFmtId="0" fontId="27" fillId="3" borderId="24" xfId="17" applyFont="1" applyFill="1" applyBorder="1" applyAlignment="1">
      <alignment vertical="center" wrapText="1"/>
    </xf>
    <xf numFmtId="0" fontId="27" fillId="3" borderId="0" xfId="17" applyFont="1" applyFill="1" applyAlignment="1">
      <alignment vertical="center" wrapText="1"/>
    </xf>
    <xf numFmtId="0" fontId="36" fillId="0" borderId="0" xfId="16" applyFont="1" applyAlignment="1">
      <alignment vertical="center" wrapText="1"/>
    </xf>
    <xf numFmtId="0" fontId="13" fillId="0" borderId="0" xfId="16" applyFont="1">
      <alignment vertical="center"/>
    </xf>
    <xf numFmtId="0" fontId="21" fillId="0" borderId="36" xfId="17" applyFont="1" applyBorder="1" applyAlignment="1">
      <alignment vertical="center" wrapText="1"/>
    </xf>
    <xf numFmtId="0" fontId="14" fillId="4" borderId="0" xfId="16" applyFont="1" applyFill="1" applyAlignment="1">
      <alignment horizontal="center" vertical="center"/>
    </xf>
    <xf numFmtId="0" fontId="5" fillId="0" borderId="84" xfId="16" applyFont="1" applyBorder="1" applyAlignment="1">
      <alignment vertical="center" wrapText="1"/>
    </xf>
    <xf numFmtId="0" fontId="18" fillId="0" borderId="84" xfId="16" applyFont="1" applyBorder="1" applyAlignment="1">
      <alignment horizontal="center" vertical="center"/>
    </xf>
    <xf numFmtId="0" fontId="9" fillId="0" borderId="86" xfId="5" applyFont="1" applyBorder="1" applyAlignment="1">
      <alignment horizontal="center" vertical="center" wrapText="1"/>
    </xf>
    <xf numFmtId="0" fontId="12" fillId="0" borderId="39" xfId="16" applyFont="1" applyBorder="1" applyAlignment="1">
      <alignment vertical="center" wrapText="1"/>
    </xf>
    <xf numFmtId="0" fontId="18" fillId="0" borderId="39" xfId="16" applyFont="1" applyBorder="1" applyAlignment="1">
      <alignment horizontal="center" vertical="center" wrapText="1"/>
    </xf>
    <xf numFmtId="0" fontId="11" fillId="3" borderId="0" xfId="5" applyFont="1" applyFill="1" applyAlignment="1">
      <alignment vertical="center" wrapText="1"/>
    </xf>
    <xf numFmtId="0" fontId="11" fillId="0" borderId="0" xfId="5" applyFont="1" applyAlignment="1">
      <alignment vertical="center" wrapText="1"/>
    </xf>
    <xf numFmtId="0" fontId="53" fillId="0" borderId="35" xfId="16" applyFont="1" applyBorder="1" applyAlignment="1">
      <alignment vertical="center" wrapText="1"/>
    </xf>
    <xf numFmtId="0" fontId="13" fillId="4" borderId="0" xfId="16" applyFont="1" applyFill="1" applyAlignment="1">
      <alignment horizontal="center" vertical="center"/>
    </xf>
    <xf numFmtId="0" fontId="11" fillId="0" borderId="22" xfId="16" applyFont="1" applyBorder="1" applyAlignment="1">
      <alignment vertical="top" wrapText="1"/>
    </xf>
    <xf numFmtId="0" fontId="11" fillId="0" borderId="21" xfId="16" applyFont="1" applyBorder="1" applyAlignment="1">
      <alignment vertical="top" wrapText="1"/>
    </xf>
    <xf numFmtId="0" fontId="11" fillId="3" borderId="0" xfId="17" applyFont="1" applyFill="1" applyAlignment="1">
      <alignment vertical="center" wrapText="1"/>
    </xf>
    <xf numFmtId="0" fontId="53" fillId="0" borderId="19" xfId="16" applyFont="1" applyBorder="1" applyAlignment="1">
      <alignment vertical="center" wrapText="1"/>
    </xf>
    <xf numFmtId="0" fontId="21" fillId="0" borderId="0" xfId="16" applyFont="1" applyAlignment="1">
      <alignment horizontal="center" vertical="center" wrapText="1"/>
    </xf>
    <xf numFmtId="0" fontId="11" fillId="3" borderId="0" xfId="16" applyFont="1" applyFill="1" applyAlignment="1">
      <alignment horizontal="center" vertical="center" wrapText="1"/>
    </xf>
    <xf numFmtId="0" fontId="13" fillId="0" borderId="24" xfId="16" applyFont="1" applyBorder="1">
      <alignment vertical="center"/>
    </xf>
    <xf numFmtId="0" fontId="11" fillId="0" borderId="24" xfId="16" applyFont="1" applyBorder="1" applyAlignment="1">
      <alignment vertical="top" wrapText="1"/>
    </xf>
    <xf numFmtId="0" fontId="11" fillId="0" borderId="0" xfId="16" applyFont="1" applyAlignment="1">
      <alignment vertical="top" wrapText="1"/>
    </xf>
    <xf numFmtId="0" fontId="36" fillId="3" borderId="0" xfId="17" applyFont="1" applyFill="1" applyAlignment="1">
      <alignment vertical="center" wrapText="1"/>
    </xf>
    <xf numFmtId="0" fontId="48" fillId="0" borderId="0" xfId="16" applyFont="1" applyAlignment="1">
      <alignment horizontal="center" vertical="center" wrapText="1"/>
    </xf>
    <xf numFmtId="0" fontId="11" fillId="0" borderId="19" xfId="17" applyFont="1" applyBorder="1" applyAlignment="1">
      <alignment vertical="center" wrapText="1"/>
    </xf>
    <xf numFmtId="0" fontId="63" fillId="3" borderId="0" xfId="19" applyFont="1" applyFill="1" applyAlignment="1">
      <alignment vertical="center" wrapText="1"/>
    </xf>
    <xf numFmtId="0" fontId="62" fillId="3" borderId="0" xfId="16" applyFont="1" applyFill="1" applyAlignment="1">
      <alignment vertical="center" wrapText="1"/>
    </xf>
    <xf numFmtId="0" fontId="53" fillId="0" borderId="40" xfId="16" applyFont="1" applyBorder="1" applyAlignment="1">
      <alignment vertical="center" wrapText="1"/>
    </xf>
    <xf numFmtId="0" fontId="57" fillId="3" borderId="0" xfId="17" applyFont="1" applyFill="1" applyAlignment="1">
      <alignment vertical="center" wrapText="1"/>
    </xf>
    <xf numFmtId="0" fontId="36" fillId="3" borderId="0" xfId="19" applyFont="1" applyFill="1" applyAlignment="1">
      <alignment vertical="center" wrapText="1"/>
    </xf>
    <xf numFmtId="0" fontId="21" fillId="0" borderId="0" xfId="16" applyFont="1" applyAlignment="1">
      <alignment horizontal="center" vertical="center"/>
    </xf>
    <xf numFmtId="0" fontId="48" fillId="3" borderId="0" xfId="19" applyFont="1" applyFill="1" applyAlignment="1">
      <alignment vertical="center" wrapText="1"/>
    </xf>
    <xf numFmtId="0" fontId="57" fillId="0" borderId="0" xfId="17" applyFont="1" applyAlignment="1">
      <alignment vertical="center" wrapText="1"/>
    </xf>
    <xf numFmtId="0" fontId="57" fillId="3" borderId="0" xfId="16" applyFont="1" applyFill="1" applyAlignment="1">
      <alignment vertical="center" wrapText="1"/>
    </xf>
    <xf numFmtId="0" fontId="21" fillId="0" borderId="24" xfId="16" applyFont="1" applyBorder="1" applyAlignment="1">
      <alignment vertical="center" wrapText="1"/>
    </xf>
    <xf numFmtId="0" fontId="57" fillId="3" borderId="24" xfId="17" applyFont="1" applyFill="1" applyBorder="1" applyAlignment="1">
      <alignment vertical="center" wrapText="1"/>
    </xf>
    <xf numFmtId="0" fontId="48" fillId="0" borderId="0" xfId="16" applyFont="1" applyAlignment="1">
      <alignment vertical="center" wrapText="1"/>
    </xf>
    <xf numFmtId="0" fontId="11" fillId="3" borderId="0" xfId="16" applyFont="1" applyFill="1" applyAlignment="1">
      <alignment vertical="center" wrapText="1"/>
    </xf>
    <xf numFmtId="0" fontId="21" fillId="0" borderId="0" xfId="16" applyFont="1">
      <alignment vertical="center"/>
    </xf>
    <xf numFmtId="0" fontId="36" fillId="0" borderId="24" xfId="16" applyFont="1" applyBorder="1" applyAlignment="1">
      <alignment vertical="center" wrapText="1"/>
    </xf>
    <xf numFmtId="0" fontId="56" fillId="0" borderId="0" xfId="17" applyFont="1" applyAlignment="1">
      <alignment vertical="center" wrapText="1"/>
    </xf>
    <xf numFmtId="0" fontId="43" fillId="0" borderId="24" xfId="16" applyFont="1" applyBorder="1" applyAlignment="1">
      <alignment horizontal="center" vertical="center" wrapText="1"/>
    </xf>
    <xf numFmtId="0" fontId="56" fillId="0" borderId="0" xfId="17" applyFont="1" applyAlignment="1">
      <alignment horizontal="center" vertical="center" wrapText="1"/>
    </xf>
    <xf numFmtId="0" fontId="9" fillId="0" borderId="24" xfId="16" applyFont="1" applyBorder="1" applyAlignment="1">
      <alignment horizontal="center" vertical="center" wrapText="1"/>
    </xf>
    <xf numFmtId="0" fontId="25" fillId="0" borderId="0" xfId="16" applyFont="1" applyAlignment="1">
      <alignment vertical="center" wrapText="1"/>
    </xf>
    <xf numFmtId="0" fontId="25" fillId="0" borderId="0" xfId="16" applyFont="1">
      <alignment vertical="center"/>
    </xf>
    <xf numFmtId="0" fontId="11" fillId="0" borderId="24" xfId="16" applyFont="1" applyBorder="1" applyAlignment="1">
      <alignment vertical="center" wrapText="1"/>
    </xf>
    <xf numFmtId="0" fontId="5" fillId="0" borderId="24" xfId="16" applyFont="1" applyBorder="1" applyAlignment="1">
      <alignment vertical="center" wrapText="1"/>
    </xf>
    <xf numFmtId="0" fontId="23" fillId="0" borderId="24" xfId="16" applyFont="1" applyBorder="1" applyAlignment="1">
      <alignment horizontal="center" vertical="center" wrapText="1"/>
    </xf>
    <xf numFmtId="0" fontId="18" fillId="3" borderId="0" xfId="5" applyFont="1" applyFill="1" applyAlignment="1">
      <alignment vertical="center" wrapText="1"/>
    </xf>
    <xf numFmtId="0" fontId="23" fillId="0" borderId="24" xfId="17" applyFont="1" applyBorder="1" applyAlignment="1">
      <alignment horizontal="center" vertical="center" wrapText="1"/>
    </xf>
    <xf numFmtId="0" fontId="9" fillId="0" borderId="24" xfId="17" applyFont="1" applyBorder="1" applyAlignment="1">
      <alignment horizontal="center" vertical="center" wrapText="1"/>
    </xf>
    <xf numFmtId="0" fontId="12" fillId="0" borderId="24" xfId="16" applyFont="1" applyBorder="1" applyAlignment="1">
      <alignment horizontal="center" vertical="center" wrapText="1"/>
    </xf>
    <xf numFmtId="0" fontId="31" fillId="0" borderId="24" xfId="17" applyFont="1" applyBorder="1" applyAlignment="1">
      <alignment vertical="center" wrapText="1"/>
    </xf>
    <xf numFmtId="0" fontId="31" fillId="0" borderId="0" xfId="16" applyFont="1" applyAlignment="1">
      <alignment horizontal="center" vertical="center" wrapText="1"/>
    </xf>
    <xf numFmtId="0" fontId="12" fillId="0" borderId="0" xfId="5" applyFont="1" applyAlignment="1">
      <alignment horizontal="center" vertical="center" wrapText="1"/>
    </xf>
    <xf numFmtId="0" fontId="6" fillId="0" borderId="0" xfId="16" applyFont="1">
      <alignment vertical="center"/>
    </xf>
    <xf numFmtId="0" fontId="49" fillId="0" borderId="0" xfId="16" applyFont="1">
      <alignment vertical="center"/>
    </xf>
    <xf numFmtId="0" fontId="5" fillId="8" borderId="22" xfId="16" applyFont="1" applyFill="1" applyBorder="1" applyAlignment="1">
      <alignment vertical="center" wrapText="1"/>
    </xf>
    <xf numFmtId="0" fontId="5" fillId="8" borderId="35" xfId="16" applyFont="1" applyFill="1" applyBorder="1" applyAlignment="1">
      <alignment vertical="center" wrapText="1"/>
    </xf>
    <xf numFmtId="0" fontId="27" fillId="0" borderId="0" xfId="16" applyFont="1" applyAlignment="1">
      <alignment vertical="center" wrapText="1"/>
    </xf>
    <xf numFmtId="0" fontId="5" fillId="8" borderId="24" xfId="16" applyFont="1" applyFill="1" applyBorder="1" applyAlignment="1">
      <alignment vertical="center" wrapText="1"/>
    </xf>
    <xf numFmtId="0" fontId="5" fillId="8" borderId="19" xfId="16" applyFont="1" applyFill="1" applyBorder="1" applyAlignment="1">
      <alignment vertical="center" wrapText="1"/>
    </xf>
    <xf numFmtId="0" fontId="11" fillId="0" borderId="0" xfId="19" applyFont="1" applyAlignment="1">
      <alignment horizontal="center" vertical="center" wrapText="1"/>
    </xf>
    <xf numFmtId="0" fontId="1" fillId="0" borderId="23" xfId="16" applyBorder="1">
      <alignment vertical="center"/>
    </xf>
    <xf numFmtId="0" fontId="56" fillId="0" borderId="34" xfId="16" applyFont="1" applyBorder="1" applyAlignment="1">
      <alignment horizontal="center" vertical="center" wrapText="1"/>
    </xf>
    <xf numFmtId="0" fontId="55" fillId="0" borderId="0" xfId="16" applyFont="1" applyAlignment="1">
      <alignment horizontal="center" vertical="center"/>
    </xf>
    <xf numFmtId="0" fontId="39" fillId="0" borderId="0" xfId="16" applyFont="1" applyAlignment="1">
      <alignment vertical="center" wrapText="1"/>
    </xf>
    <xf numFmtId="0" fontId="5" fillId="0" borderId="0" xfId="16" applyFont="1" applyAlignment="1">
      <alignment vertical="center" wrapText="1"/>
    </xf>
    <xf numFmtId="0" fontId="9" fillId="0" borderId="0" xfId="17" applyFont="1" applyAlignment="1">
      <alignment horizontal="center" vertical="center" wrapText="1"/>
    </xf>
    <xf numFmtId="0" fontId="9" fillId="3" borderId="0" xfId="16" applyFont="1" applyFill="1">
      <alignment vertical="center"/>
    </xf>
    <xf numFmtId="0" fontId="36" fillId="0" borderId="19" xfId="16" applyFont="1" applyBorder="1" applyAlignment="1">
      <alignment horizontal="center" vertical="center" wrapText="1"/>
    </xf>
    <xf numFmtId="0" fontId="53" fillId="0" borderId="20" xfId="16" applyFont="1" applyBorder="1" applyAlignment="1">
      <alignment vertical="center" wrapText="1"/>
    </xf>
    <xf numFmtId="0" fontId="1" fillId="4" borderId="23" xfId="16" applyFill="1" applyBorder="1">
      <alignment vertical="center"/>
    </xf>
    <xf numFmtId="0" fontId="5" fillId="8" borderId="36" xfId="16" applyFont="1" applyFill="1" applyBorder="1" applyAlignment="1">
      <alignment vertical="center" wrapText="1"/>
    </xf>
    <xf numFmtId="0" fontId="5" fillId="8" borderId="20" xfId="16" applyFont="1" applyFill="1" applyBorder="1" applyAlignment="1">
      <alignment vertical="center" wrapText="1"/>
    </xf>
    <xf numFmtId="0" fontId="52" fillId="18" borderId="0" xfId="16" applyFont="1" applyFill="1">
      <alignment vertical="center"/>
    </xf>
    <xf numFmtId="0" fontId="11" fillId="18" borderId="21" xfId="16" applyFont="1" applyFill="1" applyBorder="1" applyAlignment="1">
      <alignment vertical="center" wrapText="1"/>
    </xf>
    <xf numFmtId="0" fontId="11" fillId="0" borderId="21" xfId="16" applyFont="1" applyBorder="1" applyAlignment="1">
      <alignment vertical="center" wrapText="1"/>
    </xf>
    <xf numFmtId="0" fontId="11" fillId="0" borderId="21" xfId="16" applyFont="1" applyBorder="1" applyAlignment="1">
      <alignment horizontal="center" vertical="center" wrapText="1"/>
    </xf>
    <xf numFmtId="0" fontId="55" fillId="0" borderId="0" xfId="16" applyFont="1" applyAlignment="1">
      <alignment vertical="center" wrapText="1"/>
    </xf>
    <xf numFmtId="0" fontId="9" fillId="18" borderId="0" xfId="16" applyFont="1" applyFill="1" applyAlignment="1">
      <alignment vertical="center" wrapText="1"/>
    </xf>
    <xf numFmtId="0" fontId="11" fillId="18" borderId="0" xfId="16" applyFont="1" applyFill="1" applyAlignment="1">
      <alignment vertical="center" wrapText="1"/>
    </xf>
    <xf numFmtId="0" fontId="48" fillId="0" borderId="0" xfId="16" applyFont="1" applyAlignment="1">
      <alignment horizontal="center" vertical="center"/>
    </xf>
    <xf numFmtId="0" fontId="18" fillId="0" borderId="0" xfId="16" applyFont="1" applyAlignment="1">
      <alignment vertical="top" wrapText="1"/>
    </xf>
    <xf numFmtId="0" fontId="6" fillId="18" borderId="23" xfId="16" applyFont="1" applyFill="1" applyBorder="1" applyAlignment="1">
      <alignment horizontal="center" vertical="center"/>
    </xf>
    <xf numFmtId="0" fontId="5" fillId="18" borderId="0" xfId="16" applyFont="1" applyFill="1">
      <alignment vertical="center"/>
    </xf>
    <xf numFmtId="0" fontId="5" fillId="18" borderId="23" xfId="16" applyFont="1" applyFill="1" applyBorder="1">
      <alignment vertical="center"/>
    </xf>
    <xf numFmtId="41" fontId="5" fillId="18" borderId="23" xfId="20" applyFont="1" applyFill="1" applyBorder="1">
      <alignment vertical="center"/>
    </xf>
    <xf numFmtId="41" fontId="5" fillId="18" borderId="20" xfId="20" applyFont="1" applyFill="1" applyBorder="1">
      <alignment vertical="center"/>
    </xf>
    <xf numFmtId="0" fontId="9" fillId="18" borderId="0" xfId="16" applyFont="1" applyFill="1" applyAlignment="1">
      <alignment horizontal="center" vertical="center"/>
    </xf>
    <xf numFmtId="0" fontId="56" fillId="0" borderId="23" xfId="16" applyFont="1" applyBorder="1" applyAlignment="1">
      <alignment horizontal="center" vertical="center" wrapText="1"/>
    </xf>
    <xf numFmtId="0" fontId="11" fillId="0" borderId="69" xfId="16" applyFont="1" applyBorder="1" applyAlignment="1">
      <alignment vertical="center" wrapText="1"/>
    </xf>
    <xf numFmtId="0" fontId="25" fillId="0" borderId="23" xfId="16" applyFont="1" applyBorder="1" applyAlignment="1">
      <alignment horizontal="center" vertical="center" wrapText="1"/>
    </xf>
    <xf numFmtId="0" fontId="25" fillId="0" borderId="20" xfId="16" applyFont="1" applyBorder="1" applyAlignment="1">
      <alignment horizontal="center" vertical="center" wrapText="1"/>
    </xf>
    <xf numFmtId="0" fontId="11" fillId="18" borderId="19" xfId="16" applyFont="1" applyFill="1" applyBorder="1" applyAlignment="1">
      <alignment vertical="center" wrapText="1"/>
    </xf>
    <xf numFmtId="0" fontId="56" fillId="0" borderId="36" xfId="16" applyFont="1" applyBorder="1" applyAlignment="1">
      <alignment horizontal="center" vertical="center" wrapText="1"/>
    </xf>
    <xf numFmtId="0" fontId="55" fillId="0" borderId="0" xfId="16" applyFont="1" applyAlignment="1">
      <alignment vertical="top" wrapText="1"/>
    </xf>
    <xf numFmtId="0" fontId="1" fillId="0" borderId="21" xfId="16" applyBorder="1">
      <alignment vertical="center"/>
    </xf>
    <xf numFmtId="0" fontId="25" fillId="0" borderId="21" xfId="16" applyFont="1" applyBorder="1" applyAlignment="1">
      <alignment horizontal="center" vertical="center" wrapText="1"/>
    </xf>
    <xf numFmtId="0" fontId="11" fillId="18" borderId="23" xfId="16" applyFont="1" applyFill="1" applyBorder="1" applyAlignment="1">
      <alignment vertical="center" wrapText="1"/>
    </xf>
    <xf numFmtId="0" fontId="61" fillId="0" borderId="23" xfId="16" applyFont="1" applyBorder="1" applyAlignment="1">
      <alignment vertical="center" wrapText="1"/>
    </xf>
    <xf numFmtId="0" fontId="11" fillId="18" borderId="20" xfId="16" applyFont="1" applyFill="1" applyBorder="1" applyAlignment="1">
      <alignment vertical="center" wrapText="1"/>
    </xf>
    <xf numFmtId="0" fontId="9" fillId="0" borderId="36" xfId="16" applyFont="1" applyBorder="1" applyAlignment="1">
      <alignment horizontal="center" vertical="center"/>
    </xf>
    <xf numFmtId="0" fontId="9" fillId="0" borderId="23" xfId="16" applyFont="1" applyBorder="1" applyAlignment="1">
      <alignment horizontal="center" vertical="center"/>
    </xf>
    <xf numFmtId="0" fontId="9" fillId="18" borderId="23" xfId="16" applyFont="1" applyFill="1" applyBorder="1" applyAlignment="1">
      <alignment horizontal="center" vertical="center"/>
    </xf>
    <xf numFmtId="0" fontId="67" fillId="0" borderId="0" xfId="16" applyFont="1" applyAlignment="1">
      <alignment horizontal="center" vertical="center"/>
    </xf>
    <xf numFmtId="0" fontId="11" fillId="0" borderId="42" xfId="16" applyFont="1" applyBorder="1" applyAlignment="1">
      <alignment vertical="center" wrapText="1"/>
    </xf>
    <xf numFmtId="0" fontId="28" fillId="8" borderId="43" xfId="16" applyFont="1" applyFill="1" applyBorder="1">
      <alignment vertical="center"/>
    </xf>
    <xf numFmtId="0" fontId="28" fillId="8" borderId="39" xfId="16" applyFont="1" applyFill="1" applyBorder="1">
      <alignment vertical="center"/>
    </xf>
    <xf numFmtId="0" fontId="28" fillId="8" borderId="21" xfId="16" applyFont="1" applyFill="1" applyBorder="1">
      <alignment vertical="center"/>
    </xf>
    <xf numFmtId="0" fontId="28" fillId="8" borderId="35" xfId="16" applyFont="1" applyFill="1" applyBorder="1">
      <alignment vertical="center"/>
    </xf>
    <xf numFmtId="0" fontId="28" fillId="0" borderId="0" xfId="16" applyFont="1">
      <alignment vertical="center"/>
    </xf>
    <xf numFmtId="0" fontId="28" fillId="0" borderId="0" xfId="16" applyFont="1" applyAlignment="1">
      <alignment horizontal="center" vertical="center"/>
    </xf>
    <xf numFmtId="0" fontId="21" fillId="21" borderId="0" xfId="16" applyFont="1" applyFill="1" applyAlignment="1">
      <alignment vertical="center" wrapText="1"/>
    </xf>
    <xf numFmtId="0" fontId="21" fillId="21" borderId="0" xfId="16" applyFont="1" applyFill="1">
      <alignment vertical="center"/>
    </xf>
    <xf numFmtId="0" fontId="67" fillId="21" borderId="0" xfId="16" applyFont="1" applyFill="1" applyAlignment="1">
      <alignment horizontal="center" vertical="center"/>
    </xf>
    <xf numFmtId="0" fontId="25" fillId="21" borderId="0" xfId="16" applyFont="1" applyFill="1" applyAlignment="1">
      <alignment horizontal="center" vertical="center" wrapText="1"/>
    </xf>
    <xf numFmtId="0" fontId="68" fillId="0" borderId="0" xfId="16" applyFont="1">
      <alignment vertical="center"/>
    </xf>
    <xf numFmtId="0" fontId="57" fillId="21" borderId="0" xfId="16" applyFont="1" applyFill="1" applyAlignment="1">
      <alignment vertical="center" wrapText="1"/>
    </xf>
    <xf numFmtId="0" fontId="1" fillId="21" borderId="0" xfId="16" applyFill="1">
      <alignment vertical="center"/>
    </xf>
    <xf numFmtId="0" fontId="44" fillId="21" borderId="0" xfId="16" applyFont="1" applyFill="1" applyAlignment="1">
      <alignment horizontal="center" vertical="center" wrapText="1"/>
    </xf>
    <xf numFmtId="0" fontId="65" fillId="0" borderId="0" xfId="16" applyFont="1" applyAlignment="1">
      <alignment horizontal="center" vertical="center" wrapText="1"/>
    </xf>
    <xf numFmtId="0" fontId="23" fillId="3" borderId="0" xfId="16" applyFont="1" applyFill="1" applyAlignment="1">
      <alignment vertical="center" wrapText="1"/>
    </xf>
    <xf numFmtId="0" fontId="69" fillId="21" borderId="0" xfId="16" applyFont="1" applyFill="1" applyAlignment="1">
      <alignment horizontal="center" vertical="center" wrapText="1"/>
    </xf>
    <xf numFmtId="0" fontId="15" fillId="0" borderId="0" xfId="16" applyFont="1" applyAlignment="1">
      <alignment horizontal="center" vertical="center"/>
    </xf>
    <xf numFmtId="0" fontId="69" fillId="21" borderId="0" xfId="16" applyFont="1" applyFill="1" applyAlignment="1">
      <alignment horizontal="center" vertical="center"/>
    </xf>
    <xf numFmtId="0" fontId="11" fillId="18" borderId="0" xfId="16" applyFont="1" applyFill="1">
      <alignment vertical="center"/>
    </xf>
    <xf numFmtId="0" fontId="36" fillId="0" borderId="24" xfId="16" applyFont="1" applyBorder="1" applyAlignment="1">
      <alignment horizontal="center" vertical="center" wrapText="1"/>
    </xf>
    <xf numFmtId="0" fontId="36" fillId="0" borderId="0" xfId="16" applyFont="1" applyAlignment="1">
      <alignment horizontal="center" vertical="center" wrapText="1"/>
    </xf>
    <xf numFmtId="0" fontId="36" fillId="0" borderId="35" xfId="16" applyFont="1" applyBorder="1" applyAlignment="1">
      <alignment horizontal="center" vertical="center" wrapText="1"/>
    </xf>
    <xf numFmtId="0" fontId="36" fillId="0" borderId="45" xfId="16" applyFont="1" applyBorder="1" applyAlignment="1">
      <alignment horizontal="center" vertical="center" wrapText="1"/>
    </xf>
    <xf numFmtId="0" fontId="57" fillId="0" borderId="21" xfId="16" applyFont="1" applyBorder="1" applyAlignment="1">
      <alignment horizontal="center" vertical="center"/>
    </xf>
    <xf numFmtId="0" fontId="49" fillId="0" borderId="0" xfId="16" applyFont="1" applyAlignment="1">
      <alignment horizontal="center" vertical="center"/>
    </xf>
    <xf numFmtId="0" fontId="44" fillId="21" borderId="0" xfId="16" applyFont="1" applyFill="1" applyAlignment="1">
      <alignment vertical="center" wrapText="1"/>
    </xf>
    <xf numFmtId="0" fontId="26" fillId="21" borderId="0" xfId="16" applyFont="1" applyFill="1">
      <alignment vertical="center"/>
    </xf>
    <xf numFmtId="0" fontId="25" fillId="21" borderId="0" xfId="16" applyFont="1" applyFill="1">
      <alignment vertical="center"/>
    </xf>
    <xf numFmtId="0" fontId="68" fillId="21" borderId="0" xfId="16" applyFont="1" applyFill="1">
      <alignment vertical="center"/>
    </xf>
    <xf numFmtId="0" fontId="49" fillId="0" borderId="88" xfId="16" applyFont="1" applyBorder="1">
      <alignment vertical="center"/>
    </xf>
    <xf numFmtId="0" fontId="1" fillId="0" borderId="89" xfId="16" applyBorder="1">
      <alignment vertical="center"/>
    </xf>
    <xf numFmtId="0" fontId="49" fillId="0" borderId="89" xfId="16" applyFont="1" applyBorder="1">
      <alignment vertical="center"/>
    </xf>
    <xf numFmtId="0" fontId="15" fillId="0" borderId="89" xfId="16" applyFont="1" applyBorder="1">
      <alignment vertical="center"/>
    </xf>
    <xf numFmtId="0" fontId="1" fillId="0" borderId="90" xfId="16" applyBorder="1">
      <alignment vertical="center"/>
    </xf>
    <xf numFmtId="0" fontId="1" fillId="0" borderId="91" xfId="16" applyBorder="1">
      <alignment vertical="center"/>
    </xf>
    <xf numFmtId="0" fontId="49" fillId="0" borderId="92" xfId="16" applyFont="1" applyBorder="1">
      <alignment vertical="center"/>
    </xf>
    <xf numFmtId="0" fontId="1" fillId="0" borderId="93" xfId="16" applyBorder="1">
      <alignment vertical="center"/>
    </xf>
    <xf numFmtId="0" fontId="49" fillId="0" borderId="93" xfId="16" applyFont="1" applyBorder="1">
      <alignment vertical="center"/>
    </xf>
    <xf numFmtId="0" fontId="15" fillId="0" borderId="93" xfId="16" applyFont="1" applyBorder="1">
      <alignment vertical="center"/>
    </xf>
    <xf numFmtId="0" fontId="1" fillId="0" borderId="94" xfId="16" applyBorder="1">
      <alignment vertical="center"/>
    </xf>
    <xf numFmtId="0" fontId="1" fillId="0" borderId="95" xfId="16" applyBorder="1">
      <alignment vertical="center"/>
    </xf>
    <xf numFmtId="0" fontId="1" fillId="0" borderId="0" xfId="19">
      <alignment vertical="center"/>
    </xf>
    <xf numFmtId="0" fontId="5" fillId="18" borderId="0" xfId="19" applyFont="1" applyFill="1">
      <alignment vertical="center"/>
    </xf>
    <xf numFmtId="0" fontId="15" fillId="0" borderId="0" xfId="19" applyFont="1" applyAlignment="1">
      <alignment horizontal="center" vertical="center"/>
    </xf>
    <xf numFmtId="0" fontId="5" fillId="0" borderId="0" xfId="19" applyFont="1">
      <alignment vertical="center"/>
    </xf>
    <xf numFmtId="0" fontId="25" fillId="0" borderId="0" xfId="19" applyFont="1" applyAlignment="1">
      <alignment horizontal="center" vertical="center"/>
    </xf>
    <xf numFmtId="0" fontId="25" fillId="2" borderId="45" xfId="16" applyFont="1" applyFill="1" applyBorder="1" applyAlignment="1">
      <alignment horizontal="center" vertical="center" wrapText="1"/>
    </xf>
    <xf numFmtId="0" fontId="25" fillId="2" borderId="42" xfId="16" applyFont="1" applyFill="1" applyBorder="1" applyAlignment="1">
      <alignment horizontal="center" vertical="center" wrapText="1"/>
    </xf>
    <xf numFmtId="0" fontId="25" fillId="2" borderId="44" xfId="16" applyFont="1" applyFill="1" applyBorder="1" applyAlignment="1">
      <alignment horizontal="center" vertical="center" wrapText="1"/>
    </xf>
    <xf numFmtId="0" fontId="5" fillId="20" borderId="24" xfId="16" applyFont="1" applyFill="1" applyBorder="1" applyAlignment="1">
      <alignment vertical="center" wrapText="1"/>
    </xf>
    <xf numFmtId="0" fontId="5" fillId="20" borderId="0" xfId="16" applyFont="1" applyFill="1" applyAlignment="1">
      <alignment vertical="center" wrapText="1"/>
    </xf>
    <xf numFmtId="0" fontId="5" fillId="20" borderId="19" xfId="16" applyFont="1" applyFill="1" applyBorder="1" applyAlignment="1">
      <alignment vertical="center" wrapText="1"/>
    </xf>
    <xf numFmtId="0" fontId="5" fillId="20" borderId="36" xfId="16" applyFont="1" applyFill="1" applyBorder="1" applyAlignment="1">
      <alignment vertical="center" wrapText="1"/>
    </xf>
    <xf numFmtId="0" fontId="5" fillId="20" borderId="23" xfId="16" applyFont="1" applyFill="1" applyBorder="1" applyAlignment="1">
      <alignment vertical="center" wrapText="1"/>
    </xf>
    <xf numFmtId="0" fontId="5" fillId="20" borderId="20" xfId="16" applyFont="1" applyFill="1" applyBorder="1" applyAlignment="1">
      <alignment vertical="center" wrapText="1"/>
    </xf>
    <xf numFmtId="0" fontId="5" fillId="29" borderId="3" xfId="0" applyFont="1" applyFill="1" applyBorder="1" applyAlignment="1">
      <alignment horizontal="center" vertical="center" wrapText="1"/>
    </xf>
    <xf numFmtId="0" fontId="5" fillId="29" borderId="3" xfId="16" applyFont="1" applyFill="1" applyBorder="1" applyAlignment="1">
      <alignment horizontal="center" vertical="center"/>
    </xf>
    <xf numFmtId="0" fontId="5" fillId="0" borderId="105" xfId="0" applyFont="1" applyBorder="1" applyAlignment="1">
      <alignment horizontal="center" vertical="center" wrapText="1"/>
    </xf>
    <xf numFmtId="0" fontId="75" fillId="29" borderId="3" xfId="0" applyFont="1" applyFill="1" applyBorder="1" applyAlignment="1">
      <alignment horizontal="center" vertical="center" wrapText="1"/>
    </xf>
    <xf numFmtId="9" fontId="76" fillId="0" borderId="3" xfId="2" applyFont="1" applyBorder="1">
      <alignment vertical="center"/>
    </xf>
    <xf numFmtId="0" fontId="26" fillId="0" borderId="0" xfId="16" applyFont="1">
      <alignment vertical="center"/>
    </xf>
    <xf numFmtId="0" fontId="71" fillId="0" borderId="8" xfId="16" applyFont="1" applyBorder="1" applyAlignment="1">
      <alignment vertical="top" wrapText="1"/>
    </xf>
    <xf numFmtId="0" fontId="71" fillId="0" borderId="29" xfId="16" applyFont="1" applyBorder="1" applyAlignment="1">
      <alignment vertical="top" wrapText="1"/>
    </xf>
    <xf numFmtId="0" fontId="44" fillId="0" borderId="0" xfId="16" applyFont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70" fillId="0" borderId="102" xfId="0" applyFont="1" applyBorder="1" applyAlignment="1">
      <alignment vertical="center" wrapText="1"/>
    </xf>
    <xf numFmtId="0" fontId="71" fillId="0" borderId="103" xfId="0" applyFont="1" applyBorder="1" applyAlignment="1">
      <alignment horizontal="center" vertical="center" wrapText="1"/>
    </xf>
    <xf numFmtId="0" fontId="71" fillId="0" borderId="104" xfId="0" applyFont="1" applyBorder="1" applyAlignment="1">
      <alignment horizontal="center" vertical="center" wrapText="1"/>
    </xf>
    <xf numFmtId="0" fontId="5" fillId="0" borderId="100" xfId="16" applyFont="1" applyBorder="1" applyAlignment="1">
      <alignment horizontal="center" vertical="center" wrapText="1"/>
    </xf>
    <xf numFmtId="0" fontId="71" fillId="22" borderId="29" xfId="16" applyFont="1" applyFill="1" applyBorder="1" applyAlignment="1">
      <alignment vertical="top" wrapText="1"/>
    </xf>
    <xf numFmtId="0" fontId="71" fillId="22" borderId="8" xfId="16" applyFont="1" applyFill="1" applyBorder="1" applyAlignment="1">
      <alignment vertical="top" wrapText="1"/>
    </xf>
    <xf numFmtId="0" fontId="70" fillId="30" borderId="97" xfId="0" applyFont="1" applyFill="1" applyBorder="1" applyAlignment="1">
      <alignment horizontal="center" vertical="center" wrapText="1"/>
    </xf>
    <xf numFmtId="0" fontId="77" fillId="22" borderId="0" xfId="16" applyFont="1" applyFill="1" applyAlignment="1">
      <alignment horizontal="left" vertical="top" wrapText="1"/>
    </xf>
    <xf numFmtId="0" fontId="5" fillId="22" borderId="22" xfId="16" applyFont="1" applyFill="1" applyBorder="1">
      <alignment vertical="center"/>
    </xf>
    <xf numFmtId="0" fontId="5" fillId="22" borderId="21" xfId="16" applyFont="1" applyFill="1" applyBorder="1">
      <alignment vertical="center"/>
    </xf>
    <xf numFmtId="0" fontId="5" fillId="22" borderId="35" xfId="16" applyFont="1" applyFill="1" applyBorder="1">
      <alignment vertical="center"/>
    </xf>
    <xf numFmtId="0" fontId="71" fillId="30" borderId="29" xfId="16" applyFont="1" applyFill="1" applyBorder="1" applyAlignment="1">
      <alignment vertical="top" wrapText="1"/>
    </xf>
    <xf numFmtId="0" fontId="71" fillId="30" borderId="8" xfId="16" applyFont="1" applyFill="1" applyBorder="1" applyAlignment="1">
      <alignment vertical="top" wrapText="1"/>
    </xf>
    <xf numFmtId="0" fontId="72" fillId="31" borderId="22" xfId="19" applyFont="1" applyFill="1" applyBorder="1">
      <alignment vertical="center"/>
    </xf>
    <xf numFmtId="0" fontId="72" fillId="31" borderId="21" xfId="19" applyFont="1" applyFill="1" applyBorder="1">
      <alignment vertical="center"/>
    </xf>
    <xf numFmtId="0" fontId="72" fillId="31" borderId="35" xfId="19" applyFont="1" applyFill="1" applyBorder="1">
      <alignment vertical="center"/>
    </xf>
    <xf numFmtId="0" fontId="70" fillId="31" borderId="0" xfId="16" applyFont="1" applyFill="1" applyAlignment="1">
      <alignment vertical="center" wrapText="1"/>
    </xf>
    <xf numFmtId="0" fontId="71" fillId="21" borderId="29" xfId="16" applyFont="1" applyFill="1" applyBorder="1" applyAlignment="1">
      <alignment vertical="top" wrapText="1"/>
    </xf>
    <xf numFmtId="0" fontId="71" fillId="32" borderId="8" xfId="16" applyFont="1" applyFill="1" applyBorder="1" applyAlignment="1">
      <alignment vertical="top" wrapText="1"/>
    </xf>
    <xf numFmtId="0" fontId="71" fillId="32" borderId="29" xfId="16" applyFont="1" applyFill="1" applyBorder="1" applyAlignment="1">
      <alignment vertical="top" wrapText="1"/>
    </xf>
    <xf numFmtId="0" fontId="5" fillId="32" borderId="3" xfId="0" applyFont="1" applyFill="1" applyBorder="1" applyAlignment="1">
      <alignment horizontal="center" vertical="center" wrapText="1"/>
    </xf>
    <xf numFmtId="0" fontId="5" fillId="21" borderId="3" xfId="0" applyFont="1" applyFill="1" applyBorder="1" applyAlignment="1">
      <alignment horizontal="center" vertical="center" wrapText="1"/>
    </xf>
    <xf numFmtId="0" fontId="72" fillId="31" borderId="43" xfId="19" applyFont="1" applyFill="1" applyBorder="1">
      <alignment vertical="center"/>
    </xf>
    <xf numFmtId="0" fontId="72" fillId="31" borderId="39" xfId="19" applyFont="1" applyFill="1" applyBorder="1">
      <alignment vertical="center"/>
    </xf>
    <xf numFmtId="0" fontId="72" fillId="31" borderId="40" xfId="19" applyFont="1" applyFill="1" applyBorder="1">
      <alignment vertical="center"/>
    </xf>
    <xf numFmtId="0" fontId="70" fillId="31" borderId="0" xfId="19" applyFont="1" applyFill="1">
      <alignment vertical="center"/>
    </xf>
    <xf numFmtId="0" fontId="70" fillId="0" borderId="0" xfId="16" applyFont="1">
      <alignment vertical="center"/>
    </xf>
    <xf numFmtId="0" fontId="5" fillId="31" borderId="24" xfId="16" applyFont="1" applyFill="1" applyBorder="1">
      <alignment vertical="center"/>
    </xf>
    <xf numFmtId="0" fontId="44" fillId="0" borderId="106" xfId="16" applyFont="1" applyBorder="1" applyAlignment="1">
      <alignment horizontal="center" vertical="center" wrapText="1"/>
    </xf>
    <xf numFmtId="0" fontId="70" fillId="0" borderId="106" xfId="16" applyFont="1" applyBorder="1" applyAlignment="1">
      <alignment horizontal="center" vertical="center" wrapText="1"/>
    </xf>
    <xf numFmtId="0" fontId="70" fillId="30" borderId="106" xfId="16" applyFont="1" applyFill="1" applyBorder="1" applyAlignment="1">
      <alignment horizontal="center" vertical="center" wrapText="1"/>
    </xf>
    <xf numFmtId="0" fontId="70" fillId="31" borderId="106" xfId="16" applyFont="1" applyFill="1" applyBorder="1">
      <alignment vertical="center"/>
    </xf>
    <xf numFmtId="0" fontId="1" fillId="0" borderId="106" xfId="16" applyBorder="1">
      <alignment vertical="center"/>
    </xf>
    <xf numFmtId="0" fontId="13" fillId="0" borderId="106" xfId="16" applyFont="1" applyBorder="1">
      <alignment vertical="center"/>
    </xf>
    <xf numFmtId="0" fontId="44" fillId="0" borderId="107" xfId="16" applyFont="1" applyBorder="1" applyAlignment="1">
      <alignment horizontal="center" vertical="center" wrapText="1"/>
    </xf>
    <xf numFmtId="0" fontId="70" fillId="0" borderId="107" xfId="16" applyFont="1" applyBorder="1" applyAlignment="1">
      <alignment horizontal="center" vertical="center" wrapText="1"/>
    </xf>
    <xf numFmtId="0" fontId="70" fillId="30" borderId="107" xfId="16" applyFont="1" applyFill="1" applyBorder="1" applyAlignment="1">
      <alignment horizontal="center" vertical="center" wrapText="1"/>
    </xf>
    <xf numFmtId="0" fontId="44" fillId="31" borderId="107" xfId="16" applyFont="1" applyFill="1" applyBorder="1" applyAlignment="1">
      <alignment horizontal="center" vertical="center" wrapText="1"/>
    </xf>
    <xf numFmtId="0" fontId="5" fillId="0" borderId="107" xfId="16" applyFont="1" applyBorder="1">
      <alignment vertical="center"/>
    </xf>
    <xf numFmtId="0" fontId="5" fillId="22" borderId="3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9" fontId="6" fillId="0" borderId="0" xfId="2" applyFont="1">
      <alignment vertical="center"/>
    </xf>
    <xf numFmtId="0" fontId="70" fillId="30" borderId="19" xfId="16" applyFont="1" applyFill="1" applyBorder="1" applyAlignment="1">
      <alignment horizontal="center" vertical="center" wrapText="1"/>
    </xf>
    <xf numFmtId="0" fontId="71" fillId="33" borderId="29" xfId="16" applyFont="1" applyFill="1" applyBorder="1" applyAlignment="1">
      <alignment vertical="top" wrapText="1"/>
    </xf>
    <xf numFmtId="0" fontId="71" fillId="33" borderId="8" xfId="16" applyFont="1" applyFill="1" applyBorder="1" applyAlignment="1">
      <alignment vertical="top" wrapText="1"/>
    </xf>
    <xf numFmtId="0" fontId="71" fillId="34" borderId="29" xfId="16" applyFont="1" applyFill="1" applyBorder="1" applyAlignment="1">
      <alignment vertical="top" wrapText="1"/>
    </xf>
    <xf numFmtId="0" fontId="71" fillId="35" borderId="29" xfId="16" applyFont="1" applyFill="1" applyBorder="1" applyAlignment="1">
      <alignment vertical="top" wrapText="1"/>
    </xf>
    <xf numFmtId="0" fontId="71" fillId="18" borderId="8" xfId="16" applyFont="1" applyFill="1" applyBorder="1" applyAlignment="1">
      <alignment vertical="top" wrapText="1"/>
    </xf>
    <xf numFmtId="0" fontId="70" fillId="0" borderId="19" xfId="16" applyFont="1" applyBorder="1" applyAlignment="1">
      <alignment horizontal="center" vertical="center" wrapText="1"/>
    </xf>
    <xf numFmtId="0" fontId="5" fillId="30" borderId="98" xfId="16" applyFont="1" applyFill="1" applyBorder="1" applyAlignment="1">
      <alignment horizontal="center" vertical="center" wrapText="1"/>
    </xf>
    <xf numFmtId="180" fontId="5" fillId="0" borderId="101" xfId="16" applyNumberFormat="1" applyFont="1" applyBorder="1" applyAlignment="1">
      <alignment horizontal="center" vertical="center" wrapText="1"/>
    </xf>
    <xf numFmtId="0" fontId="71" fillId="20" borderId="29" xfId="16" applyFont="1" applyFill="1" applyBorder="1" applyAlignment="1">
      <alignment vertical="top" wrapText="1"/>
    </xf>
    <xf numFmtId="0" fontId="71" fillId="19" borderId="29" xfId="16" applyFont="1" applyFill="1" applyBorder="1" applyAlignment="1">
      <alignment vertical="top" wrapText="1"/>
    </xf>
    <xf numFmtId="0" fontId="71" fillId="19" borderId="8" xfId="16" applyFont="1" applyFill="1" applyBorder="1" applyAlignment="1">
      <alignment vertical="top" wrapText="1"/>
    </xf>
    <xf numFmtId="0" fontId="71" fillId="20" borderId="8" xfId="16" applyFont="1" applyFill="1" applyBorder="1" applyAlignment="1">
      <alignment vertical="top" wrapText="1"/>
    </xf>
    <xf numFmtId="0" fontId="13" fillId="30" borderId="0" xfId="16" applyFont="1" applyFill="1">
      <alignment vertical="center"/>
    </xf>
    <xf numFmtId="0" fontId="25" fillId="30" borderId="0" xfId="16" applyFont="1" applyFill="1" applyAlignment="1">
      <alignment horizontal="center" vertical="center" wrapText="1"/>
    </xf>
    <xf numFmtId="0" fontId="25" fillId="30" borderId="109" xfId="16" applyFont="1" applyFill="1" applyBorder="1" applyAlignment="1">
      <alignment horizontal="center" vertical="center" wrapText="1"/>
    </xf>
    <xf numFmtId="0" fontId="71" fillId="30" borderId="109" xfId="16" applyFont="1" applyFill="1" applyBorder="1" applyAlignment="1">
      <alignment vertical="top" wrapText="1"/>
    </xf>
    <xf numFmtId="0" fontId="77" fillId="20" borderId="0" xfId="16" applyFont="1" applyFill="1" applyAlignment="1">
      <alignment horizontal="center" vertical="center" wrapText="1"/>
    </xf>
    <xf numFmtId="0" fontId="71" fillId="22" borderId="103" xfId="0" applyFont="1" applyFill="1" applyBorder="1" applyAlignment="1">
      <alignment horizontal="center" vertical="center" wrapText="1"/>
    </xf>
    <xf numFmtId="0" fontId="5" fillId="32" borderId="100" xfId="16" applyFont="1" applyFill="1" applyBorder="1" applyAlignment="1">
      <alignment horizontal="center" vertical="center" wrapText="1"/>
    </xf>
    <xf numFmtId="0" fontId="5" fillId="21" borderId="100" xfId="16" applyFont="1" applyFill="1" applyBorder="1" applyAlignment="1">
      <alignment horizontal="center" vertical="center" wrapText="1"/>
    </xf>
    <xf numFmtId="0" fontId="5" fillId="22" borderId="99" xfId="16" applyFont="1" applyFill="1" applyBorder="1" applyAlignment="1">
      <alignment horizontal="center" vertical="center" wrapText="1"/>
    </xf>
    <xf numFmtId="0" fontId="76" fillId="36" borderId="96" xfId="16" applyFont="1" applyFill="1" applyBorder="1" applyAlignment="1">
      <alignment horizontal="center" vertical="center" wrapText="1"/>
    </xf>
    <xf numFmtId="0" fontId="78" fillId="19" borderId="97" xfId="0" applyFont="1" applyFill="1" applyBorder="1" applyAlignment="1">
      <alignment horizontal="center" vertical="center" wrapText="1"/>
    </xf>
    <xf numFmtId="0" fontId="78" fillId="20" borderId="97" xfId="0" applyFont="1" applyFill="1" applyBorder="1" applyAlignment="1">
      <alignment horizontal="center" vertical="center" wrapText="1"/>
    </xf>
    <xf numFmtId="0" fontId="77" fillId="32" borderId="0" xfId="16" applyFont="1" applyFill="1" applyAlignment="1">
      <alignment horizontal="center" vertical="center" wrapText="1"/>
    </xf>
    <xf numFmtId="0" fontId="77" fillId="30" borderId="0" xfId="16" applyFont="1" applyFill="1" applyAlignment="1">
      <alignment vertical="top"/>
    </xf>
    <xf numFmtId="0" fontId="77" fillId="32" borderId="0" xfId="16" applyFont="1" applyFill="1" applyAlignment="1">
      <alignment vertical="top" wrapText="1"/>
    </xf>
    <xf numFmtId="0" fontId="5" fillId="30" borderId="96" xfId="16" applyFont="1" applyFill="1" applyBorder="1" applyAlignment="1">
      <alignment horizontal="center" vertical="center" wrapText="1"/>
    </xf>
    <xf numFmtId="0" fontId="70" fillId="30" borderId="98" xfId="0" applyFont="1" applyFill="1" applyBorder="1" applyAlignment="1">
      <alignment horizontal="center" vertical="center" wrapText="1"/>
    </xf>
    <xf numFmtId="0" fontId="5" fillId="0" borderId="99" xfId="16" applyFont="1" applyBorder="1" applyAlignment="1">
      <alignment horizontal="center" vertical="center" wrapText="1"/>
    </xf>
    <xf numFmtId="0" fontId="71" fillId="21" borderId="8" xfId="16" applyFont="1" applyFill="1" applyBorder="1" applyAlignment="1">
      <alignment vertical="top" wrapText="1"/>
    </xf>
    <xf numFmtId="0" fontId="71" fillId="36" borderId="8" xfId="16" applyFont="1" applyFill="1" applyBorder="1" applyAlignment="1">
      <alignment vertical="top" wrapText="1"/>
    </xf>
    <xf numFmtId="0" fontId="71" fillId="36" borderId="29" xfId="16" applyFont="1" applyFill="1" applyBorder="1" applyAlignment="1">
      <alignment vertical="top" wrapText="1"/>
    </xf>
    <xf numFmtId="0" fontId="71" fillId="36" borderId="103" xfId="0" applyFont="1" applyFill="1" applyBorder="1" applyAlignment="1">
      <alignment horizontal="center" vertical="center" wrapText="1"/>
    </xf>
    <xf numFmtId="0" fontId="3" fillId="9" borderId="15" xfId="0" applyFont="1" applyFill="1" applyBorder="1" applyAlignment="1">
      <alignment horizontal="center" vertical="center" wrapText="1"/>
    </xf>
    <xf numFmtId="0" fontId="3" fillId="9" borderId="13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9" fontId="3" fillId="9" borderId="2" xfId="2" applyFont="1" applyFill="1" applyBorder="1" applyAlignment="1">
      <alignment horizontal="center" vertical="center"/>
    </xf>
    <xf numFmtId="9" fontId="3" fillId="9" borderId="1" xfId="2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 wrapText="1"/>
    </xf>
    <xf numFmtId="0" fontId="4" fillId="6" borderId="14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3" fillId="10" borderId="63" xfId="0" applyFont="1" applyFill="1" applyBorder="1" applyAlignment="1">
      <alignment horizontal="center" vertical="center" wrapText="1"/>
    </xf>
    <xf numFmtId="0" fontId="3" fillId="10" borderId="17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9" borderId="61" xfId="0" applyFont="1" applyFill="1" applyBorder="1" applyAlignment="1">
      <alignment horizontal="center" vertical="center"/>
    </xf>
    <xf numFmtId="0" fontId="3" fillId="9" borderId="55" xfId="0" applyFont="1" applyFill="1" applyBorder="1" applyAlignment="1">
      <alignment horizontal="center" vertical="center"/>
    </xf>
    <xf numFmtId="0" fontId="3" fillId="9" borderId="62" xfId="0" applyFont="1" applyFill="1" applyBorder="1" applyAlignment="1">
      <alignment horizontal="center" vertical="center"/>
    </xf>
    <xf numFmtId="0" fontId="3" fillId="9" borderId="46" xfId="0" applyFont="1" applyFill="1" applyBorder="1" applyAlignment="1">
      <alignment horizontal="center" vertical="center"/>
    </xf>
    <xf numFmtId="0" fontId="18" fillId="0" borderId="57" xfId="0" applyFont="1" applyBorder="1" applyAlignment="1">
      <alignment horizontal="center" vertical="center"/>
    </xf>
    <xf numFmtId="0" fontId="18" fillId="0" borderId="58" xfId="0" applyFont="1" applyBorder="1" applyAlignment="1">
      <alignment horizontal="center" vertical="center"/>
    </xf>
    <xf numFmtId="9" fontId="19" fillId="0" borderId="59" xfId="1" applyNumberFormat="1" applyFont="1" applyBorder="1" applyAlignment="1">
      <alignment horizontal="center" vertical="center"/>
    </xf>
    <xf numFmtId="9" fontId="19" fillId="0" borderId="60" xfId="1" applyNumberFormat="1" applyFont="1" applyBorder="1" applyAlignment="1">
      <alignment horizontal="center" vertical="center"/>
    </xf>
    <xf numFmtId="0" fontId="9" fillId="0" borderId="64" xfId="0" applyFont="1" applyBorder="1" applyAlignment="1">
      <alignment horizontal="center" vertical="center"/>
    </xf>
    <xf numFmtId="0" fontId="9" fillId="0" borderId="65" xfId="0" applyFont="1" applyBorder="1" applyAlignment="1">
      <alignment horizontal="center" vertical="center"/>
    </xf>
    <xf numFmtId="0" fontId="11" fillId="0" borderId="66" xfId="0" applyFont="1" applyBorder="1" applyAlignment="1">
      <alignment horizontal="center" vertical="center"/>
    </xf>
    <xf numFmtId="0" fontId="11" fillId="0" borderId="67" xfId="0" applyFont="1" applyBorder="1" applyAlignment="1">
      <alignment horizontal="center" vertical="center"/>
    </xf>
    <xf numFmtId="0" fontId="9" fillId="13" borderId="4" xfId="0" applyFont="1" applyFill="1" applyBorder="1" applyAlignment="1">
      <alignment horizontal="center" vertical="center"/>
    </xf>
    <xf numFmtId="0" fontId="9" fillId="13" borderId="6" xfId="0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0" fontId="9" fillId="8" borderId="6" xfId="0" applyFont="1" applyFill="1" applyBorder="1" applyAlignment="1">
      <alignment horizontal="center" vertical="center"/>
    </xf>
    <xf numFmtId="0" fontId="9" fillId="12" borderId="56" xfId="0" applyFont="1" applyFill="1" applyBorder="1" applyAlignment="1">
      <alignment horizontal="center" vertical="center"/>
    </xf>
    <xf numFmtId="0" fontId="9" fillId="12" borderId="6" xfId="0" applyFont="1" applyFill="1" applyBorder="1" applyAlignment="1">
      <alignment horizontal="center" vertical="center"/>
    </xf>
    <xf numFmtId="41" fontId="34" fillId="0" borderId="0" xfId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16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3" borderId="0" xfId="13" applyFont="1" applyFill="1" applyAlignment="1">
      <alignment horizontal="center" vertical="center" wrapText="1"/>
    </xf>
    <xf numFmtId="0" fontId="11" fillId="0" borderId="7" xfId="13" applyFont="1" applyBorder="1" applyAlignment="1">
      <alignment horizontal="center" vertical="center"/>
    </xf>
    <xf numFmtId="0" fontId="11" fillId="0" borderId="49" xfId="13" applyFont="1" applyBorder="1" applyAlignment="1">
      <alignment horizontal="center" vertical="center"/>
    </xf>
    <xf numFmtId="0" fontId="11" fillId="0" borderId="50" xfId="13" applyFont="1" applyBorder="1" applyAlignment="1">
      <alignment horizontal="center" vertical="center"/>
    </xf>
    <xf numFmtId="0" fontId="3" fillId="2" borderId="53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4" fillId="2" borderId="53" xfId="13" applyFont="1" applyFill="1" applyBorder="1" applyAlignment="1">
      <alignment horizontal="center" vertical="center" wrapText="1"/>
    </xf>
    <xf numFmtId="0" fontId="4" fillId="2" borderId="68" xfId="13" applyFont="1" applyFill="1" applyBorder="1" applyAlignment="1">
      <alignment horizontal="center" vertical="center" wrapText="1"/>
    </xf>
    <xf numFmtId="0" fontId="9" fillId="18" borderId="3" xfId="13" applyFont="1" applyFill="1" applyBorder="1" applyAlignment="1">
      <alignment horizontal="center" vertical="center"/>
    </xf>
    <xf numFmtId="0" fontId="9" fillId="18" borderId="3" xfId="13" applyFont="1" applyFill="1" applyBorder="1" applyAlignment="1">
      <alignment horizontal="center" vertical="center" wrapText="1"/>
    </xf>
    <xf numFmtId="178" fontId="9" fillId="3" borderId="0" xfId="13" applyNumberFormat="1" applyFont="1" applyFill="1" applyAlignment="1">
      <alignment horizontal="center" vertical="center" wrapText="1"/>
    </xf>
    <xf numFmtId="178" fontId="9" fillId="3" borderId="0" xfId="13" applyNumberFormat="1" applyFont="1" applyFill="1" applyAlignment="1">
      <alignment horizontal="center" vertical="center"/>
    </xf>
    <xf numFmtId="0" fontId="9" fillId="3" borderId="0" xfId="13" applyFont="1" applyFill="1" applyAlignment="1">
      <alignment horizontal="center" vertical="center" wrapText="1"/>
    </xf>
    <xf numFmtId="0" fontId="9" fillId="3" borderId="0" xfId="13" applyFont="1" applyFill="1" applyAlignment="1">
      <alignment horizontal="center" vertical="center"/>
    </xf>
    <xf numFmtId="178" fontId="9" fillId="18" borderId="3" xfId="13" applyNumberFormat="1" applyFont="1" applyFill="1" applyBorder="1" applyAlignment="1">
      <alignment horizontal="center" vertical="center" wrapText="1"/>
    </xf>
    <xf numFmtId="178" fontId="9" fillId="18" borderId="3" xfId="13" applyNumberFormat="1" applyFont="1" applyFill="1" applyBorder="1" applyAlignment="1">
      <alignment horizontal="center" vertical="center"/>
    </xf>
    <xf numFmtId="0" fontId="4" fillId="2" borderId="3" xfId="13" applyFont="1" applyFill="1" applyBorder="1" applyAlignment="1">
      <alignment horizontal="center" vertical="center" wrapText="1"/>
    </xf>
    <xf numFmtId="14" fontId="9" fillId="0" borderId="0" xfId="13" applyNumberFormat="1" applyFont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0" fontId="26" fillId="0" borderId="43" xfId="11" applyFont="1" applyBorder="1" applyAlignment="1">
      <alignment horizontal="center" vertical="center"/>
    </xf>
    <xf numFmtId="0" fontId="26" fillId="0" borderId="39" xfId="11" applyFont="1" applyBorder="1" applyAlignment="1">
      <alignment horizontal="center" vertical="center"/>
    </xf>
    <xf numFmtId="0" fontId="26" fillId="0" borderId="40" xfId="11" applyFont="1" applyBorder="1" applyAlignment="1">
      <alignment horizontal="center" vertical="center"/>
    </xf>
    <xf numFmtId="0" fontId="25" fillId="0" borderId="43" xfId="11" applyFont="1" applyBorder="1" applyAlignment="1">
      <alignment horizontal="center" vertical="center"/>
    </xf>
    <xf numFmtId="0" fontId="25" fillId="0" borderId="40" xfId="11" applyFont="1" applyBorder="1" applyAlignment="1">
      <alignment horizontal="center" vertical="center"/>
    </xf>
    <xf numFmtId="0" fontId="25" fillId="21" borderId="45" xfId="11" applyFont="1" applyFill="1" applyBorder="1" applyAlignment="1">
      <alignment horizontal="center" vertical="center" wrapText="1"/>
    </xf>
    <xf numFmtId="0" fontId="25" fillId="21" borderId="42" xfId="11" applyFont="1" applyFill="1" applyBorder="1" applyAlignment="1">
      <alignment horizontal="center" vertical="center" wrapText="1"/>
    </xf>
    <xf numFmtId="0" fontId="25" fillId="21" borderId="44" xfId="11" applyFont="1" applyFill="1" applyBorder="1" applyAlignment="1">
      <alignment horizontal="center" vertical="center" wrapText="1"/>
    </xf>
    <xf numFmtId="0" fontId="25" fillId="0" borderId="45" xfId="11" applyFont="1" applyBorder="1" applyAlignment="1">
      <alignment horizontal="center" vertical="center" wrapText="1"/>
    </xf>
    <xf numFmtId="0" fontId="25" fillId="0" borderId="42" xfId="11" applyFont="1" applyBorder="1" applyAlignment="1">
      <alignment horizontal="center" vertical="center" wrapText="1"/>
    </xf>
    <xf numFmtId="0" fontId="25" fillId="0" borderId="44" xfId="11" applyFont="1" applyBorder="1" applyAlignment="1">
      <alignment horizontal="center" vertical="center" wrapText="1"/>
    </xf>
    <xf numFmtId="0" fontId="25" fillId="0" borderId="42" xfId="11" applyFont="1" applyBorder="1" applyAlignment="1">
      <alignment horizontal="center" vertical="center"/>
    </xf>
    <xf numFmtId="0" fontId="25" fillId="0" borderId="44" xfId="11" applyFont="1" applyBorder="1" applyAlignment="1">
      <alignment horizontal="center" vertical="center"/>
    </xf>
    <xf numFmtId="0" fontId="25" fillId="22" borderId="22" xfId="11" applyFont="1" applyFill="1" applyBorder="1" applyAlignment="1">
      <alignment horizontal="center" vertical="center"/>
    </xf>
    <xf numFmtId="0" fontId="25" fillId="22" borderId="21" xfId="11" applyFont="1" applyFill="1" applyBorder="1" applyAlignment="1">
      <alignment horizontal="center" vertical="center"/>
    </xf>
    <xf numFmtId="0" fontId="25" fillId="22" borderId="35" xfId="11" applyFont="1" applyFill="1" applyBorder="1" applyAlignment="1">
      <alignment horizontal="center" vertical="center"/>
    </xf>
    <xf numFmtId="0" fontId="5" fillId="22" borderId="22" xfId="11" applyFont="1" applyFill="1" applyBorder="1" applyAlignment="1">
      <alignment horizontal="center" vertical="center"/>
    </xf>
    <xf numFmtId="0" fontId="5" fillId="22" borderId="21" xfId="11" applyFont="1" applyFill="1" applyBorder="1" applyAlignment="1">
      <alignment horizontal="center" vertical="center"/>
    </xf>
    <xf numFmtId="0" fontId="5" fillId="22" borderId="35" xfId="11" applyFont="1" applyFill="1" applyBorder="1" applyAlignment="1">
      <alignment horizontal="center" vertical="center"/>
    </xf>
    <xf numFmtId="0" fontId="25" fillId="18" borderId="45" xfId="11" applyFont="1" applyFill="1" applyBorder="1" applyAlignment="1">
      <alignment horizontal="center" vertical="center" wrapText="1"/>
    </xf>
    <xf numFmtId="0" fontId="25" fillId="18" borderId="42" xfId="11" applyFont="1" applyFill="1" applyBorder="1" applyAlignment="1">
      <alignment horizontal="center" vertical="center"/>
    </xf>
    <xf numFmtId="0" fontId="25" fillId="18" borderId="44" xfId="11" applyFont="1" applyFill="1" applyBorder="1" applyAlignment="1">
      <alignment horizontal="center" vertical="center"/>
    </xf>
    <xf numFmtId="0" fontId="25" fillId="18" borderId="45" xfId="11" applyFont="1" applyFill="1" applyBorder="1" applyAlignment="1">
      <alignment horizontal="center" vertical="center"/>
    </xf>
    <xf numFmtId="0" fontId="25" fillId="23" borderId="45" xfId="11" applyFont="1" applyFill="1" applyBorder="1" applyAlignment="1">
      <alignment horizontal="center" vertical="center" wrapText="1"/>
    </xf>
    <xf numFmtId="0" fontId="25" fillId="23" borderId="42" xfId="11" applyFont="1" applyFill="1" applyBorder="1" applyAlignment="1">
      <alignment horizontal="center" vertical="center"/>
    </xf>
    <xf numFmtId="0" fontId="25" fillId="23" borderId="44" xfId="11" applyFont="1" applyFill="1" applyBorder="1" applyAlignment="1">
      <alignment horizontal="center" vertical="center"/>
    </xf>
    <xf numFmtId="0" fontId="26" fillId="0" borderId="7" xfId="11" applyFont="1" applyBorder="1" applyAlignment="1">
      <alignment horizontal="center" vertical="center"/>
    </xf>
    <xf numFmtId="0" fontId="26" fillId="0" borderId="11" xfId="11" applyFont="1" applyBorder="1" applyAlignment="1">
      <alignment horizontal="center" vertical="center"/>
    </xf>
    <xf numFmtId="0" fontId="26" fillId="0" borderId="80" xfId="11" applyFont="1" applyBorder="1" applyAlignment="1">
      <alignment horizontal="center" vertical="center"/>
    </xf>
    <xf numFmtId="0" fontId="25" fillId="23" borderId="81" xfId="11" applyFont="1" applyFill="1" applyBorder="1" applyAlignment="1">
      <alignment horizontal="center" vertical="center" wrapText="1"/>
    </xf>
    <xf numFmtId="0" fontId="25" fillId="23" borderId="82" xfId="11" applyFont="1" applyFill="1" applyBorder="1" applyAlignment="1">
      <alignment horizontal="center" vertical="center" wrapText="1"/>
    </xf>
    <xf numFmtId="0" fontId="25" fillId="23" borderId="83" xfId="11" applyFont="1" applyFill="1" applyBorder="1" applyAlignment="1">
      <alignment horizontal="center" vertical="center" wrapText="1"/>
    </xf>
    <xf numFmtId="0" fontId="25" fillId="0" borderId="45" xfId="11" applyFont="1" applyBorder="1" applyAlignment="1">
      <alignment horizontal="center" vertical="center"/>
    </xf>
    <xf numFmtId="0" fontId="25" fillId="23" borderId="8" xfId="11" applyFont="1" applyFill="1" applyBorder="1" applyAlignment="1">
      <alignment horizontal="center" vertical="center" wrapText="1"/>
    </xf>
    <xf numFmtId="0" fontId="25" fillId="23" borderId="76" xfId="11" applyFont="1" applyFill="1" applyBorder="1" applyAlignment="1">
      <alignment horizontal="center" vertical="center" wrapText="1"/>
    </xf>
    <xf numFmtId="0" fontId="25" fillId="23" borderId="29" xfId="11" applyFont="1" applyFill="1" applyBorder="1" applyAlignment="1">
      <alignment horizontal="center" vertical="center" wrapText="1"/>
    </xf>
    <xf numFmtId="0" fontId="25" fillId="23" borderId="7" xfId="11" applyFont="1" applyFill="1" applyBorder="1" applyAlignment="1">
      <alignment horizontal="center" vertical="center" wrapText="1"/>
    </xf>
    <xf numFmtId="0" fontId="25" fillId="23" borderId="11" xfId="11" applyFont="1" applyFill="1" applyBorder="1" applyAlignment="1">
      <alignment horizontal="center" vertical="center" wrapText="1"/>
    </xf>
    <xf numFmtId="0" fontId="25" fillId="23" borderId="80" xfId="11" applyFont="1" applyFill="1" applyBorder="1" applyAlignment="1">
      <alignment horizontal="center" vertical="center" wrapText="1"/>
    </xf>
    <xf numFmtId="0" fontId="25" fillId="23" borderId="11" xfId="11" applyFont="1" applyFill="1" applyBorder="1" applyAlignment="1">
      <alignment horizontal="center" vertical="center"/>
    </xf>
    <xf numFmtId="0" fontId="25" fillId="23" borderId="80" xfId="11" applyFont="1" applyFill="1" applyBorder="1" applyAlignment="1">
      <alignment horizontal="center" vertical="center"/>
    </xf>
    <xf numFmtId="0" fontId="26" fillId="0" borderId="8" xfId="11" applyFont="1" applyBorder="1" applyAlignment="1">
      <alignment horizontal="center" vertical="center"/>
    </xf>
    <xf numFmtId="0" fontId="26" fillId="0" borderId="76" xfId="11" applyFont="1" applyBorder="1" applyAlignment="1">
      <alignment horizontal="center" vertical="center"/>
    </xf>
    <xf numFmtId="0" fontId="26" fillId="0" borderId="29" xfId="11" applyFont="1" applyBorder="1" applyAlignment="1">
      <alignment horizontal="center" vertical="center"/>
    </xf>
    <xf numFmtId="0" fontId="25" fillId="0" borderId="8" xfId="11" applyFont="1" applyBorder="1" applyAlignment="1">
      <alignment horizontal="center" vertical="center"/>
    </xf>
    <xf numFmtId="0" fontId="25" fillId="0" borderId="76" xfId="11" applyFont="1" applyBorder="1" applyAlignment="1">
      <alignment horizontal="center" vertical="center"/>
    </xf>
    <xf numFmtId="0" fontId="25" fillId="0" borderId="29" xfId="11" applyFont="1" applyBorder="1" applyAlignment="1">
      <alignment horizontal="center" vertical="center"/>
    </xf>
    <xf numFmtId="0" fontId="25" fillId="0" borderId="77" xfId="11" applyFont="1" applyBorder="1" applyAlignment="1">
      <alignment horizontal="center" vertical="center" wrapText="1"/>
    </xf>
    <xf numFmtId="0" fontId="25" fillId="0" borderId="78" xfId="11" applyFont="1" applyBorder="1" applyAlignment="1">
      <alignment horizontal="center" vertical="center"/>
    </xf>
    <xf numFmtId="0" fontId="25" fillId="0" borderId="59" xfId="11" applyFont="1" applyBorder="1" applyAlignment="1">
      <alignment horizontal="center" vertical="center"/>
    </xf>
    <xf numFmtId="0" fontId="25" fillId="0" borderId="8" xfId="11" applyFont="1" applyBorder="1" applyAlignment="1">
      <alignment horizontal="center" vertical="center" wrapText="1"/>
    </xf>
    <xf numFmtId="0" fontId="25" fillId="23" borderId="79" xfId="11" applyFont="1" applyFill="1" applyBorder="1" applyAlignment="1">
      <alignment horizontal="center" vertical="center" wrapText="1"/>
    </xf>
    <xf numFmtId="0" fontId="25" fillId="23" borderId="5" xfId="11" applyFont="1" applyFill="1" applyBorder="1" applyAlignment="1">
      <alignment horizontal="center" vertical="center"/>
    </xf>
    <xf numFmtId="0" fontId="25" fillId="0" borderId="79" xfId="11" applyFont="1" applyBorder="1" applyAlignment="1">
      <alignment horizontal="center" vertical="center" wrapText="1"/>
    </xf>
    <xf numFmtId="0" fontId="25" fillId="0" borderId="11" xfId="11" applyFont="1" applyBorder="1" applyAlignment="1">
      <alignment horizontal="center" vertical="center" wrapText="1"/>
    </xf>
    <xf numFmtId="0" fontId="25" fillId="0" borderId="5" xfId="11" applyFont="1" applyBorder="1" applyAlignment="1">
      <alignment horizontal="center" vertical="center" wrapText="1"/>
    </xf>
    <xf numFmtId="0" fontId="25" fillId="23" borderId="5" xfId="11" applyFont="1" applyFill="1" applyBorder="1" applyAlignment="1">
      <alignment horizontal="center" vertical="center" wrapText="1"/>
    </xf>
    <xf numFmtId="0" fontId="25" fillId="24" borderId="0" xfId="11" applyFont="1" applyFill="1" applyAlignment="1">
      <alignment horizontal="center" vertical="center"/>
    </xf>
    <xf numFmtId="0" fontId="25" fillId="24" borderId="19" xfId="11" applyFont="1" applyFill="1" applyBorder="1" applyAlignment="1">
      <alignment horizontal="center" vertical="center"/>
    </xf>
    <xf numFmtId="179" fontId="25" fillId="18" borderId="45" xfId="11" applyNumberFormat="1" applyFont="1" applyFill="1" applyBorder="1" applyAlignment="1">
      <alignment horizontal="center" vertical="center" wrapText="1"/>
    </xf>
    <xf numFmtId="0" fontId="9" fillId="0" borderId="24" xfId="11" applyFont="1" applyBorder="1" applyAlignment="1">
      <alignment horizontal="center" vertical="center" wrapText="1"/>
    </xf>
    <xf numFmtId="0" fontId="25" fillId="22" borderId="45" xfId="11" applyFont="1" applyFill="1" applyBorder="1" applyAlignment="1">
      <alignment horizontal="center" vertical="center" wrapText="1"/>
    </xf>
    <xf numFmtId="0" fontId="25" fillId="22" borderId="42" xfId="11" applyFont="1" applyFill="1" applyBorder="1" applyAlignment="1">
      <alignment horizontal="center" vertical="center"/>
    </xf>
    <xf numFmtId="0" fontId="25" fillId="22" borderId="44" xfId="11" applyFont="1" applyFill="1" applyBorder="1" applyAlignment="1">
      <alignment horizontal="center" vertical="center"/>
    </xf>
    <xf numFmtId="0" fontId="25" fillId="6" borderId="45" xfId="11" applyFont="1" applyFill="1" applyBorder="1" applyAlignment="1">
      <alignment horizontal="center" vertical="center" wrapText="1"/>
    </xf>
    <xf numFmtId="0" fontId="25" fillId="6" borderId="42" xfId="11" applyFont="1" applyFill="1" applyBorder="1" applyAlignment="1">
      <alignment horizontal="center" vertical="center"/>
    </xf>
    <xf numFmtId="0" fontId="25" fillId="6" borderId="44" xfId="11" applyFont="1" applyFill="1" applyBorder="1" applyAlignment="1">
      <alignment horizontal="center" vertical="center"/>
    </xf>
    <xf numFmtId="0" fontId="25" fillId="22" borderId="42" xfId="11" applyFont="1" applyFill="1" applyBorder="1" applyAlignment="1">
      <alignment horizontal="center" vertical="center" wrapText="1"/>
    </xf>
    <xf numFmtId="0" fontId="25" fillId="22" borderId="44" xfId="11" applyFont="1" applyFill="1" applyBorder="1" applyAlignment="1">
      <alignment horizontal="center" vertical="center" wrapText="1"/>
    </xf>
    <xf numFmtId="0" fontId="25" fillId="23" borderId="42" xfId="11" applyFont="1" applyFill="1" applyBorder="1" applyAlignment="1">
      <alignment horizontal="center" vertical="center" wrapText="1"/>
    </xf>
    <xf numFmtId="0" fontId="25" fillId="23" borderId="44" xfId="11" applyFont="1" applyFill="1" applyBorder="1" applyAlignment="1">
      <alignment horizontal="center" vertical="center" wrapText="1"/>
    </xf>
    <xf numFmtId="0" fontId="25" fillId="21" borderId="42" xfId="11" applyFont="1" applyFill="1" applyBorder="1" applyAlignment="1">
      <alignment horizontal="center" vertical="center"/>
    </xf>
    <xf numFmtId="0" fontId="25" fillId="21" borderId="44" xfId="11" applyFont="1" applyFill="1" applyBorder="1" applyAlignment="1">
      <alignment horizontal="center" vertical="center"/>
    </xf>
    <xf numFmtId="0" fontId="25" fillId="18" borderId="42" xfId="11" applyFont="1" applyFill="1" applyBorder="1" applyAlignment="1">
      <alignment horizontal="center" vertical="center" wrapText="1"/>
    </xf>
    <xf numFmtId="0" fontId="25" fillId="18" borderId="44" xfId="11" applyFont="1" applyFill="1" applyBorder="1" applyAlignment="1">
      <alignment horizontal="center" vertical="center" wrapText="1"/>
    </xf>
    <xf numFmtId="0" fontId="25" fillId="18" borderId="22" xfId="11" applyFont="1" applyFill="1" applyBorder="1" applyAlignment="1">
      <alignment horizontal="center" vertical="center" wrapText="1"/>
    </xf>
    <xf numFmtId="0" fontId="25" fillId="18" borderId="24" xfId="11" applyFont="1" applyFill="1" applyBorder="1" applyAlignment="1">
      <alignment horizontal="center" vertical="center"/>
    </xf>
    <xf numFmtId="0" fontId="25" fillId="18" borderId="36" xfId="11" applyFont="1" applyFill="1" applyBorder="1" applyAlignment="1">
      <alignment horizontal="center" vertical="center"/>
    </xf>
    <xf numFmtId="0" fontId="5" fillId="20" borderId="24" xfId="11" applyFont="1" applyFill="1" applyBorder="1" applyAlignment="1">
      <alignment horizontal="center" vertical="center" wrapText="1"/>
    </xf>
    <xf numFmtId="0" fontId="5" fillId="20" borderId="0" xfId="11" applyFont="1" applyFill="1" applyAlignment="1">
      <alignment horizontal="center" vertical="center" wrapText="1"/>
    </xf>
    <xf numFmtId="0" fontId="5" fillId="20" borderId="19" xfId="11" applyFont="1" applyFill="1" applyBorder="1" applyAlignment="1">
      <alignment horizontal="center" vertical="center" wrapText="1"/>
    </xf>
    <xf numFmtId="0" fontId="5" fillId="20" borderId="36" xfId="11" applyFont="1" applyFill="1" applyBorder="1" applyAlignment="1">
      <alignment horizontal="center" vertical="center" wrapText="1"/>
    </xf>
    <xf numFmtId="0" fontId="5" fillId="20" borderId="23" xfId="11" applyFont="1" applyFill="1" applyBorder="1" applyAlignment="1">
      <alignment horizontal="center" vertical="center" wrapText="1"/>
    </xf>
    <xf numFmtId="0" fontId="5" fillId="20" borderId="20" xfId="11" applyFont="1" applyFill="1" applyBorder="1" applyAlignment="1">
      <alignment horizontal="center" vertical="center" wrapText="1"/>
    </xf>
    <xf numFmtId="0" fontId="5" fillId="17" borderId="22" xfId="11" applyFont="1" applyFill="1" applyBorder="1" applyAlignment="1">
      <alignment horizontal="center" vertical="center" wrapText="1"/>
    </xf>
    <xf numFmtId="0" fontId="5" fillId="17" borderId="35" xfId="11" applyFont="1" applyFill="1" applyBorder="1" applyAlignment="1">
      <alignment horizontal="center" vertical="center"/>
    </xf>
    <xf numFmtId="0" fontId="5" fillId="17" borderId="24" xfId="11" applyFont="1" applyFill="1" applyBorder="1" applyAlignment="1">
      <alignment horizontal="center" vertical="center"/>
    </xf>
    <xf numFmtId="0" fontId="5" fillId="17" borderId="19" xfId="11" applyFont="1" applyFill="1" applyBorder="1" applyAlignment="1">
      <alignment horizontal="center" vertical="center"/>
    </xf>
    <xf numFmtId="0" fontId="5" fillId="17" borderId="36" xfId="11" applyFont="1" applyFill="1" applyBorder="1" applyAlignment="1">
      <alignment horizontal="center" vertical="center"/>
    </xf>
    <xf numFmtId="0" fontId="5" fillId="17" borderId="20" xfId="11" applyFont="1" applyFill="1" applyBorder="1" applyAlignment="1">
      <alignment horizontal="center" vertical="center"/>
    </xf>
    <xf numFmtId="0" fontId="5" fillId="20" borderId="22" xfId="11" applyFont="1" applyFill="1" applyBorder="1" applyAlignment="1">
      <alignment horizontal="center" vertical="center" wrapText="1"/>
    </xf>
    <xf numFmtId="0" fontId="5" fillId="20" borderId="21" xfId="11" applyFont="1" applyFill="1" applyBorder="1" applyAlignment="1">
      <alignment horizontal="center" vertical="center" wrapText="1"/>
    </xf>
    <xf numFmtId="0" fontId="5" fillId="20" borderId="35" xfId="11" applyFont="1" applyFill="1" applyBorder="1" applyAlignment="1">
      <alignment horizontal="center" vertical="center" wrapText="1"/>
    </xf>
    <xf numFmtId="0" fontId="9" fillId="3" borderId="0" xfId="11" applyFont="1" applyFill="1" applyAlignment="1">
      <alignment horizontal="center" vertical="center" wrapText="1"/>
    </xf>
    <xf numFmtId="0" fontId="9" fillId="3" borderId="0" xfId="11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5" fillId="9" borderId="22" xfId="11" applyFont="1" applyFill="1" applyBorder="1" applyAlignment="1">
      <alignment horizontal="center" vertical="center"/>
    </xf>
    <xf numFmtId="0" fontId="5" fillId="9" borderId="21" xfId="11" applyFont="1" applyFill="1" applyBorder="1" applyAlignment="1">
      <alignment horizontal="center" vertical="center"/>
    </xf>
    <xf numFmtId="0" fontId="5" fillId="9" borderId="35" xfId="11" applyFont="1" applyFill="1" applyBorder="1" applyAlignment="1">
      <alignment horizontal="center" vertical="center"/>
    </xf>
    <xf numFmtId="0" fontId="5" fillId="9" borderId="36" xfId="11" applyFont="1" applyFill="1" applyBorder="1" applyAlignment="1">
      <alignment horizontal="center" vertical="center"/>
    </xf>
    <xf numFmtId="0" fontId="5" fillId="9" borderId="23" xfId="11" applyFont="1" applyFill="1" applyBorder="1" applyAlignment="1">
      <alignment horizontal="center" vertical="center"/>
    </xf>
    <xf numFmtId="0" fontId="5" fillId="9" borderId="20" xfId="11" applyFont="1" applyFill="1" applyBorder="1" applyAlignment="1">
      <alignment horizontal="center" vertical="center"/>
    </xf>
    <xf numFmtId="0" fontId="11" fillId="2" borderId="45" xfId="0" applyFont="1" applyFill="1" applyBorder="1" applyAlignment="1">
      <alignment horizontal="center" vertical="center" wrapText="1"/>
    </xf>
    <xf numFmtId="0" fontId="11" fillId="2" borderId="44" xfId="0" applyFont="1" applyFill="1" applyBorder="1" applyAlignment="1">
      <alignment horizontal="center" vertical="center" wrapText="1"/>
    </xf>
    <xf numFmtId="0" fontId="11" fillId="2" borderId="35" xfId="0" applyFont="1" applyFill="1" applyBorder="1" applyAlignment="1">
      <alignment horizontal="center" vertical="center" wrapText="1"/>
    </xf>
    <xf numFmtId="0" fontId="11" fillId="2" borderId="20" xfId="0" applyFont="1" applyFill="1" applyBorder="1" applyAlignment="1">
      <alignment horizontal="center" vertical="center" wrapText="1"/>
    </xf>
    <xf numFmtId="0" fontId="28" fillId="10" borderId="70" xfId="11" applyFont="1" applyFill="1" applyBorder="1" applyAlignment="1">
      <alignment horizontal="center" vertical="center"/>
    </xf>
    <xf numFmtId="0" fontId="28" fillId="10" borderId="71" xfId="11" applyFont="1" applyFill="1" applyBorder="1" applyAlignment="1">
      <alignment horizontal="center" vertical="center"/>
    </xf>
    <xf numFmtId="0" fontId="28" fillId="10" borderId="72" xfId="11" applyFont="1" applyFill="1" applyBorder="1" applyAlignment="1">
      <alignment horizontal="center" vertical="center"/>
    </xf>
    <xf numFmtId="0" fontId="28" fillId="10" borderId="74" xfId="11" applyFont="1" applyFill="1" applyBorder="1" applyAlignment="1">
      <alignment horizontal="center" vertical="center"/>
    </xf>
    <xf numFmtId="0" fontId="28" fillId="10" borderId="69" xfId="11" applyFont="1" applyFill="1" applyBorder="1" applyAlignment="1">
      <alignment horizontal="center" vertical="center"/>
    </xf>
    <xf numFmtId="0" fontId="28" fillId="10" borderId="75" xfId="11" applyFont="1" applyFill="1" applyBorder="1" applyAlignment="1">
      <alignment horizontal="center" vertical="center"/>
    </xf>
    <xf numFmtId="0" fontId="22" fillId="18" borderId="0" xfId="11" applyFont="1" applyFill="1" applyAlignment="1">
      <alignment horizontal="center" vertical="center" wrapText="1"/>
    </xf>
    <xf numFmtId="0" fontId="11" fillId="18" borderId="24" xfId="0" applyFont="1" applyFill="1" applyBorder="1" applyAlignment="1">
      <alignment horizontal="center" vertical="center" wrapText="1"/>
    </xf>
    <xf numFmtId="0" fontId="5" fillId="0" borderId="0" xfId="11" applyFont="1" applyAlignment="1">
      <alignment horizontal="center" vertical="center" wrapText="1"/>
    </xf>
    <xf numFmtId="0" fontId="11" fillId="18" borderId="24" xfId="11" applyFont="1" applyFill="1" applyBorder="1" applyAlignment="1">
      <alignment horizontal="center" vertical="center" wrapText="1"/>
    </xf>
    <xf numFmtId="0" fontId="5" fillId="13" borderId="0" xfId="11" applyFont="1" applyFill="1" applyAlignment="1">
      <alignment horizontal="center" vertical="center"/>
    </xf>
    <xf numFmtId="0" fontId="11" fillId="18" borderId="0" xfId="11" applyFont="1" applyFill="1" applyAlignment="1">
      <alignment horizontal="center" vertical="center" wrapText="1"/>
    </xf>
    <xf numFmtId="179" fontId="25" fillId="6" borderId="45" xfId="11" applyNumberFormat="1" applyFont="1" applyFill="1" applyBorder="1" applyAlignment="1">
      <alignment horizontal="center" vertical="center" wrapText="1"/>
    </xf>
    <xf numFmtId="0" fontId="25" fillId="25" borderId="45" xfId="11" applyFont="1" applyFill="1" applyBorder="1" applyAlignment="1">
      <alignment horizontal="center" vertical="center" wrapText="1"/>
    </xf>
    <xf numFmtId="0" fontId="25" fillId="25" borderId="42" xfId="11" applyFont="1" applyFill="1" applyBorder="1" applyAlignment="1">
      <alignment horizontal="center" vertical="center"/>
    </xf>
    <xf numFmtId="0" fontId="25" fillId="25" borderId="44" xfId="11" applyFont="1" applyFill="1" applyBorder="1" applyAlignment="1">
      <alignment horizontal="center" vertical="center"/>
    </xf>
    <xf numFmtId="14" fontId="25" fillId="6" borderId="45" xfId="11" applyNumberFormat="1" applyFont="1" applyFill="1" applyBorder="1" applyAlignment="1">
      <alignment horizontal="center" vertical="center" wrapText="1"/>
    </xf>
    <xf numFmtId="0" fontId="25" fillId="25" borderId="42" xfId="11" applyFont="1" applyFill="1" applyBorder="1" applyAlignment="1">
      <alignment horizontal="center" vertical="center" wrapText="1"/>
    </xf>
    <xf numFmtId="0" fontId="25" fillId="6" borderId="42" xfId="11" applyFont="1" applyFill="1" applyBorder="1" applyAlignment="1">
      <alignment horizontal="center" vertical="center" wrapText="1"/>
    </xf>
    <xf numFmtId="0" fontId="25" fillId="6" borderId="44" xfId="11" applyFont="1" applyFill="1" applyBorder="1" applyAlignment="1">
      <alignment horizontal="center" vertical="center" wrapText="1"/>
    </xf>
    <xf numFmtId="0" fontId="23" fillId="21" borderId="39" xfId="11" applyFont="1" applyFill="1" applyBorder="1" applyAlignment="1">
      <alignment horizontal="center" vertical="center" wrapText="1"/>
    </xf>
    <xf numFmtId="0" fontId="23" fillId="21" borderId="40" xfId="11" applyFont="1" applyFill="1" applyBorder="1" applyAlignment="1">
      <alignment horizontal="center" vertical="center" wrapText="1"/>
    </xf>
    <xf numFmtId="0" fontId="43" fillId="21" borderId="43" xfId="11" applyFont="1" applyFill="1" applyBorder="1" applyAlignment="1">
      <alignment horizontal="center" vertical="center" wrapText="1"/>
    </xf>
    <xf numFmtId="0" fontId="43" fillId="21" borderId="40" xfId="11" applyFont="1" applyFill="1" applyBorder="1" applyAlignment="1">
      <alignment horizontal="center" vertical="center" wrapText="1"/>
    </xf>
    <xf numFmtId="0" fontId="70" fillId="30" borderId="0" xfId="16" applyFont="1" applyFill="1" applyAlignment="1">
      <alignment horizontal="center" vertical="center"/>
    </xf>
    <xf numFmtId="0" fontId="70" fillId="0" borderId="0" xfId="16" applyFont="1" applyAlignment="1">
      <alignment horizontal="center" vertical="center"/>
    </xf>
    <xf numFmtId="0" fontId="21" fillId="0" borderId="0" xfId="16" applyFont="1" applyAlignment="1">
      <alignment horizontal="center" vertical="center" wrapText="1"/>
    </xf>
    <xf numFmtId="0" fontId="28" fillId="10" borderId="70" xfId="16" applyFont="1" applyFill="1" applyBorder="1" applyAlignment="1">
      <alignment horizontal="center" vertical="center"/>
    </xf>
    <xf numFmtId="0" fontId="28" fillId="10" borderId="71" xfId="16" applyFont="1" applyFill="1" applyBorder="1" applyAlignment="1">
      <alignment horizontal="center" vertical="center"/>
    </xf>
    <xf numFmtId="0" fontId="28" fillId="10" borderId="72" xfId="16" applyFont="1" applyFill="1" applyBorder="1" applyAlignment="1">
      <alignment horizontal="center" vertical="center"/>
    </xf>
    <xf numFmtId="0" fontId="28" fillId="10" borderId="74" xfId="16" applyFont="1" applyFill="1" applyBorder="1" applyAlignment="1">
      <alignment horizontal="center" vertical="center"/>
    </xf>
    <xf numFmtId="0" fontId="28" fillId="10" borderId="69" xfId="16" applyFont="1" applyFill="1" applyBorder="1" applyAlignment="1">
      <alignment horizontal="center" vertical="center"/>
    </xf>
    <xf numFmtId="0" fontId="28" fillId="10" borderId="75" xfId="16" applyFont="1" applyFill="1" applyBorder="1" applyAlignment="1">
      <alignment horizontal="center" vertical="center"/>
    </xf>
    <xf numFmtId="0" fontId="5" fillId="8" borderId="43" xfId="16" applyFont="1" applyFill="1" applyBorder="1" applyAlignment="1">
      <alignment horizontal="center" vertical="center"/>
    </xf>
    <xf numFmtId="0" fontId="5" fillId="8" borderId="40" xfId="16" applyFont="1" applyFill="1" applyBorder="1" applyAlignment="1">
      <alignment horizontal="center" vertical="center"/>
    </xf>
    <xf numFmtId="0" fontId="5" fillId="20" borderId="22" xfId="16" applyFont="1" applyFill="1" applyBorder="1" applyAlignment="1">
      <alignment horizontal="center" vertical="center" wrapText="1"/>
    </xf>
    <xf numFmtId="0" fontId="5" fillId="20" borderId="21" xfId="16" applyFont="1" applyFill="1" applyBorder="1" applyAlignment="1">
      <alignment horizontal="center" vertical="center" wrapText="1"/>
    </xf>
    <xf numFmtId="0" fontId="5" fillId="20" borderId="35" xfId="16" applyFont="1" applyFill="1" applyBorder="1" applyAlignment="1">
      <alignment horizontal="center" vertical="center" wrapText="1"/>
    </xf>
    <xf numFmtId="0" fontId="5" fillId="20" borderId="24" xfId="16" applyFont="1" applyFill="1" applyBorder="1" applyAlignment="1">
      <alignment horizontal="center" vertical="center" wrapText="1"/>
    </xf>
    <xf numFmtId="0" fontId="5" fillId="20" borderId="0" xfId="16" applyFont="1" applyFill="1" applyAlignment="1">
      <alignment horizontal="center" vertical="center" wrapText="1"/>
    </xf>
    <xf numFmtId="0" fontId="5" fillId="20" borderId="19" xfId="16" applyFont="1" applyFill="1" applyBorder="1" applyAlignment="1">
      <alignment horizontal="center" vertical="center" wrapText="1"/>
    </xf>
    <xf numFmtId="0" fontId="5" fillId="20" borderId="36" xfId="16" applyFont="1" applyFill="1" applyBorder="1" applyAlignment="1">
      <alignment horizontal="center" vertical="center" wrapText="1"/>
    </xf>
    <xf numFmtId="0" fontId="5" fillId="20" borderId="23" xfId="16" applyFont="1" applyFill="1" applyBorder="1" applyAlignment="1">
      <alignment horizontal="center" vertical="center" wrapText="1"/>
    </xf>
    <xf numFmtId="0" fontId="5" fillId="20" borderId="20" xfId="16" applyFont="1" applyFill="1" applyBorder="1" applyAlignment="1">
      <alignment horizontal="center" vertical="center" wrapText="1"/>
    </xf>
    <xf numFmtId="0" fontId="5" fillId="9" borderId="22" xfId="16" applyFont="1" applyFill="1" applyBorder="1" applyAlignment="1">
      <alignment horizontal="center" vertical="center"/>
    </xf>
    <xf numFmtId="0" fontId="5" fillId="9" borderId="21" xfId="16" applyFont="1" applyFill="1" applyBorder="1" applyAlignment="1">
      <alignment horizontal="center" vertical="center"/>
    </xf>
    <xf numFmtId="0" fontId="5" fillId="9" borderId="35" xfId="16" applyFont="1" applyFill="1" applyBorder="1" applyAlignment="1">
      <alignment horizontal="center" vertical="center"/>
    </xf>
    <xf numFmtId="0" fontId="5" fillId="9" borderId="24" xfId="16" applyFont="1" applyFill="1" applyBorder="1" applyAlignment="1">
      <alignment horizontal="center" vertical="center"/>
    </xf>
    <xf numFmtId="0" fontId="5" fillId="9" borderId="0" xfId="16" applyFont="1" applyFill="1" applyAlignment="1">
      <alignment horizontal="center" vertical="center"/>
    </xf>
    <xf numFmtId="0" fontId="5" fillId="9" borderId="19" xfId="16" applyFont="1" applyFill="1" applyBorder="1" applyAlignment="1">
      <alignment horizontal="center" vertical="center"/>
    </xf>
    <xf numFmtId="0" fontId="5" fillId="9" borderId="36" xfId="16" applyFont="1" applyFill="1" applyBorder="1" applyAlignment="1">
      <alignment horizontal="center" vertical="center"/>
    </xf>
    <xf numFmtId="0" fontId="5" fillId="9" borderId="23" xfId="16" applyFont="1" applyFill="1" applyBorder="1" applyAlignment="1">
      <alignment horizontal="center" vertical="center"/>
    </xf>
    <xf numFmtId="0" fontId="5" fillId="9" borderId="20" xfId="16" applyFont="1" applyFill="1" applyBorder="1" applyAlignment="1">
      <alignment horizontal="center" vertical="center"/>
    </xf>
    <xf numFmtId="0" fontId="25" fillId="2" borderId="45" xfId="16" applyFont="1" applyFill="1" applyBorder="1" applyAlignment="1">
      <alignment horizontal="center" vertical="center" wrapText="1"/>
    </xf>
    <xf numFmtId="0" fontId="25" fillId="2" borderId="42" xfId="16" applyFont="1" applyFill="1" applyBorder="1" applyAlignment="1">
      <alignment horizontal="center" vertical="center" wrapText="1"/>
    </xf>
    <xf numFmtId="0" fontId="25" fillId="2" borderId="44" xfId="16" applyFont="1" applyFill="1" applyBorder="1" applyAlignment="1">
      <alignment horizontal="center" vertical="center" wrapText="1"/>
    </xf>
    <xf numFmtId="0" fontId="53" fillId="10" borderId="22" xfId="16" applyFont="1" applyFill="1" applyBorder="1" applyAlignment="1">
      <alignment horizontal="center" vertical="center" wrapText="1"/>
    </xf>
    <xf numFmtId="0" fontId="53" fillId="10" borderId="21" xfId="16" applyFont="1" applyFill="1" applyBorder="1" applyAlignment="1">
      <alignment horizontal="center" vertical="center" wrapText="1"/>
    </xf>
    <xf numFmtId="0" fontId="53" fillId="10" borderId="35" xfId="16" applyFont="1" applyFill="1" applyBorder="1" applyAlignment="1">
      <alignment horizontal="center" vertical="center" wrapText="1"/>
    </xf>
    <xf numFmtId="0" fontId="53" fillId="10" borderId="24" xfId="16" applyFont="1" applyFill="1" applyBorder="1" applyAlignment="1">
      <alignment horizontal="center" vertical="center" wrapText="1"/>
    </xf>
    <xf numFmtId="0" fontId="53" fillId="10" borderId="0" xfId="16" applyFont="1" applyFill="1" applyAlignment="1">
      <alignment horizontal="center" vertical="center" wrapText="1"/>
    </xf>
    <xf numFmtId="0" fontId="53" fillId="10" borderId="19" xfId="16" applyFont="1" applyFill="1" applyBorder="1" applyAlignment="1">
      <alignment horizontal="center" vertical="center" wrapText="1"/>
    </xf>
    <xf numFmtId="0" fontId="53" fillId="10" borderId="36" xfId="16" applyFont="1" applyFill="1" applyBorder="1" applyAlignment="1">
      <alignment horizontal="center" vertical="center" wrapText="1"/>
    </xf>
    <xf numFmtId="0" fontId="53" fillId="10" borderId="23" xfId="16" applyFont="1" applyFill="1" applyBorder="1" applyAlignment="1">
      <alignment horizontal="center" vertical="center" wrapText="1"/>
    </xf>
    <xf numFmtId="0" fontId="53" fillId="10" borderId="20" xfId="16" applyFont="1" applyFill="1" applyBorder="1" applyAlignment="1">
      <alignment horizontal="center" vertical="center" wrapText="1"/>
    </xf>
    <xf numFmtId="0" fontId="5" fillId="8" borderId="22" xfId="17" applyFont="1" applyFill="1" applyBorder="1" applyAlignment="1">
      <alignment horizontal="center" vertical="center" wrapText="1"/>
    </xf>
    <xf numFmtId="0" fontId="5" fillId="8" borderId="21" xfId="17" applyFont="1" applyFill="1" applyBorder="1" applyAlignment="1">
      <alignment horizontal="center" vertical="center" wrapText="1"/>
    </xf>
    <xf numFmtId="0" fontId="5" fillId="8" borderId="35" xfId="17" applyFont="1" applyFill="1" applyBorder="1" applyAlignment="1">
      <alignment horizontal="center" vertical="center" wrapText="1"/>
    </xf>
    <xf numFmtId="0" fontId="5" fillId="8" borderId="24" xfId="17" applyFont="1" applyFill="1" applyBorder="1" applyAlignment="1">
      <alignment horizontal="center" vertical="center" wrapText="1"/>
    </xf>
    <xf numFmtId="0" fontId="5" fillId="8" borderId="0" xfId="17" applyFont="1" applyFill="1" applyAlignment="1">
      <alignment horizontal="center" vertical="center" wrapText="1"/>
    </xf>
    <xf numFmtId="0" fontId="5" fillId="8" borderId="19" xfId="17" applyFont="1" applyFill="1" applyBorder="1" applyAlignment="1">
      <alignment horizontal="center" vertical="center" wrapText="1"/>
    </xf>
    <xf numFmtId="0" fontId="5" fillId="8" borderId="36" xfId="17" applyFont="1" applyFill="1" applyBorder="1" applyAlignment="1">
      <alignment horizontal="center" vertical="center" wrapText="1"/>
    </xf>
    <xf numFmtId="0" fontId="5" fillId="8" borderId="23" xfId="17" applyFont="1" applyFill="1" applyBorder="1" applyAlignment="1">
      <alignment horizontal="center" vertical="center" wrapText="1"/>
    </xf>
    <xf numFmtId="0" fontId="5" fillId="8" borderId="20" xfId="17" applyFont="1" applyFill="1" applyBorder="1" applyAlignment="1">
      <alignment horizontal="center" vertical="center" wrapText="1"/>
    </xf>
    <xf numFmtId="0" fontId="61" fillId="0" borderId="43" xfId="16" applyFont="1" applyBorder="1" applyAlignment="1">
      <alignment horizontal="center" vertical="center" wrapText="1"/>
    </xf>
    <xf numFmtId="0" fontId="61" fillId="0" borderId="40" xfId="16" applyFont="1" applyBorder="1" applyAlignment="1">
      <alignment horizontal="center" vertical="center" wrapText="1"/>
    </xf>
    <xf numFmtId="0" fontId="57" fillId="0" borderId="43" xfId="16" applyFont="1" applyBorder="1" applyAlignment="1">
      <alignment horizontal="center" vertical="center" wrapText="1"/>
    </xf>
    <xf numFmtId="0" fontId="57" fillId="0" borderId="40" xfId="16" applyFont="1" applyBorder="1" applyAlignment="1">
      <alignment horizontal="center" vertical="center" wrapText="1"/>
    </xf>
    <xf numFmtId="0" fontId="57" fillId="0" borderId="34" xfId="16" applyFont="1" applyBorder="1" applyAlignment="1">
      <alignment horizontal="center" vertical="center" wrapText="1"/>
    </xf>
    <xf numFmtId="0" fontId="57" fillId="0" borderId="34" xfId="16" applyFont="1" applyBorder="1" applyAlignment="1">
      <alignment horizontal="center" vertical="center"/>
    </xf>
    <xf numFmtId="0" fontId="21" fillId="21" borderId="45" xfId="16" applyFont="1" applyFill="1" applyBorder="1" applyAlignment="1">
      <alignment horizontal="center" vertical="center" wrapText="1"/>
    </xf>
    <xf numFmtId="0" fontId="21" fillId="21" borderId="44" xfId="16" applyFont="1" applyFill="1" applyBorder="1" applyAlignment="1">
      <alignment horizontal="center" vertical="center" wrapText="1"/>
    </xf>
    <xf numFmtId="0" fontId="66" fillId="7" borderId="22" xfId="16" applyFont="1" applyFill="1" applyBorder="1" applyAlignment="1">
      <alignment horizontal="center" vertical="center"/>
    </xf>
    <xf numFmtId="0" fontId="66" fillId="7" borderId="21" xfId="16" applyFont="1" applyFill="1" applyBorder="1" applyAlignment="1">
      <alignment horizontal="center" vertical="center"/>
    </xf>
    <xf numFmtId="0" fontId="66" fillId="7" borderId="35" xfId="16" applyFont="1" applyFill="1" applyBorder="1" applyAlignment="1">
      <alignment horizontal="center" vertical="center"/>
    </xf>
    <xf numFmtId="0" fontId="66" fillId="7" borderId="24" xfId="16" applyFont="1" applyFill="1" applyBorder="1" applyAlignment="1">
      <alignment horizontal="center" vertical="center"/>
    </xf>
    <xf numFmtId="0" fontId="66" fillId="7" borderId="0" xfId="16" applyFont="1" applyFill="1" applyAlignment="1">
      <alignment horizontal="center" vertical="center"/>
    </xf>
    <xf numFmtId="0" fontId="66" fillId="7" borderId="19" xfId="16" applyFont="1" applyFill="1" applyBorder="1" applyAlignment="1">
      <alignment horizontal="center" vertical="center"/>
    </xf>
    <xf numFmtId="0" fontId="66" fillId="7" borderId="36" xfId="16" applyFont="1" applyFill="1" applyBorder="1" applyAlignment="1">
      <alignment horizontal="center" vertical="center"/>
    </xf>
    <xf numFmtId="0" fontId="66" fillId="7" borderId="23" xfId="16" applyFont="1" applyFill="1" applyBorder="1" applyAlignment="1">
      <alignment horizontal="center" vertical="center"/>
    </xf>
    <xf numFmtId="0" fontId="66" fillId="7" borderId="20" xfId="16" applyFont="1" applyFill="1" applyBorder="1" applyAlignment="1">
      <alignment horizontal="center" vertical="center"/>
    </xf>
    <xf numFmtId="0" fontId="5" fillId="8" borderId="24" xfId="16" applyFont="1" applyFill="1" applyBorder="1" applyAlignment="1">
      <alignment horizontal="center" vertical="center"/>
    </xf>
    <xf numFmtId="0" fontId="6" fillId="8" borderId="0" xfId="16" applyFont="1" applyFill="1" applyAlignment="1">
      <alignment horizontal="center" vertical="center"/>
    </xf>
    <xf numFmtId="0" fontId="6" fillId="8" borderId="19" xfId="16" applyFont="1" applyFill="1" applyBorder="1" applyAlignment="1">
      <alignment horizontal="center" vertical="center"/>
    </xf>
    <xf numFmtId="0" fontId="6" fillId="8" borderId="24" xfId="16" applyFont="1" applyFill="1" applyBorder="1" applyAlignment="1">
      <alignment horizontal="center" vertical="center"/>
    </xf>
    <xf numFmtId="0" fontId="6" fillId="8" borderId="36" xfId="16" applyFont="1" applyFill="1" applyBorder="1" applyAlignment="1">
      <alignment horizontal="center" vertical="center"/>
    </xf>
    <xf numFmtId="0" fontId="6" fillId="8" borderId="23" xfId="16" applyFont="1" applyFill="1" applyBorder="1" applyAlignment="1">
      <alignment horizontal="center" vertical="center"/>
    </xf>
    <xf numFmtId="0" fontId="6" fillId="8" borderId="20" xfId="16" applyFont="1" applyFill="1" applyBorder="1" applyAlignment="1">
      <alignment horizontal="center" vertical="center"/>
    </xf>
    <xf numFmtId="0" fontId="5" fillId="8" borderId="36" xfId="16" applyFont="1" applyFill="1" applyBorder="1" applyAlignment="1">
      <alignment horizontal="center" vertical="center"/>
    </xf>
    <xf numFmtId="0" fontId="5" fillId="8" borderId="20" xfId="16" applyFont="1" applyFill="1" applyBorder="1" applyAlignment="1">
      <alignment horizontal="center" vertical="center"/>
    </xf>
    <xf numFmtId="41" fontId="5" fillId="0" borderId="24" xfId="20" applyFont="1" applyBorder="1" applyAlignment="1">
      <alignment horizontal="center" vertical="center"/>
    </xf>
    <xf numFmtId="41" fontId="5" fillId="0" borderId="19" xfId="20" applyFont="1" applyBorder="1" applyAlignment="1">
      <alignment horizontal="center" vertical="center"/>
    </xf>
    <xf numFmtId="41" fontId="5" fillId="0" borderId="36" xfId="20" applyFont="1" applyBorder="1" applyAlignment="1">
      <alignment horizontal="center" vertical="center"/>
    </xf>
    <xf numFmtId="41" fontId="5" fillId="0" borderId="20" xfId="20" applyFont="1" applyBorder="1" applyAlignment="1">
      <alignment horizontal="center" vertical="center"/>
    </xf>
    <xf numFmtId="0" fontId="6" fillId="8" borderId="40" xfId="16" applyFont="1" applyFill="1" applyBorder="1" applyAlignment="1">
      <alignment horizontal="center" vertical="center"/>
    </xf>
    <xf numFmtId="0" fontId="21" fillId="21" borderId="43" xfId="16" applyFont="1" applyFill="1" applyBorder="1" applyAlignment="1">
      <alignment horizontal="center" vertical="center" wrapText="1"/>
    </xf>
    <xf numFmtId="0" fontId="21" fillId="21" borderId="40" xfId="16" applyFont="1" applyFill="1" applyBorder="1" applyAlignment="1">
      <alignment horizontal="center" vertical="center" wrapText="1"/>
    </xf>
    <xf numFmtId="0" fontId="21" fillId="21" borderId="22" xfId="16" applyFont="1" applyFill="1" applyBorder="1" applyAlignment="1">
      <alignment horizontal="center" vertical="center" wrapText="1"/>
    </xf>
    <xf numFmtId="0" fontId="21" fillId="21" borderId="35" xfId="16" applyFont="1" applyFill="1" applyBorder="1" applyAlignment="1">
      <alignment horizontal="center" vertical="center" wrapText="1"/>
    </xf>
    <xf numFmtId="0" fontId="53" fillId="0" borderId="24" xfId="16" applyFont="1" applyBorder="1" applyAlignment="1">
      <alignment horizontal="center" vertical="center" wrapText="1"/>
    </xf>
    <xf numFmtId="0" fontId="53" fillId="0" borderId="0" xfId="16" applyFont="1" applyAlignment="1">
      <alignment horizontal="center" vertical="center" wrapText="1"/>
    </xf>
    <xf numFmtId="0" fontId="53" fillId="0" borderId="19" xfId="16" applyFont="1" applyBorder="1" applyAlignment="1">
      <alignment horizontal="center" vertical="center" wrapText="1"/>
    </xf>
    <xf numFmtId="0" fontId="53" fillId="0" borderId="36" xfId="16" applyFont="1" applyBorder="1" applyAlignment="1">
      <alignment horizontal="center" vertical="center" wrapText="1"/>
    </xf>
    <xf numFmtId="0" fontId="53" fillId="0" borderId="23" xfId="16" applyFont="1" applyBorder="1" applyAlignment="1">
      <alignment horizontal="center" vertical="center" wrapText="1"/>
    </xf>
    <xf numFmtId="0" fontId="53" fillId="0" borderId="20" xfId="16" applyFont="1" applyBorder="1" applyAlignment="1">
      <alignment horizontal="center" vertical="center" wrapText="1"/>
    </xf>
    <xf numFmtId="0" fontId="5" fillId="0" borderId="0" xfId="16" applyFont="1" applyAlignment="1">
      <alignment horizontal="center" vertical="center"/>
    </xf>
    <xf numFmtId="0" fontId="5" fillId="30" borderId="108" xfId="16" applyFont="1" applyFill="1" applyBorder="1" applyAlignment="1">
      <alignment horizontal="center" vertical="center"/>
    </xf>
    <xf numFmtId="0" fontId="5" fillId="0" borderId="22" xfId="16" applyFont="1" applyBorder="1" applyAlignment="1">
      <alignment horizontal="center" vertical="center" wrapText="1"/>
    </xf>
    <xf numFmtId="0" fontId="5" fillId="0" borderId="21" xfId="16" applyFont="1" applyBorder="1" applyAlignment="1">
      <alignment horizontal="center" vertical="center" wrapText="1"/>
    </xf>
    <xf numFmtId="0" fontId="5" fillId="0" borderId="35" xfId="16" applyFont="1" applyBorder="1" applyAlignment="1">
      <alignment horizontal="center" vertical="center" wrapText="1"/>
    </xf>
    <xf numFmtId="0" fontId="25" fillId="0" borderId="0" xfId="16" applyFont="1" applyAlignment="1">
      <alignment horizontal="center" vertical="center" wrapText="1"/>
    </xf>
    <xf numFmtId="0" fontId="5" fillId="8" borderId="24" xfId="16" applyFont="1" applyFill="1" applyBorder="1" applyAlignment="1">
      <alignment horizontal="center" vertical="center" wrapText="1"/>
    </xf>
    <xf numFmtId="0" fontId="5" fillId="8" borderId="19" xfId="16" applyFont="1" applyFill="1" applyBorder="1" applyAlignment="1">
      <alignment horizontal="center" vertical="center" wrapText="1"/>
    </xf>
    <xf numFmtId="0" fontId="21" fillId="0" borderId="24" xfId="16" applyFont="1" applyBorder="1" applyAlignment="1">
      <alignment horizontal="center" vertical="center" wrapText="1"/>
    </xf>
    <xf numFmtId="0" fontId="6" fillId="0" borderId="39" xfId="16" applyFont="1" applyBorder="1" applyAlignment="1">
      <alignment horizontal="center" vertical="center"/>
    </xf>
    <xf numFmtId="0" fontId="5" fillId="0" borderId="85" xfId="16" applyFont="1" applyBorder="1" applyAlignment="1">
      <alignment horizontal="center" vertical="center" wrapText="1"/>
    </xf>
    <xf numFmtId="0" fontId="5" fillId="0" borderId="84" xfId="16" applyFont="1" applyBorder="1" applyAlignment="1">
      <alignment horizontal="center" vertical="center" wrapText="1"/>
    </xf>
    <xf numFmtId="0" fontId="19" fillId="3" borderId="43" xfId="16" applyFont="1" applyFill="1" applyBorder="1" applyAlignment="1">
      <alignment horizontal="center" vertical="center" wrapText="1"/>
    </xf>
    <xf numFmtId="0" fontId="19" fillId="3" borderId="39" xfId="16" applyFont="1" applyFill="1" applyBorder="1" applyAlignment="1">
      <alignment horizontal="center" vertical="center" wrapText="1"/>
    </xf>
    <xf numFmtId="0" fontId="11" fillId="3" borderId="39" xfId="17" applyFont="1" applyFill="1" applyBorder="1" applyAlignment="1">
      <alignment horizontal="center" vertical="center" wrapText="1"/>
    </xf>
    <xf numFmtId="0" fontId="21" fillId="0" borderId="87" xfId="16" applyFont="1" applyBorder="1" applyAlignment="1">
      <alignment horizontal="center" vertical="center" wrapText="1"/>
    </xf>
    <xf numFmtId="0" fontId="64" fillId="0" borderId="22" xfId="16" applyFont="1" applyBorder="1" applyAlignment="1">
      <alignment horizontal="center" vertical="center" wrapText="1"/>
    </xf>
    <xf numFmtId="0" fontId="64" fillId="0" borderId="35" xfId="16" applyFont="1" applyBorder="1" applyAlignment="1">
      <alignment horizontal="center" vertical="center" wrapText="1"/>
    </xf>
    <xf numFmtId="0" fontId="64" fillId="0" borderId="36" xfId="16" applyFont="1" applyBorder="1" applyAlignment="1">
      <alignment horizontal="center" vertical="center" wrapText="1"/>
    </xf>
    <xf numFmtId="0" fontId="64" fillId="0" borderId="20" xfId="16" applyFont="1" applyBorder="1" applyAlignment="1">
      <alignment horizontal="center" vertical="center" wrapText="1"/>
    </xf>
    <xf numFmtId="0" fontId="64" fillId="0" borderId="45" xfId="16" applyFont="1" applyBorder="1" applyAlignment="1">
      <alignment horizontal="center" vertical="center" wrapText="1"/>
    </xf>
    <xf numFmtId="0" fontId="64" fillId="0" borderId="44" xfId="16" applyFont="1" applyBorder="1" applyAlignment="1">
      <alignment horizontal="center" vertical="center" wrapText="1"/>
    </xf>
    <xf numFmtId="0" fontId="5" fillId="10" borderId="22" xfId="16" applyFont="1" applyFill="1" applyBorder="1" applyAlignment="1">
      <alignment horizontal="center" vertical="center" wrapText="1"/>
    </xf>
    <xf numFmtId="0" fontId="5" fillId="10" borderId="21" xfId="16" applyFont="1" applyFill="1" applyBorder="1" applyAlignment="1">
      <alignment horizontal="center" vertical="center" wrapText="1"/>
    </xf>
    <xf numFmtId="0" fontId="5" fillId="10" borderId="35" xfId="16" applyFont="1" applyFill="1" applyBorder="1" applyAlignment="1">
      <alignment horizontal="center" vertical="center" wrapText="1"/>
    </xf>
    <xf numFmtId="0" fontId="5" fillId="10" borderId="24" xfId="16" applyFont="1" applyFill="1" applyBorder="1" applyAlignment="1">
      <alignment horizontal="center" vertical="center" wrapText="1"/>
    </xf>
    <xf numFmtId="0" fontId="5" fillId="10" borderId="0" xfId="16" applyFont="1" applyFill="1" applyAlignment="1">
      <alignment horizontal="center" vertical="center" wrapText="1"/>
    </xf>
    <xf numFmtId="0" fontId="5" fillId="10" borderId="19" xfId="16" applyFont="1" applyFill="1" applyBorder="1" applyAlignment="1">
      <alignment horizontal="center" vertical="center" wrapText="1"/>
    </xf>
    <xf numFmtId="0" fontId="5" fillId="10" borderId="36" xfId="16" applyFont="1" applyFill="1" applyBorder="1" applyAlignment="1">
      <alignment horizontal="center" vertical="center" wrapText="1"/>
    </xf>
    <xf numFmtId="0" fontId="5" fillId="10" borderId="23" xfId="16" applyFont="1" applyFill="1" applyBorder="1" applyAlignment="1">
      <alignment horizontal="center" vertical="center" wrapText="1"/>
    </xf>
    <xf numFmtId="0" fontId="5" fillId="10" borderId="20" xfId="16" applyFont="1" applyFill="1" applyBorder="1" applyAlignment="1">
      <alignment horizontal="center" vertical="center" wrapText="1"/>
    </xf>
    <xf numFmtId="0" fontId="5" fillId="8" borderId="22" xfId="16" applyFont="1" applyFill="1" applyBorder="1" applyAlignment="1">
      <alignment horizontal="center" vertical="center" wrapText="1"/>
    </xf>
    <xf numFmtId="0" fontId="5" fillId="8" borderId="35" xfId="16" applyFont="1" applyFill="1" applyBorder="1" applyAlignment="1">
      <alignment horizontal="center" vertical="center"/>
    </xf>
    <xf numFmtId="0" fontId="5" fillId="8" borderId="19" xfId="16" applyFont="1" applyFill="1" applyBorder="1" applyAlignment="1">
      <alignment horizontal="center" vertical="center"/>
    </xf>
    <xf numFmtId="0" fontId="5" fillId="8" borderId="23" xfId="16" applyFont="1" applyFill="1" applyBorder="1" applyAlignment="1">
      <alignment horizontal="center" vertical="center"/>
    </xf>
    <xf numFmtId="0" fontId="5" fillId="17" borderId="21" xfId="16" applyFont="1" applyFill="1" applyBorder="1" applyAlignment="1">
      <alignment horizontal="center" vertical="center" wrapText="1"/>
    </xf>
    <xf numFmtId="0" fontId="5" fillId="17" borderId="35" xfId="16" applyFont="1" applyFill="1" applyBorder="1" applyAlignment="1">
      <alignment horizontal="center" vertical="center" wrapText="1"/>
    </xf>
    <xf numFmtId="0" fontId="5" fillId="17" borderId="23" xfId="16" applyFont="1" applyFill="1" applyBorder="1" applyAlignment="1">
      <alignment horizontal="center" vertical="center" wrapText="1"/>
    </xf>
    <xf numFmtId="0" fontId="5" fillId="17" borderId="20" xfId="16" applyFont="1" applyFill="1" applyBorder="1" applyAlignment="1">
      <alignment horizontal="center" vertical="center" wrapText="1"/>
    </xf>
    <xf numFmtId="0" fontId="5" fillId="8" borderId="21" xfId="16" applyFont="1" applyFill="1" applyBorder="1" applyAlignment="1">
      <alignment horizontal="center" vertical="center"/>
    </xf>
    <xf numFmtId="0" fontId="5" fillId="8" borderId="0" xfId="16" applyFont="1" applyFill="1" applyAlignment="1">
      <alignment horizontal="center" vertical="center"/>
    </xf>
    <xf numFmtId="0" fontId="6" fillId="10" borderId="22" xfId="16" applyFont="1" applyFill="1" applyBorder="1" applyAlignment="1">
      <alignment horizontal="center" vertical="center"/>
    </xf>
    <xf numFmtId="0" fontId="6" fillId="10" borderId="21" xfId="16" applyFont="1" applyFill="1" applyBorder="1" applyAlignment="1">
      <alignment horizontal="center" vertical="center"/>
    </xf>
    <xf numFmtId="0" fontId="6" fillId="10" borderId="35" xfId="16" applyFont="1" applyFill="1" applyBorder="1" applyAlignment="1">
      <alignment horizontal="center" vertical="center"/>
    </xf>
    <xf numFmtId="0" fontId="6" fillId="10" borderId="24" xfId="16" applyFont="1" applyFill="1" applyBorder="1" applyAlignment="1">
      <alignment horizontal="center" vertical="center"/>
    </xf>
    <xf numFmtId="0" fontId="6" fillId="10" borderId="0" xfId="16" applyFont="1" applyFill="1" applyAlignment="1">
      <alignment horizontal="center" vertical="center"/>
    </xf>
    <xf numFmtId="0" fontId="6" fillId="10" borderId="19" xfId="16" applyFont="1" applyFill="1" applyBorder="1" applyAlignment="1">
      <alignment horizontal="center" vertical="center"/>
    </xf>
    <xf numFmtId="0" fontId="6" fillId="10" borderId="36" xfId="16" applyFont="1" applyFill="1" applyBorder="1" applyAlignment="1">
      <alignment horizontal="center" vertical="center"/>
    </xf>
    <xf numFmtId="0" fontId="6" fillId="10" borderId="23" xfId="16" applyFont="1" applyFill="1" applyBorder="1" applyAlignment="1">
      <alignment horizontal="center" vertical="center"/>
    </xf>
    <xf numFmtId="0" fontId="6" fillId="10" borderId="20" xfId="16" applyFont="1" applyFill="1" applyBorder="1" applyAlignment="1">
      <alignment horizontal="center" vertical="center"/>
    </xf>
    <xf numFmtId="0" fontId="5" fillId="17" borderId="0" xfId="16" applyFont="1" applyFill="1" applyAlignment="1">
      <alignment horizontal="center" vertical="center" wrapText="1"/>
    </xf>
    <xf numFmtId="0" fontId="5" fillId="17" borderId="19" xfId="16" applyFont="1" applyFill="1" applyBorder="1" applyAlignment="1">
      <alignment horizontal="center" vertical="center" wrapText="1"/>
    </xf>
    <xf numFmtId="0" fontId="5" fillId="17" borderId="24" xfId="16" applyFont="1" applyFill="1" applyBorder="1" applyAlignment="1">
      <alignment horizontal="center" vertical="center" wrapText="1"/>
    </xf>
    <xf numFmtId="0" fontId="58" fillId="10" borderId="22" xfId="16" applyFont="1" applyFill="1" applyBorder="1" applyAlignment="1">
      <alignment horizontal="center" vertical="center" wrapText="1"/>
    </xf>
    <xf numFmtId="0" fontId="58" fillId="10" borderId="21" xfId="16" applyFont="1" applyFill="1" applyBorder="1" applyAlignment="1">
      <alignment horizontal="center" vertical="center" wrapText="1"/>
    </xf>
    <xf numFmtId="0" fontId="58" fillId="10" borderId="35" xfId="16" applyFont="1" applyFill="1" applyBorder="1" applyAlignment="1">
      <alignment horizontal="center" vertical="center" wrapText="1"/>
    </xf>
    <xf numFmtId="0" fontId="58" fillId="10" borderId="24" xfId="16" applyFont="1" applyFill="1" applyBorder="1" applyAlignment="1">
      <alignment horizontal="center" vertical="center" wrapText="1"/>
    </xf>
    <xf numFmtId="0" fontId="58" fillId="10" borderId="0" xfId="16" applyFont="1" applyFill="1" applyAlignment="1">
      <alignment horizontal="center" vertical="center" wrapText="1"/>
    </xf>
    <xf numFmtId="0" fontId="58" fillId="10" borderId="19" xfId="16" applyFont="1" applyFill="1" applyBorder="1" applyAlignment="1">
      <alignment horizontal="center" vertical="center" wrapText="1"/>
    </xf>
    <xf numFmtId="0" fontId="5" fillId="17" borderId="22" xfId="16" applyFont="1" applyFill="1" applyBorder="1" applyAlignment="1">
      <alignment horizontal="center" vertical="center" wrapText="1"/>
    </xf>
    <xf numFmtId="0" fontId="5" fillId="17" borderId="36" xfId="16" applyFont="1" applyFill="1" applyBorder="1" applyAlignment="1">
      <alignment horizontal="center" vertical="center" wrapText="1"/>
    </xf>
    <xf numFmtId="0" fontId="5" fillId="30" borderId="0" xfId="16" applyFont="1" applyFill="1" applyAlignment="1">
      <alignment horizontal="center" vertical="center"/>
    </xf>
    <xf numFmtId="0" fontId="5" fillId="0" borderId="22" xfId="16" applyFont="1" applyBorder="1" applyAlignment="1">
      <alignment horizontal="center" vertical="center"/>
    </xf>
    <xf numFmtId="0" fontId="5" fillId="0" borderId="35" xfId="16" applyFont="1" applyBorder="1" applyAlignment="1">
      <alignment horizontal="center" vertical="center"/>
    </xf>
    <xf numFmtId="0" fontId="5" fillId="0" borderId="36" xfId="16" applyFont="1" applyBorder="1" applyAlignment="1">
      <alignment horizontal="center" vertical="center"/>
    </xf>
    <xf numFmtId="0" fontId="5" fillId="0" borderId="20" xfId="16" applyFont="1" applyBorder="1" applyAlignment="1">
      <alignment horizontal="center" vertical="center"/>
    </xf>
    <xf numFmtId="0" fontId="5" fillId="0" borderId="21" xfId="16" applyFont="1" applyBorder="1" applyAlignment="1">
      <alignment horizontal="center" vertical="center"/>
    </xf>
    <xf numFmtId="0" fontId="5" fillId="0" borderId="23" xfId="16" applyFont="1" applyBorder="1" applyAlignment="1">
      <alignment horizontal="center" vertical="center"/>
    </xf>
    <xf numFmtId="0" fontId="5" fillId="0" borderId="0" xfId="16" applyFont="1" applyAlignment="1">
      <alignment horizontal="center" vertical="center" wrapText="1"/>
    </xf>
    <xf numFmtId="0" fontId="45" fillId="0" borderId="22" xfId="16" applyFont="1" applyBorder="1" applyAlignment="1">
      <alignment horizontal="center" vertical="center"/>
    </xf>
    <xf numFmtId="0" fontId="45" fillId="0" borderId="21" xfId="16" applyFont="1" applyBorder="1" applyAlignment="1">
      <alignment horizontal="center" vertical="center"/>
    </xf>
    <xf numFmtId="0" fontId="45" fillId="0" borderId="35" xfId="16" applyFont="1" applyBorder="1" applyAlignment="1">
      <alignment horizontal="center" vertical="center"/>
    </xf>
    <xf numFmtId="0" fontId="45" fillId="0" borderId="36" xfId="16" applyFont="1" applyBorder="1" applyAlignment="1">
      <alignment horizontal="center" vertical="center"/>
    </xf>
    <xf numFmtId="0" fontId="45" fillId="0" borderId="23" xfId="16" applyFont="1" applyBorder="1" applyAlignment="1">
      <alignment horizontal="center" vertical="center"/>
    </xf>
    <xf numFmtId="0" fontId="45" fillId="0" borderId="20" xfId="16" applyFont="1" applyBorder="1" applyAlignment="1">
      <alignment horizontal="center" vertical="center"/>
    </xf>
    <xf numFmtId="0" fontId="25" fillId="13" borderId="0" xfId="16" applyFont="1" applyFill="1" applyAlignment="1">
      <alignment horizontal="center" vertical="center" wrapText="1"/>
    </xf>
    <xf numFmtId="0" fontId="25" fillId="13" borderId="23" xfId="16" applyFont="1" applyFill="1" applyBorder="1" applyAlignment="1">
      <alignment horizontal="center" vertical="center" wrapText="1"/>
    </xf>
    <xf numFmtId="0" fontId="6" fillId="13" borderId="22" xfId="16" applyFont="1" applyFill="1" applyBorder="1" applyAlignment="1">
      <alignment horizontal="center" vertical="center" wrapText="1"/>
    </xf>
    <xf numFmtId="0" fontId="6" fillId="13" borderId="24" xfId="16" applyFont="1" applyFill="1" applyBorder="1" applyAlignment="1">
      <alignment horizontal="center" vertical="center" wrapText="1"/>
    </xf>
    <xf numFmtId="0" fontId="6" fillId="13" borderId="36" xfId="16" applyFont="1" applyFill="1" applyBorder="1" applyAlignment="1">
      <alignment horizontal="center" vertical="center" wrapText="1"/>
    </xf>
    <xf numFmtId="0" fontId="25" fillId="8" borderId="43" xfId="16" applyFont="1" applyFill="1" applyBorder="1" applyAlignment="1">
      <alignment horizontal="center" vertical="center"/>
    </xf>
    <xf numFmtId="0" fontId="25" fillId="8" borderId="39" xfId="16" applyFont="1" applyFill="1" applyBorder="1" applyAlignment="1">
      <alignment horizontal="center" vertical="center"/>
    </xf>
    <xf numFmtId="0" fontId="25" fillId="8" borderId="40" xfId="16" applyFont="1" applyFill="1" applyBorder="1" applyAlignment="1">
      <alignment horizontal="center" vertical="center"/>
    </xf>
    <xf numFmtId="14" fontId="25" fillId="8" borderId="43" xfId="16" applyNumberFormat="1" applyFont="1" applyFill="1" applyBorder="1" applyAlignment="1">
      <alignment horizontal="center" vertical="center"/>
    </xf>
    <xf numFmtId="14" fontId="25" fillId="8" borderId="39" xfId="16" applyNumberFormat="1" applyFont="1" applyFill="1" applyBorder="1" applyAlignment="1">
      <alignment horizontal="center" vertical="center"/>
    </xf>
    <xf numFmtId="14" fontId="25" fillId="8" borderId="40" xfId="16" applyNumberFormat="1" applyFont="1" applyFill="1" applyBorder="1" applyAlignment="1">
      <alignment horizontal="center" vertical="center"/>
    </xf>
    <xf numFmtId="0" fontId="5" fillId="22" borderId="43" xfId="16" applyFont="1" applyFill="1" applyBorder="1" applyAlignment="1">
      <alignment horizontal="center" vertical="center"/>
    </xf>
    <xf numFmtId="0" fontId="5" fillId="22" borderId="39" xfId="16" applyFont="1" applyFill="1" applyBorder="1" applyAlignment="1">
      <alignment horizontal="center" vertical="center"/>
    </xf>
    <xf numFmtId="0" fontId="5" fillId="22" borderId="40" xfId="16" applyFont="1" applyFill="1" applyBorder="1" applyAlignment="1">
      <alignment horizontal="center" vertical="center"/>
    </xf>
    <xf numFmtId="0" fontId="70" fillId="22" borderId="22" xfId="16" applyFont="1" applyFill="1" applyBorder="1" applyAlignment="1">
      <alignment horizontal="center" vertical="center" wrapText="1"/>
    </xf>
    <xf numFmtId="0" fontId="70" fillId="22" borderId="21" xfId="16" applyFont="1" applyFill="1" applyBorder="1" applyAlignment="1">
      <alignment horizontal="center" vertical="center" wrapText="1"/>
    </xf>
    <xf numFmtId="0" fontId="70" fillId="22" borderId="35" xfId="16" applyFont="1" applyFill="1" applyBorder="1" applyAlignment="1">
      <alignment horizontal="center" vertical="center" wrapText="1"/>
    </xf>
    <xf numFmtId="0" fontId="53" fillId="0" borderId="22" xfId="16" applyFont="1" applyBorder="1" applyAlignment="1">
      <alignment horizontal="center" vertical="center" wrapText="1"/>
    </xf>
    <xf numFmtId="0" fontId="53" fillId="0" borderId="35" xfId="16" applyFont="1" applyBorder="1" applyAlignment="1">
      <alignment horizontal="center" vertical="center" wrapText="1"/>
    </xf>
    <xf numFmtId="0" fontId="53" fillId="0" borderId="21" xfId="16" applyFont="1" applyBorder="1" applyAlignment="1">
      <alignment horizontal="center" vertical="center" wrapText="1"/>
    </xf>
    <xf numFmtId="0" fontId="5" fillId="10" borderId="22" xfId="16" applyFont="1" applyFill="1" applyBorder="1" applyAlignment="1">
      <alignment horizontal="center" vertical="center"/>
    </xf>
    <xf numFmtId="0" fontId="5" fillId="10" borderId="21" xfId="16" applyFont="1" applyFill="1" applyBorder="1" applyAlignment="1">
      <alignment horizontal="center" vertical="center"/>
    </xf>
    <xf numFmtId="0" fontId="5" fillId="10" borderId="24" xfId="16" applyFont="1" applyFill="1" applyBorder="1" applyAlignment="1">
      <alignment horizontal="center" vertical="center"/>
    </xf>
    <xf numFmtId="0" fontId="5" fillId="10" borderId="0" xfId="16" applyFont="1" applyFill="1" applyAlignment="1">
      <alignment horizontal="center" vertical="center"/>
    </xf>
    <xf numFmtId="0" fontId="5" fillId="10" borderId="36" xfId="16" applyFont="1" applyFill="1" applyBorder="1" applyAlignment="1">
      <alignment horizontal="center" vertical="center"/>
    </xf>
    <xf numFmtId="0" fontId="5" fillId="10" borderId="23" xfId="16" applyFont="1" applyFill="1" applyBorder="1" applyAlignment="1">
      <alignment horizontal="center" vertical="center"/>
    </xf>
    <xf numFmtId="0" fontId="5" fillId="0" borderId="24" xfId="16" applyFont="1" applyBorder="1" applyAlignment="1">
      <alignment horizontal="center" vertical="center" wrapText="1"/>
    </xf>
    <xf numFmtId="0" fontId="5" fillId="0" borderId="19" xfId="16" applyFont="1" applyBorder="1" applyAlignment="1">
      <alignment horizontal="center" vertical="center" wrapText="1"/>
    </xf>
    <xf numFmtId="0" fontId="5" fillId="0" borderId="36" xfId="16" applyFont="1" applyBorder="1" applyAlignment="1">
      <alignment horizontal="center" vertical="center" wrapText="1"/>
    </xf>
    <xf numFmtId="0" fontId="5" fillId="0" borderId="20" xfId="16" applyFont="1" applyBorder="1" applyAlignment="1">
      <alignment horizontal="center" vertical="center" wrapText="1"/>
    </xf>
    <xf numFmtId="0" fontId="5" fillId="30" borderId="24" xfId="16" applyFont="1" applyFill="1" applyBorder="1" applyAlignment="1">
      <alignment horizontal="center" vertical="center"/>
    </xf>
    <xf numFmtId="0" fontId="72" fillId="31" borderId="24" xfId="19" applyFont="1" applyFill="1" applyBorder="1" applyAlignment="1">
      <alignment horizontal="center" vertical="center"/>
    </xf>
    <xf numFmtId="0" fontId="72" fillId="31" borderId="0" xfId="19" applyFont="1" applyFill="1" applyAlignment="1">
      <alignment horizontal="center" vertical="center"/>
    </xf>
    <xf numFmtId="0" fontId="72" fillId="31" borderId="19" xfId="19" applyFont="1" applyFill="1" applyBorder="1" applyAlignment="1">
      <alignment horizontal="center" vertical="center"/>
    </xf>
  </cellXfs>
  <cellStyles count="22">
    <cellStyle name="백분율" xfId="2" builtinId="5"/>
    <cellStyle name="쉼표 [0]" xfId="1" builtinId="6"/>
    <cellStyle name="쉼표 [0] 2" xfId="3" xr:uid="{00000000-0005-0000-0000-000002000000}"/>
    <cellStyle name="쉼표 [0] 3" xfId="7" xr:uid="{00000000-0005-0000-0000-000003000000}"/>
    <cellStyle name="쉼표 [0] 5" xfId="20" xr:uid="{00000000-0005-0000-0000-000004000000}"/>
    <cellStyle name="표준" xfId="0" builtinId="0"/>
    <cellStyle name="표준 2" xfId="4" xr:uid="{00000000-0005-0000-0000-000006000000}"/>
    <cellStyle name="표준 2 2" xfId="8" xr:uid="{00000000-0005-0000-0000-000007000000}"/>
    <cellStyle name="표준 2 2 2" xfId="11" xr:uid="{00000000-0005-0000-0000-000008000000}"/>
    <cellStyle name="표준 2 2 2 2" xfId="14" xr:uid="{00000000-0005-0000-0000-000009000000}"/>
    <cellStyle name="표준 2 2 2 2 2" xfId="19" xr:uid="{00000000-0005-0000-0000-00000A000000}"/>
    <cellStyle name="표준 2 2 2 3" xfId="16" xr:uid="{00000000-0005-0000-0000-00000B000000}"/>
    <cellStyle name="표준 2 2 8" xfId="15" xr:uid="{00000000-0005-0000-0000-00000C000000}"/>
    <cellStyle name="표준 2 2 8 2" xfId="5" xr:uid="{00000000-0005-0000-0000-00000D000000}"/>
    <cellStyle name="표준 3" xfId="6" xr:uid="{00000000-0005-0000-0000-00000E000000}"/>
    <cellStyle name="표준 4" xfId="9" xr:uid="{00000000-0005-0000-0000-00000F000000}"/>
    <cellStyle name="표준 4 2" xfId="10" xr:uid="{00000000-0005-0000-0000-000010000000}"/>
    <cellStyle name="표준 5" xfId="12" xr:uid="{00000000-0005-0000-0000-000011000000}"/>
    <cellStyle name="표준 5 2" xfId="18" xr:uid="{00000000-0005-0000-0000-000012000000}"/>
    <cellStyle name="표준 6" xfId="13" xr:uid="{00000000-0005-0000-0000-000013000000}"/>
    <cellStyle name="표준 6 2" xfId="17" xr:uid="{00000000-0005-0000-0000-000014000000}"/>
    <cellStyle name="표준 7" xfId="21" xr:uid="{2C3D5F37-662A-47A9-80DE-156D496E1CB8}"/>
  </cellStyles>
  <dxfs count="0"/>
  <tableStyles count="0" defaultTableStyle="TableStyleMedium2" defaultPivotStyle="PivotStyleLight16"/>
  <colors>
    <mruColors>
      <color rgb="FFFF505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85724</xdr:colOff>
      <xdr:row>96</xdr:row>
      <xdr:rowOff>66675</xdr:rowOff>
    </xdr:from>
    <xdr:to>
      <xdr:col>4</xdr:col>
      <xdr:colOff>1076325</xdr:colOff>
      <xdr:row>96</xdr:row>
      <xdr:rowOff>428625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 txBox="1">
          <a:spLocks noRot="1"/>
        </xdr:cNvSpPr>
      </xdr:nvSpPr>
      <xdr:spPr>
        <a:xfrm>
          <a:off x="3381375" y="26733498"/>
          <a:ext cx="984249" cy="365125"/>
        </a:xfrm>
        <a:prstGeom prst="rect">
          <a:avLst/>
        </a:prstGeom>
        <a:solidFill>
          <a:srgbClr val="D0CECE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90170" tIns="46990" rIns="90170" bIns="46990" anchor="ctr"/>
        <a:lstStyle/>
        <a:p>
          <a:pPr algn="ctr">
            <a:lnSpc>
              <a:spcPct val="100000"/>
            </a:lnSpc>
          </a:pPr>
          <a:r>
            <a:rPr sz="1200" b="1">
              <a:solidFill>
                <a:srgbClr val="000000"/>
              </a:solidFill>
              <a:latin typeface="맑은 고딕"/>
              <a:ea typeface="맑은 고딕"/>
            </a:rPr>
            <a:t>진행수량</a:t>
          </a:r>
        </a:p>
      </xdr:txBody>
    </xdr:sp>
    <xdr:clientData/>
  </xdr:twoCellAnchor>
  <xdr:twoCellAnchor>
    <xdr:from>
      <xdr:col>5</xdr:col>
      <xdr:colOff>76200</xdr:colOff>
      <xdr:row>96</xdr:row>
      <xdr:rowOff>66675</xdr:rowOff>
    </xdr:from>
    <xdr:to>
      <xdr:col>5</xdr:col>
      <xdr:colOff>1104900</xdr:colOff>
      <xdr:row>96</xdr:row>
      <xdr:rowOff>428625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 txBox="1">
          <a:spLocks noRot="1"/>
        </xdr:cNvSpPr>
      </xdr:nvSpPr>
      <xdr:spPr>
        <a:xfrm>
          <a:off x="4484687" y="26733498"/>
          <a:ext cx="1023937" cy="365125"/>
        </a:xfrm>
        <a:prstGeom prst="rect">
          <a:avLst/>
        </a:prstGeom>
        <a:solidFill>
          <a:srgbClr val="D0CECE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90170" tIns="46990" rIns="90170" bIns="46990" anchor="ctr"/>
        <a:lstStyle/>
        <a:p>
          <a:pPr algn="ctr">
            <a:lnSpc>
              <a:spcPct val="100000"/>
            </a:lnSpc>
          </a:pPr>
          <a:r>
            <a:rPr sz="1200" b="1">
              <a:solidFill>
                <a:srgbClr val="000000"/>
              </a:solidFill>
              <a:latin typeface="맑은 고딕"/>
              <a:ea typeface="맑은 고딕"/>
            </a:rPr>
            <a:t>전일수량</a:t>
          </a:r>
        </a:p>
      </xdr:txBody>
    </xdr:sp>
    <xdr:clientData/>
  </xdr:twoCellAnchor>
  <xdr:twoCellAnchor>
    <xdr:from>
      <xdr:col>9</xdr:col>
      <xdr:colOff>47625</xdr:colOff>
      <xdr:row>96</xdr:row>
      <xdr:rowOff>66675</xdr:rowOff>
    </xdr:from>
    <xdr:to>
      <xdr:col>9</xdr:col>
      <xdr:colOff>1076325</xdr:colOff>
      <xdr:row>96</xdr:row>
      <xdr:rowOff>428625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 txBox="1">
          <a:spLocks noRot="1"/>
        </xdr:cNvSpPr>
      </xdr:nvSpPr>
      <xdr:spPr>
        <a:xfrm>
          <a:off x="9667875" y="26733498"/>
          <a:ext cx="1023937" cy="365125"/>
        </a:xfrm>
        <a:prstGeom prst="rect">
          <a:avLst/>
        </a:prstGeom>
        <a:solidFill>
          <a:srgbClr val="E2F0D9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90170" tIns="46990" rIns="90170" bIns="46990" anchor="ctr"/>
        <a:lstStyle/>
        <a:p>
          <a:pPr algn="ctr">
            <a:lnSpc>
              <a:spcPct val="100000"/>
            </a:lnSpc>
          </a:pPr>
          <a:r>
            <a:rPr sz="1200" b="1">
              <a:solidFill>
                <a:srgbClr val="000000"/>
              </a:solidFill>
              <a:latin typeface="맑은 고딕"/>
              <a:ea typeface="맑은 고딕"/>
            </a:rPr>
            <a:t>진행수량</a:t>
          </a:r>
        </a:p>
      </xdr:txBody>
    </xdr:sp>
    <xdr:clientData/>
  </xdr:twoCellAnchor>
  <xdr:twoCellAnchor>
    <xdr:from>
      <xdr:col>10</xdr:col>
      <xdr:colOff>38100</xdr:colOff>
      <xdr:row>96</xdr:row>
      <xdr:rowOff>66675</xdr:rowOff>
    </xdr:from>
    <xdr:to>
      <xdr:col>10</xdr:col>
      <xdr:colOff>1076325</xdr:colOff>
      <xdr:row>96</xdr:row>
      <xdr:rowOff>428625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 txBox="1">
          <a:spLocks noRot="1"/>
        </xdr:cNvSpPr>
      </xdr:nvSpPr>
      <xdr:spPr>
        <a:xfrm>
          <a:off x="10771187" y="26733498"/>
          <a:ext cx="1031874" cy="365125"/>
        </a:xfrm>
        <a:prstGeom prst="rect">
          <a:avLst/>
        </a:prstGeom>
        <a:solidFill>
          <a:srgbClr val="E2F0D9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90170" tIns="46990" rIns="90170" bIns="46990" anchor="ctr"/>
        <a:lstStyle/>
        <a:p>
          <a:pPr algn="ctr">
            <a:lnSpc>
              <a:spcPct val="100000"/>
            </a:lnSpc>
          </a:pPr>
          <a:r>
            <a:rPr sz="1200" b="1">
              <a:solidFill>
                <a:srgbClr val="000000"/>
              </a:solidFill>
              <a:latin typeface="맑은 고딕"/>
              <a:ea typeface="맑은 고딕"/>
            </a:rPr>
            <a:t>전일수량</a:t>
          </a:r>
        </a:p>
      </xdr:txBody>
    </xdr:sp>
    <xdr:clientData/>
  </xdr:twoCellAnchor>
  <xdr:twoCellAnchor>
    <xdr:from>
      <xdr:col>14</xdr:col>
      <xdr:colOff>76200</xdr:colOff>
      <xdr:row>96</xdr:row>
      <xdr:rowOff>47625</xdr:rowOff>
    </xdr:from>
    <xdr:to>
      <xdr:col>14</xdr:col>
      <xdr:colOff>1104900</xdr:colOff>
      <xdr:row>96</xdr:row>
      <xdr:rowOff>428625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 txBox="1">
          <a:spLocks noRot="1"/>
        </xdr:cNvSpPr>
      </xdr:nvSpPr>
      <xdr:spPr>
        <a:xfrm>
          <a:off x="16303624" y="26717624"/>
          <a:ext cx="1023937" cy="381000"/>
        </a:xfrm>
        <a:prstGeom prst="rect">
          <a:avLst/>
        </a:prstGeom>
        <a:solidFill>
          <a:srgbClr val="E2F0D9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90170" tIns="46990" rIns="90170" bIns="46990" anchor="ctr"/>
        <a:lstStyle/>
        <a:p>
          <a:pPr algn="ctr">
            <a:lnSpc>
              <a:spcPct val="100000"/>
            </a:lnSpc>
          </a:pPr>
          <a:r>
            <a:rPr sz="1200" b="1">
              <a:solidFill>
                <a:srgbClr val="000000"/>
              </a:solidFill>
              <a:latin typeface="맑은 고딕"/>
              <a:ea typeface="맑은 고딕"/>
            </a:rPr>
            <a:t>진행수량</a:t>
          </a:r>
        </a:p>
      </xdr:txBody>
    </xdr:sp>
    <xdr:clientData/>
  </xdr:twoCellAnchor>
  <xdr:twoCellAnchor>
    <xdr:from>
      <xdr:col>15</xdr:col>
      <xdr:colOff>66675</xdr:colOff>
      <xdr:row>96</xdr:row>
      <xdr:rowOff>47625</xdr:rowOff>
    </xdr:from>
    <xdr:to>
      <xdr:col>15</xdr:col>
      <xdr:colOff>1104900</xdr:colOff>
      <xdr:row>96</xdr:row>
      <xdr:rowOff>428625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 txBox="1">
          <a:spLocks noRot="1"/>
        </xdr:cNvSpPr>
      </xdr:nvSpPr>
      <xdr:spPr>
        <a:xfrm>
          <a:off x="17399000" y="26717624"/>
          <a:ext cx="1039812" cy="381000"/>
        </a:xfrm>
        <a:prstGeom prst="rect">
          <a:avLst/>
        </a:prstGeom>
        <a:solidFill>
          <a:srgbClr val="E2F0D9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90170" tIns="46990" rIns="90170" bIns="46990" anchor="ctr"/>
        <a:lstStyle/>
        <a:p>
          <a:pPr algn="ctr">
            <a:lnSpc>
              <a:spcPct val="100000"/>
            </a:lnSpc>
          </a:pPr>
          <a:r>
            <a:rPr sz="1200" b="1">
              <a:solidFill>
                <a:srgbClr val="000000"/>
              </a:solidFill>
              <a:latin typeface="맑은 고딕"/>
              <a:ea typeface="맑은 고딕"/>
            </a:rPr>
            <a:t>전일수량</a:t>
          </a:r>
        </a:p>
      </xdr:txBody>
    </xdr:sp>
    <xdr:clientData/>
  </xdr:twoCellAnchor>
  <xdr:twoCellAnchor>
    <xdr:from>
      <xdr:col>10</xdr:col>
      <xdr:colOff>47625</xdr:colOff>
      <xdr:row>96</xdr:row>
      <xdr:rowOff>66675</xdr:rowOff>
    </xdr:from>
    <xdr:to>
      <xdr:col>10</xdr:col>
      <xdr:colOff>1076325</xdr:colOff>
      <xdr:row>96</xdr:row>
      <xdr:rowOff>428625</xdr:rowOff>
    </xdr:to>
    <xdr:sp macro="" textlink="">
      <xdr:nvSpPr>
        <xdr:cNvPr id="120" name="TextBox 119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SpPr txBox="1">
          <a:spLocks noRot="1"/>
        </xdr:cNvSpPr>
      </xdr:nvSpPr>
      <xdr:spPr>
        <a:xfrm>
          <a:off x="10779125" y="26733498"/>
          <a:ext cx="1023937" cy="365125"/>
        </a:xfrm>
        <a:prstGeom prst="rect">
          <a:avLst/>
        </a:prstGeom>
        <a:solidFill>
          <a:srgbClr val="E2F0D9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90170" tIns="46990" rIns="90170" bIns="46990" anchor="ctr"/>
        <a:lstStyle/>
        <a:p>
          <a:pPr algn="ctr">
            <a:lnSpc>
              <a:spcPct val="100000"/>
            </a:lnSpc>
          </a:pPr>
          <a:r>
            <a:rPr sz="1200" b="1">
              <a:solidFill>
                <a:srgbClr val="000000"/>
              </a:solidFill>
              <a:latin typeface="맑은 고딕"/>
              <a:ea typeface="맑은 고딕"/>
            </a:rPr>
            <a:t>전일수량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0000"/>
    <pageSetUpPr fitToPage="1"/>
  </sheetPr>
  <dimension ref="A1:AZ128"/>
  <sheetViews>
    <sheetView topLeftCell="C1" zoomScale="55" zoomScaleNormal="55" zoomScaleSheetLayoutView="225" workbookViewId="0">
      <selection activeCell="I2" sqref="I2"/>
    </sheetView>
  </sheetViews>
  <sheetFormatPr defaultColWidth="9" defaultRowHeight="16.5"/>
  <cols>
    <col min="1" max="1" width="10.25" style="17" hidden="1" customWidth="1"/>
    <col min="2" max="2" width="16.875" hidden="1" customWidth="1"/>
    <col min="3" max="3" width="10.625" customWidth="1"/>
    <col min="4" max="4" width="32.625" customWidth="1"/>
    <col min="5" max="6" width="14.625" customWidth="1"/>
    <col min="7" max="8" width="10.625" customWidth="1"/>
    <col min="9" max="9" width="32.625" customWidth="1"/>
    <col min="10" max="11" width="14.625" customWidth="1"/>
    <col min="12" max="12" width="10.625" customWidth="1"/>
    <col min="13" max="13" width="14.25" bestFit="1" customWidth="1"/>
    <col min="14" max="14" width="32.625" customWidth="1"/>
    <col min="15" max="16" width="14.625" customWidth="1"/>
    <col min="17" max="17" width="16.75" bestFit="1" customWidth="1"/>
    <col min="18" max="18" width="15.125" bestFit="1" customWidth="1"/>
    <col min="19" max="19" width="34.25" bestFit="1" customWidth="1"/>
    <col min="20" max="21" width="14.625" customWidth="1"/>
    <col min="22" max="22" width="10.625" customWidth="1"/>
    <col min="23" max="23" width="12.625" customWidth="1"/>
    <col min="24" max="24" width="33.5" bestFit="1" customWidth="1"/>
    <col min="25" max="26" width="14.625" customWidth="1"/>
    <col min="27" max="27" width="10.625" customWidth="1"/>
    <col min="28" max="28" width="12.625" customWidth="1"/>
    <col min="29" max="29" width="35.75" bestFit="1" customWidth="1"/>
    <col min="30" max="33" width="12.625" customWidth="1"/>
    <col min="34" max="34" width="25.625" customWidth="1"/>
    <col min="35" max="38" width="12.625" customWidth="1"/>
    <col min="39" max="39" width="25.625" customWidth="1"/>
    <col min="40" max="42" width="12.625" customWidth="1"/>
    <col min="43" max="43" width="9.625" customWidth="1"/>
    <col min="44" max="44" width="22.125" customWidth="1"/>
    <col min="45" max="45" width="27.125" customWidth="1"/>
    <col min="46" max="48" width="10.75" bestFit="1" customWidth="1"/>
    <col min="49" max="49" width="5.125" customWidth="1"/>
    <col min="50" max="50" width="27.125" customWidth="1"/>
    <col min="51" max="51" width="10.75" customWidth="1"/>
    <col min="52" max="52" width="10.75" style="1" customWidth="1"/>
    <col min="53" max="53" width="10.75" customWidth="1"/>
    <col min="54" max="55" width="14.25" bestFit="1" customWidth="1"/>
    <col min="56" max="56" width="9.625" customWidth="1"/>
    <col min="57" max="58" width="4.75" customWidth="1"/>
    <col min="59" max="59" width="27.875" customWidth="1"/>
    <col min="60" max="60" width="10.125" customWidth="1"/>
    <col min="61" max="62" width="9.5" customWidth="1"/>
    <col min="63" max="63" width="4.25" bestFit="1" customWidth="1"/>
    <col min="64" max="64" width="24.5" bestFit="1" customWidth="1"/>
    <col min="65" max="65" width="10.75" bestFit="1" customWidth="1"/>
    <col min="66" max="67" width="9" customWidth="1"/>
    <col min="68" max="68" width="4.75" customWidth="1"/>
    <col min="69" max="69" width="27.875" customWidth="1"/>
    <col min="70" max="72" width="9.125" customWidth="1"/>
  </cols>
  <sheetData>
    <row r="1" spans="1:52" ht="32.25" customHeight="1"/>
    <row r="2" spans="1:52" ht="32.25" customHeight="1">
      <c r="D2" s="33" t="s">
        <v>44</v>
      </c>
      <c r="E2" s="818" t="s">
        <v>21</v>
      </c>
      <c r="F2" s="819"/>
      <c r="G2" s="822" t="s">
        <v>23</v>
      </c>
      <c r="H2" s="823"/>
      <c r="I2" s="90" t="s">
        <v>21</v>
      </c>
      <c r="J2" s="91"/>
      <c r="K2" s="91"/>
    </row>
    <row r="3" spans="1:52" ht="32.25" customHeight="1">
      <c r="D3" s="98" t="e">
        <f>E7+J7+O7+T7+Y7&amp;"모듈"</f>
        <v>#REF!</v>
      </c>
      <c r="E3" s="820">
        <f>AF6/100</f>
        <v>0.25271517846522651</v>
      </c>
      <c r="F3" s="821"/>
      <c r="G3" s="824" t="e">
        <f>E33+J33+O33+T33+E80+J98+E59+T98+Y33+J80+J59+O59+E98+O98+E7+J7+O7+T7</f>
        <v>#REF!</v>
      </c>
      <c r="H3" s="825"/>
      <c r="I3" s="94" t="e">
        <f>AVERAGEIF(AM58:AM65,"&gt;0")</f>
        <v>#DIV/0!</v>
      </c>
      <c r="J3" s="3"/>
      <c r="K3" s="92"/>
      <c r="AJ3" s="37"/>
      <c r="AK3" s="37"/>
      <c r="AL3" s="37"/>
      <c r="AM3" s="37"/>
      <c r="AN3" s="37"/>
      <c r="AO3" s="37"/>
    </row>
    <row r="4" spans="1:52" ht="41.25" customHeight="1">
      <c r="C4" s="57"/>
      <c r="D4" s="89"/>
      <c r="E4" s="89"/>
      <c r="F4" s="89"/>
      <c r="G4" s="89"/>
      <c r="H4" s="89"/>
      <c r="I4" s="89"/>
      <c r="J4" s="97"/>
      <c r="K4" s="97"/>
      <c r="L4" s="58"/>
      <c r="M4" s="58"/>
      <c r="N4" s="58" t="s">
        <v>4</v>
      </c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58"/>
      <c r="AB4" s="58"/>
      <c r="AC4" s="59"/>
      <c r="AD4" s="807" t="s">
        <v>1</v>
      </c>
      <c r="AE4" s="42" t="s">
        <v>21</v>
      </c>
      <c r="AF4" s="803" t="s">
        <v>19</v>
      </c>
      <c r="AH4" s="16"/>
      <c r="AI4" s="16"/>
      <c r="AJ4" s="16"/>
      <c r="AK4" s="16"/>
      <c r="AL4" s="16"/>
      <c r="AM4" s="16"/>
      <c r="AN4" s="16"/>
      <c r="AO4" s="16"/>
      <c r="AP4" s="16"/>
      <c r="AZ4"/>
    </row>
    <row r="5" spans="1:52" ht="16.5" customHeight="1">
      <c r="A5" s="832" t="s">
        <v>10</v>
      </c>
      <c r="B5" s="833" t="s">
        <v>7</v>
      </c>
      <c r="C5" s="834" t="s">
        <v>29</v>
      </c>
      <c r="D5" s="815"/>
      <c r="E5" s="836" t="s">
        <v>9</v>
      </c>
      <c r="F5" s="836" t="s">
        <v>6</v>
      </c>
      <c r="G5" s="799" t="s">
        <v>12</v>
      </c>
      <c r="H5" s="814" t="s">
        <v>30</v>
      </c>
      <c r="I5" s="815"/>
      <c r="J5" s="801" t="s">
        <v>9</v>
      </c>
      <c r="K5" s="801" t="s">
        <v>6</v>
      </c>
      <c r="L5" s="799" t="s">
        <v>12</v>
      </c>
      <c r="M5" s="814" t="s">
        <v>31</v>
      </c>
      <c r="N5" s="815"/>
      <c r="O5" s="801" t="s">
        <v>9</v>
      </c>
      <c r="P5" s="801" t="s">
        <v>6</v>
      </c>
      <c r="Q5" s="799" t="s">
        <v>12</v>
      </c>
      <c r="R5" s="814"/>
      <c r="S5" s="815"/>
      <c r="T5" s="801" t="s">
        <v>9</v>
      </c>
      <c r="U5" s="801" t="s">
        <v>6</v>
      </c>
      <c r="V5" s="799" t="s">
        <v>12</v>
      </c>
      <c r="W5" s="814"/>
      <c r="X5" s="815"/>
      <c r="Y5" s="801" t="s">
        <v>9</v>
      </c>
      <c r="Z5" s="801" t="s">
        <v>6</v>
      </c>
      <c r="AA5" s="799" t="s">
        <v>12</v>
      </c>
      <c r="AB5" s="810" t="s">
        <v>18</v>
      </c>
      <c r="AC5" s="812" t="s">
        <v>11</v>
      </c>
      <c r="AD5" s="808"/>
      <c r="AE5" s="805">
        <f>IFERROR(AF6/100,0)</f>
        <v>0.25271517846522651</v>
      </c>
      <c r="AF5" s="804"/>
      <c r="AZ5"/>
    </row>
    <row r="6" spans="1:52" ht="17.25" customHeight="1">
      <c r="A6" s="832"/>
      <c r="B6" s="833"/>
      <c r="C6" s="835"/>
      <c r="D6" s="817"/>
      <c r="E6" s="836"/>
      <c r="F6" s="802"/>
      <c r="G6" s="800"/>
      <c r="H6" s="816"/>
      <c r="I6" s="817"/>
      <c r="J6" s="802"/>
      <c r="K6" s="802"/>
      <c r="L6" s="800"/>
      <c r="M6" s="816"/>
      <c r="N6" s="817"/>
      <c r="O6" s="802"/>
      <c r="P6" s="802"/>
      <c r="Q6" s="800"/>
      <c r="R6" s="816"/>
      <c r="S6" s="817"/>
      <c r="T6" s="802"/>
      <c r="U6" s="802"/>
      <c r="V6" s="800"/>
      <c r="W6" s="816"/>
      <c r="X6" s="817"/>
      <c r="Y6" s="802"/>
      <c r="Z6" s="802"/>
      <c r="AA6" s="800"/>
      <c r="AB6" s="811"/>
      <c r="AC6" s="813"/>
      <c r="AD6" s="809"/>
      <c r="AE6" s="806"/>
      <c r="AF6" s="107">
        <f>IFERROR(SUM(AF7:AF29),0)</f>
        <v>25.271517846522652</v>
      </c>
      <c r="AZ6"/>
    </row>
    <row r="7" spans="1:52" ht="24.75" customHeight="1">
      <c r="A7" s="17">
        <v>8000000</v>
      </c>
      <c r="B7" s="19">
        <f t="shared" ref="B7:B13" si="0">A7/$A$29*100</f>
        <v>24.88722974023954</v>
      </c>
      <c r="C7" s="34">
        <v>1</v>
      </c>
      <c r="D7" s="3" t="s">
        <v>59</v>
      </c>
      <c r="E7" s="4" t="e">
        <f>COUNTIFS(마감현황!$C:$C,'공종별 완료 현황'!D7,마감현황!$D:$D,"&lt;&gt;")+COUNTIFS(마감현황!$G:$G,'공종별 완료 현황'!D7,마감현황!$H:$H,"&lt;&gt;")+COUNTIFS(마감현황!$K:$K,'공종별 완료 현황'!D7,마감현황!$L:$L,"&lt;&gt;")+COUNTIFS(마감현황!$Q:$Q,'공종별 완료 현황'!D7,마감현황!$R:$R,"&lt;&gt;")+COUNTIFS(마감현황!$U:$U,'공종별 완료 현황'!D7,마감현황!$V:$V,"&lt;&gt;")+COUNTIFS(마감현황!$Y:$Y,'공종별 완료 현황'!D7,마감현황!$Z:$Z,"&lt;&gt;")+COUNTIFS(마감현황!$AH:$AH,'공종별 완료 현황'!D7,마감현황!$AI:$AI,"&lt;&gt;")+COUNTIFS(마감현황!$AL:$AL,'공종별 완료 현황'!D7,마감현황!$AM:$AM,"&lt;&gt;")+COUNTIFS(마감현황!$AP:$AP,'공종별 완료 현황'!D7,마감현황!$AQ:$AQ,"&lt;&gt;")+COUNTIFS(마감현황!$AV:$AV,'공종별 완료 현황'!D7,마감현황!$AW:$AW,"&lt;&gt;")+COUNTIFS(마감현황!$AZ:$AZ,'공종별 완료 현황'!D7,마감현황!$BA:$BA,"&lt;&gt;")+COUNTIFS(마감현황!$BD:$BD,'공종별 완료 현황'!D7,마감현황!$BE:$BE,"&lt;&gt;")+COUNTIFS(마감현황!$BM:$BM,'공종별 완료 현황'!D7,마감현황!$BN:$BN,"&lt;&gt;")+COUNTIFS(마감현황!$BQ:$BQ,'공종별 완료 현황'!D7,마감현황!$BR:$BR,"&lt;&gt;")+COUNTIFS(마감현황!$BW:$BW,'공종별 완료 현황'!D7,마감현황!$BX:$BX,"&lt;&gt;")+COUNTIFS(마감현황!$CA:$CA,'공종별 완료 현황'!D7,마감현황!$CB:$CB,"&lt;&gt;") +#REF!</f>
        <v>#REF!</v>
      </c>
      <c r="F7" s="4">
        <v>154</v>
      </c>
      <c r="G7" s="11" t="e">
        <f>E7-F7+$Q$80</f>
        <v>#REF!</v>
      </c>
      <c r="H7" s="49">
        <v>1</v>
      </c>
      <c r="I7" s="3" t="s">
        <v>32</v>
      </c>
      <c r="J7" s="4" t="e">
        <f>COUNTIFS(마감현황!$C:$C,'공종별 완료 현황'!I7,마감현황!$D:$D,"&lt;&gt;")+COUNTIFS(마감현황!$G:$G,'공종별 완료 현황'!I7,마감현황!$H:$H,"&lt;&gt;")+COUNTIFS(마감현황!$K:$K,'공종별 완료 현황'!I7,마감현황!$L:$L,"&lt;&gt;")+COUNTIFS(마감현황!$Q:$Q,'공종별 완료 현황'!I7,마감현황!$R:$R,"&lt;&gt;")+COUNTIFS(마감현황!$U:$U,'공종별 완료 현황'!I7,마감현황!$V:$V,"&lt;&gt;")+COUNTIFS(마감현황!$Y:$Y,'공종별 완료 현황'!I7,마감현황!$Z:$Z,"&lt;&gt;")+COUNTIFS(마감현황!$AH:$AH,'공종별 완료 현황'!I7,마감현황!$AI:$AI,"&lt;&gt;")+COUNTIFS(마감현황!$AL:$AL,'공종별 완료 현황'!I7,마감현황!$AM:$AM,"&lt;&gt;")+COUNTIFS(마감현황!$AP:$AP,'공종별 완료 현황'!I7,마감현황!$AQ:$AQ,"&lt;&gt;")+COUNTIFS(마감현황!$AV:$AV,'공종별 완료 현황'!I7,마감현황!$AW:$AW,"&lt;&gt;")+COUNTIFS(마감현황!$AZ:$AZ,'공종별 완료 현황'!I7,마감현황!$BA:$BA,"&lt;&gt;")+COUNTIFS(마감현황!$BD:$BD,'공종별 완료 현황'!I7,마감현황!$BE:$BE,"&lt;&gt;")+COUNTIFS(마감현황!$BM:$BM,'공종별 완료 현황'!I7,마감현황!$BN:$BN,"&lt;&gt;")+COUNTIFS(마감현황!$BQ:$BQ,'공종별 완료 현황'!I7,마감현황!$BR:$BR,"&lt;&gt;")+COUNTIFS(마감현황!$BW:$BW,'공종별 완료 현황'!I7,마감현황!$BX:$BX,"&lt;&gt;")+COUNTIFS(마감현황!$CA:$CA,'공종별 완료 현황'!I7,마감현황!$CB:$CB,"&lt;&gt;") +#REF!</f>
        <v>#REF!</v>
      </c>
      <c r="K7" s="4">
        <v>2</v>
      </c>
      <c r="L7" s="11" t="e">
        <f t="shared" ref="L7:L16" si="1">J7-K7+$R$80</f>
        <v>#REF!</v>
      </c>
      <c r="M7" s="49">
        <v>1</v>
      </c>
      <c r="N7" s="3" t="s">
        <v>38</v>
      </c>
      <c r="O7" s="4" t="e">
        <f>COUNTIFS(마감현황!$C:$C,'공종별 완료 현황'!N7,마감현황!$D:$D,"&lt;&gt;")+COUNTIFS(마감현황!$G:$G,'공종별 완료 현황'!N7,마감현황!$H:$H,"&lt;&gt;")+COUNTIFS(마감현황!$K:$K,'공종별 완료 현황'!N7,마감현황!$L:$L,"&lt;&gt;")+COUNTIFS(마감현황!$Q:$Q,'공종별 완료 현황'!N7,마감현황!$R:$R,"&lt;&gt;")+COUNTIFS(마감현황!$U:$U,'공종별 완료 현황'!N7,마감현황!$V:$V,"&lt;&gt;")+COUNTIFS(마감현황!$Y:$Y,'공종별 완료 현황'!N7,마감현황!$Z:$Z,"&lt;&gt;")+COUNTIFS(마감현황!$AH:$AH,'공종별 완료 현황'!N7,마감현황!$AI:$AI,"&lt;&gt;")+COUNTIFS(마감현황!$AL:$AL,'공종별 완료 현황'!N7,마감현황!$AM:$AM,"&lt;&gt;")+COUNTIFS(마감현황!$AP:$AP,'공종별 완료 현황'!N7,마감현황!$AQ:$AQ,"&lt;&gt;")+COUNTIFS(마감현황!$AV:$AV,'공종별 완료 현황'!N7,마감현황!$AW:$AW,"&lt;&gt;")+COUNTIFS(마감현황!$AZ:$AZ,'공종별 완료 현황'!N7,마감현황!$BA:$BA,"&lt;&gt;")+COUNTIFS(마감현황!$BD:$BD,'공종별 완료 현황'!N7,마감현황!$BE:$BE,"&lt;&gt;")+COUNTIFS(마감현황!$BM:$BM,'공종별 완료 현황'!N7,마감현황!$BN:$BN,"&lt;&gt;")+COUNTIFS(마감현황!$BQ:$BQ,'공종별 완료 현황'!N7,마감현황!$BR:$BR,"&lt;&gt;")+COUNTIFS(마감현황!$BW:$BW,'공종별 완료 현황'!N7,마감현황!$BX:$BX,"&lt;&gt;")+COUNTIFS(마감현황!$CA:$CA,'공종별 완료 현황'!N7,마감현황!$CB:$CB,"&lt;&gt;") +#REF!</f>
        <v>#REF!</v>
      </c>
      <c r="P7" s="4">
        <v>116</v>
      </c>
      <c r="Q7" s="11" t="e">
        <f t="shared" ref="Q7:Q16" si="2">O7-P7+$S$80</f>
        <v>#REF!</v>
      </c>
      <c r="R7" s="49">
        <v>1</v>
      </c>
      <c r="S7" s="3"/>
      <c r="T7" s="4"/>
      <c r="U7" s="4"/>
      <c r="V7" s="11"/>
      <c r="W7" s="49">
        <v>1</v>
      </c>
      <c r="X7" s="3"/>
      <c r="Y7" s="4"/>
      <c r="Z7" s="4"/>
      <c r="AA7" s="11"/>
      <c r="AB7" s="53" t="e">
        <f t="shared" ref="AB7:AB21" si="3">Y7+J7+E7+O7+T7</f>
        <v>#REF!</v>
      </c>
      <c r="AC7" s="26">
        <f>F7+K7+P7+U7+Z7</f>
        <v>272</v>
      </c>
      <c r="AD7" s="47" t="e">
        <f>G7+L7+Q7+V7+AA7</f>
        <v>#REF!</v>
      </c>
      <c r="AE7" s="50">
        <f>IFERROR(AC7/$AC$7,0)</f>
        <v>1</v>
      </c>
      <c r="AF7" s="44">
        <f>IFERROR(AE7*B7,0)</f>
        <v>24.88722974023954</v>
      </c>
      <c r="AZ7"/>
    </row>
    <row r="8" spans="1:52" ht="24.75" customHeight="1">
      <c r="A8" s="17">
        <v>800000</v>
      </c>
      <c r="B8" s="19">
        <f t="shared" si="0"/>
        <v>2.488722974023954</v>
      </c>
      <c r="C8" s="34">
        <v>2</v>
      </c>
      <c r="D8" s="3" t="s">
        <v>60</v>
      </c>
      <c r="E8" s="4" t="e">
        <f>COUNTIFS(마감현황!$C:$C,'공종별 완료 현황'!D8,마감현황!$D:$D,"&lt;&gt;")+COUNTIFS(마감현황!$G:$G,'공종별 완료 현황'!D8,마감현황!$H:$H,"&lt;&gt;")+COUNTIFS(마감현황!$K:$K,'공종별 완료 현황'!D8,마감현황!$L:$L,"&lt;&gt;")+COUNTIFS(마감현황!$Q:$Q,'공종별 완료 현황'!D8,마감현황!$R:$R,"&lt;&gt;")+COUNTIFS(마감현황!$U:$U,'공종별 완료 현황'!D8,마감현황!$V:$V,"&lt;&gt;")+COUNTIFS(마감현황!$Y:$Y,'공종별 완료 현황'!D8,마감현황!$Z:$Z,"&lt;&gt;")+COUNTIFS(마감현황!$AH:$AH,'공종별 완료 현황'!D8,마감현황!$AI:$AI,"&lt;&gt;")+COUNTIFS(마감현황!$AL:$AL,'공종별 완료 현황'!D8,마감현황!$AM:$AM,"&lt;&gt;")+COUNTIFS(마감현황!$AP:$AP,'공종별 완료 현황'!D8,마감현황!$AQ:$AQ,"&lt;&gt;")+COUNTIFS(마감현황!$AV:$AV,'공종별 완료 현황'!D8,마감현황!$AW:$AW,"&lt;&gt;")+COUNTIFS(마감현황!$AZ:$AZ,'공종별 완료 현황'!D8,마감현황!$BA:$BA,"&lt;&gt;")+COUNTIFS(마감현황!$BD:$BD,'공종별 완료 현황'!D8,마감현황!$BE:$BE,"&lt;&gt;")+COUNTIFS(마감현황!$BM:$BM,'공종별 완료 현황'!D8,마감현황!$BN:$BN,"&lt;&gt;")+COUNTIFS(마감현황!$BQ:$BQ,'공종별 완료 현황'!D8,마감현황!$BR:$BR,"&lt;&gt;")+COUNTIFS(마감현황!$BW:$BW,'공종별 완료 현황'!D8,마감현황!$BX:$BX,"&lt;&gt;")+COUNTIFS(마감현황!$CA:$CA,'공종별 완료 현황'!D8,마감현황!$CB:$CB,"&lt;&gt;") +#REF!</f>
        <v>#REF!</v>
      </c>
      <c r="F8" s="4">
        <v>29</v>
      </c>
      <c r="G8" s="11" t="e">
        <f t="shared" ref="G8:G16" si="4">E8-F8+$Q$80</f>
        <v>#REF!</v>
      </c>
      <c r="H8" s="49">
        <v>2</v>
      </c>
      <c r="I8" s="3" t="s">
        <v>33</v>
      </c>
      <c r="J8" s="4" t="e">
        <f>COUNTIFS(마감현황!$C:$C,'공종별 완료 현황'!I8,마감현황!$D:$D,"&lt;&gt;")+COUNTIFS(마감현황!$G:$G,'공종별 완료 현황'!I8,마감현황!$H:$H,"&lt;&gt;")+COUNTIFS(마감현황!$K:$K,'공종별 완료 현황'!I8,마감현황!$L:$L,"&lt;&gt;")+COUNTIFS(마감현황!$Q:$Q,'공종별 완료 현황'!I8,마감현황!$R:$R,"&lt;&gt;")+COUNTIFS(마감현황!$U:$U,'공종별 완료 현황'!I8,마감현황!$V:$V,"&lt;&gt;")+COUNTIFS(마감현황!$Y:$Y,'공종별 완료 현황'!I8,마감현황!$Z:$Z,"&lt;&gt;")+COUNTIFS(마감현황!$AH:$AH,'공종별 완료 현황'!I8,마감현황!$AI:$AI,"&lt;&gt;")+COUNTIFS(마감현황!$AL:$AL,'공종별 완료 현황'!I8,마감현황!$AM:$AM,"&lt;&gt;")+COUNTIFS(마감현황!$AP:$AP,'공종별 완료 현황'!I8,마감현황!$AQ:$AQ,"&lt;&gt;")+COUNTIFS(마감현황!$AV:$AV,'공종별 완료 현황'!I8,마감현황!$AW:$AW,"&lt;&gt;")+COUNTIFS(마감현황!$AZ:$AZ,'공종별 완료 현황'!I8,마감현황!$BA:$BA,"&lt;&gt;")+COUNTIFS(마감현황!$BD:$BD,'공종별 완료 현황'!I8,마감현황!$BE:$BE,"&lt;&gt;")+COUNTIFS(마감현황!$BM:$BM,'공종별 완료 현황'!I8,마감현황!$BN:$BN,"&lt;&gt;")+COUNTIFS(마감현황!$BQ:$BQ,'공종별 완료 현황'!I8,마감현황!$BR:$BR,"&lt;&gt;")+COUNTIFS(마감현황!$BW:$BW,'공종별 완료 현황'!I8,마감현황!$BX:$BX,"&lt;&gt;")+COUNTIFS(마감현황!$CA:$CA,'공종별 완료 현황'!I8,마감현황!$CB:$CB,"&lt;&gt;") +#REF!</f>
        <v>#REF!</v>
      </c>
      <c r="K8" s="4">
        <v>0</v>
      </c>
      <c r="L8" s="11" t="e">
        <f t="shared" si="1"/>
        <v>#REF!</v>
      </c>
      <c r="M8" s="49">
        <v>2</v>
      </c>
      <c r="N8" s="3" t="s">
        <v>39</v>
      </c>
      <c r="O8" s="4" t="e">
        <f>COUNTIFS(마감현황!$C:$C,'공종별 완료 현황'!N8,마감현황!$D:$D,"&lt;&gt;")+COUNTIFS(마감현황!$G:$G,'공종별 완료 현황'!N8,마감현황!$H:$H,"&lt;&gt;")+COUNTIFS(마감현황!$K:$K,'공종별 완료 현황'!N8,마감현황!$L:$L,"&lt;&gt;")+COUNTIFS(마감현황!$Q:$Q,'공종별 완료 현황'!N8,마감현황!$R:$R,"&lt;&gt;")+COUNTIFS(마감현황!$U:$U,'공종별 완료 현황'!N8,마감현황!$V:$V,"&lt;&gt;")+COUNTIFS(마감현황!$Y:$Y,'공종별 완료 현황'!N8,마감현황!$Z:$Z,"&lt;&gt;")+COUNTIFS(마감현황!$AH:$AH,'공종별 완료 현황'!N8,마감현황!$AI:$AI,"&lt;&gt;")+COUNTIFS(마감현황!$AL:$AL,'공종별 완료 현황'!N8,마감현황!$AM:$AM,"&lt;&gt;")+COUNTIFS(마감현황!$AP:$AP,'공종별 완료 현황'!N8,마감현황!$AQ:$AQ,"&lt;&gt;")+COUNTIFS(마감현황!$AV:$AV,'공종별 완료 현황'!N8,마감현황!$AW:$AW,"&lt;&gt;")+COUNTIFS(마감현황!$AZ:$AZ,'공종별 완료 현황'!N8,마감현황!$BA:$BA,"&lt;&gt;")+COUNTIFS(마감현황!$BD:$BD,'공종별 완료 현황'!N8,마감현황!$BE:$BE,"&lt;&gt;")+COUNTIFS(마감현황!$BM:$BM,'공종별 완료 현황'!N8,마감현황!$BN:$BN,"&lt;&gt;")+COUNTIFS(마감현황!$BQ:$BQ,'공종별 완료 현황'!N8,마감현황!$BR:$BR,"&lt;&gt;")+COUNTIFS(마감현황!$BW:$BW,'공종별 완료 현황'!N8,마감현황!$BX:$BX,"&lt;&gt;")+COUNTIFS(마감현황!$CA:$CA,'공종별 완료 현황'!N8,마감현황!$CB:$CB,"&lt;&gt;") +#REF!</f>
        <v>#REF!</v>
      </c>
      <c r="P8" s="4">
        <v>13</v>
      </c>
      <c r="Q8" s="11" t="e">
        <f t="shared" si="2"/>
        <v>#REF!</v>
      </c>
      <c r="R8" s="49">
        <v>2</v>
      </c>
      <c r="S8" s="3"/>
      <c r="T8" s="4"/>
      <c r="U8" s="4"/>
      <c r="V8" s="11"/>
      <c r="W8" s="49">
        <v>2</v>
      </c>
      <c r="X8" s="3"/>
      <c r="Y8" s="4"/>
      <c r="Z8" s="4"/>
      <c r="AA8" s="11"/>
      <c r="AB8" s="53" t="e">
        <f t="shared" si="3"/>
        <v>#REF!</v>
      </c>
      <c r="AC8" s="26">
        <f t="shared" ref="AC8:AC22" si="5">F8+K8+P8+U8+Z8</f>
        <v>42</v>
      </c>
      <c r="AD8" s="47" t="e">
        <f t="shared" ref="AD8:AD21" si="6">G8+L8+Q8+V8+AA8</f>
        <v>#REF!</v>
      </c>
      <c r="AE8" s="50">
        <f t="shared" ref="AE8:AE22" si="7">IFERROR(AC8/$AC$7,0)</f>
        <v>0.15441176470588236</v>
      </c>
      <c r="AF8" s="44">
        <f t="shared" ref="AF8:AF27" si="8">IFERROR(AE8*B8,0)</f>
        <v>0.38428810628311055</v>
      </c>
      <c r="AZ8"/>
    </row>
    <row r="9" spans="1:52" ht="24.75" customHeight="1">
      <c r="A9" s="17">
        <v>200000</v>
      </c>
      <c r="B9" s="19">
        <f t="shared" si="0"/>
        <v>0.62218074350598851</v>
      </c>
      <c r="C9" s="34">
        <v>3</v>
      </c>
      <c r="D9" s="3" t="s">
        <v>61</v>
      </c>
      <c r="E9" s="4" t="e">
        <f>COUNTIFS(마감현황!$C:$C,'공종별 완료 현황'!D9,마감현황!$D:$D,"&lt;&gt;")+COUNTIFS(마감현황!$G:$G,'공종별 완료 현황'!D9,마감현황!$H:$H,"&lt;&gt;")+COUNTIFS(마감현황!$K:$K,'공종별 완료 현황'!D9,마감현황!$L:$L,"&lt;&gt;")+COUNTIFS(마감현황!$Q:$Q,'공종별 완료 현황'!D9,마감현황!$R:$R,"&lt;&gt;")+COUNTIFS(마감현황!$U:$U,'공종별 완료 현황'!D9,마감현황!$V:$V,"&lt;&gt;")+COUNTIFS(마감현황!$Y:$Y,'공종별 완료 현황'!D9,마감현황!$Z:$Z,"&lt;&gt;")+COUNTIFS(마감현황!$AH:$AH,'공종별 완료 현황'!D9,마감현황!$AI:$AI,"&lt;&gt;")+COUNTIFS(마감현황!$AL:$AL,'공종별 완료 현황'!D9,마감현황!$AM:$AM,"&lt;&gt;")+COUNTIFS(마감현황!$AP:$AP,'공종별 완료 현황'!D9,마감현황!$AQ:$AQ,"&lt;&gt;")+COUNTIFS(마감현황!$AV:$AV,'공종별 완료 현황'!D9,마감현황!$AW:$AW,"&lt;&gt;")+COUNTIFS(마감현황!$AZ:$AZ,'공종별 완료 현황'!D9,마감현황!$BA:$BA,"&lt;&gt;")+COUNTIFS(마감현황!$BD:$BD,'공종별 완료 현황'!D9,마감현황!$BE:$BE,"&lt;&gt;")+COUNTIFS(마감현황!$BM:$BM,'공종별 완료 현황'!D9,마감현황!$BN:$BN,"&lt;&gt;")+COUNTIFS(마감현황!$BQ:$BQ,'공종별 완료 현황'!D9,마감현황!$BR:$BR,"&lt;&gt;")+COUNTIFS(마감현황!$BW:$BW,'공종별 완료 현황'!D9,마감현황!$BX:$BX,"&lt;&gt;")+COUNTIFS(마감현황!$CA:$CA,'공종별 완료 현황'!D9,마감현황!$CB:$CB,"&lt;&gt;") +#REF!</f>
        <v>#REF!</v>
      </c>
      <c r="F9" s="4">
        <v>0</v>
      </c>
      <c r="G9" s="11" t="e">
        <f t="shared" si="4"/>
        <v>#REF!</v>
      </c>
      <c r="H9" s="49">
        <v>3</v>
      </c>
      <c r="I9" s="3" t="s">
        <v>34</v>
      </c>
      <c r="J9" s="4" t="e">
        <f>COUNTIFS(마감현황!$C:$C,'공종별 완료 현황'!I9,마감현황!$D:$D,"&lt;&gt;")+COUNTIFS(마감현황!$G:$G,'공종별 완료 현황'!I9,마감현황!$H:$H,"&lt;&gt;")+COUNTIFS(마감현황!$K:$K,'공종별 완료 현황'!I9,마감현황!$L:$L,"&lt;&gt;")+COUNTIFS(마감현황!$Q:$Q,'공종별 완료 현황'!I9,마감현황!$R:$R,"&lt;&gt;")+COUNTIFS(마감현황!$U:$U,'공종별 완료 현황'!I9,마감현황!$V:$V,"&lt;&gt;")+COUNTIFS(마감현황!$Y:$Y,'공종별 완료 현황'!I9,마감현황!$Z:$Z,"&lt;&gt;")+COUNTIFS(마감현황!$AH:$AH,'공종별 완료 현황'!I9,마감현황!$AI:$AI,"&lt;&gt;")+COUNTIFS(마감현황!$AL:$AL,'공종별 완료 현황'!I9,마감현황!$AM:$AM,"&lt;&gt;")+COUNTIFS(마감현황!$AP:$AP,'공종별 완료 현황'!I9,마감현황!$AQ:$AQ,"&lt;&gt;")+COUNTIFS(마감현황!$AV:$AV,'공종별 완료 현황'!I9,마감현황!$AW:$AW,"&lt;&gt;")+COUNTIFS(마감현황!$AZ:$AZ,'공종별 완료 현황'!I9,마감현황!$BA:$BA,"&lt;&gt;")+COUNTIFS(마감현황!$BD:$BD,'공종별 완료 현황'!I9,마감현황!$BE:$BE,"&lt;&gt;")+COUNTIFS(마감현황!$BM:$BM,'공종별 완료 현황'!I9,마감현황!$BN:$BN,"&lt;&gt;")+COUNTIFS(마감현황!$BQ:$BQ,'공종별 완료 현황'!I9,마감현황!$BR:$BR,"&lt;&gt;")+COUNTIFS(마감현황!$BW:$BW,'공종별 완료 현황'!I9,마감현황!$BX:$BX,"&lt;&gt;")+COUNTIFS(마감현황!$CA:$CA,'공종별 완료 현황'!I9,마감현황!$CB:$CB,"&lt;&gt;") +#REF!</f>
        <v>#REF!</v>
      </c>
      <c r="K9" s="4">
        <v>0</v>
      </c>
      <c r="L9" s="11" t="e">
        <f t="shared" si="1"/>
        <v>#REF!</v>
      </c>
      <c r="M9" s="49">
        <v>3</v>
      </c>
      <c r="N9" s="3" t="s">
        <v>40</v>
      </c>
      <c r="O9" s="4" t="e">
        <f>COUNTIFS(마감현황!$C:$C,'공종별 완료 현황'!N9,마감현황!$D:$D,"&lt;&gt;")+COUNTIFS(마감현황!$G:$G,'공종별 완료 현황'!N9,마감현황!$H:$H,"&lt;&gt;")+COUNTIFS(마감현황!$K:$K,'공종별 완료 현황'!N9,마감현황!$L:$L,"&lt;&gt;")+COUNTIFS(마감현황!$Q:$Q,'공종별 완료 현황'!N9,마감현황!$R:$R,"&lt;&gt;")+COUNTIFS(마감현황!$U:$U,'공종별 완료 현황'!N9,마감현황!$V:$V,"&lt;&gt;")+COUNTIFS(마감현황!$Y:$Y,'공종별 완료 현황'!N9,마감현황!$Z:$Z,"&lt;&gt;")+COUNTIFS(마감현황!$AH:$AH,'공종별 완료 현황'!N9,마감현황!$AI:$AI,"&lt;&gt;")+COUNTIFS(마감현황!$AL:$AL,'공종별 완료 현황'!N9,마감현황!$AM:$AM,"&lt;&gt;")+COUNTIFS(마감현황!$AP:$AP,'공종별 완료 현황'!N9,마감현황!$AQ:$AQ,"&lt;&gt;")+COUNTIFS(마감현황!$AV:$AV,'공종별 완료 현황'!N9,마감현황!$AW:$AW,"&lt;&gt;")+COUNTIFS(마감현황!$AZ:$AZ,'공종별 완료 현황'!N9,마감현황!$BA:$BA,"&lt;&gt;")+COUNTIFS(마감현황!$BD:$BD,'공종별 완료 현황'!N9,마감현황!$BE:$BE,"&lt;&gt;")+COUNTIFS(마감현황!$BM:$BM,'공종별 완료 현황'!N9,마감현황!$BN:$BN,"&lt;&gt;")+COUNTIFS(마감현황!$BQ:$BQ,'공종별 완료 현황'!N9,마감현황!$BR:$BR,"&lt;&gt;")+COUNTIFS(마감현황!$BW:$BW,'공종별 완료 현황'!N9,마감현황!$BX:$BX,"&lt;&gt;")+COUNTIFS(마감현황!$CA:$CA,'공종별 완료 현황'!N9,마감현황!$CB:$CB,"&lt;&gt;") +#REF!</f>
        <v>#REF!</v>
      </c>
      <c r="P9" s="4">
        <v>0</v>
      </c>
      <c r="Q9" s="11" t="e">
        <f t="shared" si="2"/>
        <v>#REF!</v>
      </c>
      <c r="R9" s="49">
        <v>3</v>
      </c>
      <c r="S9" s="3"/>
      <c r="T9" s="4"/>
      <c r="U9" s="4"/>
      <c r="V9" s="11"/>
      <c r="W9" s="49">
        <v>3</v>
      </c>
      <c r="X9" s="3"/>
      <c r="Y9" s="4"/>
      <c r="Z9" s="4"/>
      <c r="AA9" s="11"/>
      <c r="AB9" s="53" t="e">
        <f t="shared" si="3"/>
        <v>#REF!</v>
      </c>
      <c r="AC9" s="26">
        <f t="shared" si="5"/>
        <v>0</v>
      </c>
      <c r="AD9" s="47" t="e">
        <f t="shared" si="6"/>
        <v>#REF!</v>
      </c>
      <c r="AE9" s="50">
        <f t="shared" si="7"/>
        <v>0</v>
      </c>
      <c r="AF9" s="44">
        <f t="shared" si="8"/>
        <v>0</v>
      </c>
      <c r="AZ9"/>
    </row>
    <row r="10" spans="1:52" ht="24.75" customHeight="1">
      <c r="A10" s="17">
        <v>2000000</v>
      </c>
      <c r="B10" s="19">
        <f t="shared" si="0"/>
        <v>6.2218074350598851</v>
      </c>
      <c r="C10" s="34">
        <v>4</v>
      </c>
      <c r="D10" s="3" t="s">
        <v>62</v>
      </c>
      <c r="E10" s="4" t="e">
        <f>COUNTIFS(마감현황!$C:$C,'공종별 완료 현황'!D10,마감현황!$D:$D,"&lt;&gt;")+COUNTIFS(마감현황!$G:$G,'공종별 완료 현황'!D10,마감현황!$H:$H,"&lt;&gt;")+COUNTIFS(마감현황!$K:$K,'공종별 완료 현황'!D10,마감현황!$L:$L,"&lt;&gt;")+COUNTIFS(마감현황!$Q:$Q,'공종별 완료 현황'!D10,마감현황!$R:$R,"&lt;&gt;")+COUNTIFS(마감현황!$U:$U,'공종별 완료 현황'!D10,마감현황!$V:$V,"&lt;&gt;")+COUNTIFS(마감현황!$Y:$Y,'공종별 완료 현황'!D10,마감현황!$Z:$Z,"&lt;&gt;")+COUNTIFS(마감현황!$AH:$AH,'공종별 완료 현황'!D10,마감현황!$AI:$AI,"&lt;&gt;")+COUNTIFS(마감현황!$AL:$AL,'공종별 완료 현황'!D10,마감현황!$AM:$AM,"&lt;&gt;")+COUNTIFS(마감현황!$AP:$AP,'공종별 완료 현황'!D10,마감현황!$AQ:$AQ,"&lt;&gt;")+COUNTIFS(마감현황!$AV:$AV,'공종별 완료 현황'!D10,마감현황!$AW:$AW,"&lt;&gt;")+COUNTIFS(마감현황!$AZ:$AZ,'공종별 완료 현황'!D10,마감현황!$BA:$BA,"&lt;&gt;")+COUNTIFS(마감현황!$BD:$BD,'공종별 완료 현황'!D10,마감현황!$BE:$BE,"&lt;&gt;")+COUNTIFS(마감현황!$BM:$BM,'공종별 완료 현황'!D10,마감현황!$BN:$BN,"&lt;&gt;")+COUNTIFS(마감현황!$BQ:$BQ,'공종별 완료 현황'!D10,마감현황!$BR:$BR,"&lt;&gt;")+COUNTIFS(마감현황!$BW:$BW,'공종별 완료 현황'!D10,마감현황!$BX:$BX,"&lt;&gt;")+COUNTIFS(마감현황!$CA:$CA,'공종별 완료 현황'!D10,마감현황!$CB:$CB,"&lt;&gt;") +#REF!</f>
        <v>#REF!</v>
      </c>
      <c r="F10" s="4">
        <v>0</v>
      </c>
      <c r="G10" s="11" t="e">
        <f t="shared" si="4"/>
        <v>#REF!</v>
      </c>
      <c r="H10" s="49">
        <v>4</v>
      </c>
      <c r="I10" s="3" t="s">
        <v>37</v>
      </c>
      <c r="J10" s="4" t="e">
        <f>COUNTIFS(마감현황!$C:$C,'공종별 완료 현황'!I10,마감현황!$D:$D,"&lt;&gt;")+COUNTIFS(마감현황!$G:$G,'공종별 완료 현황'!I10,마감현황!$H:$H,"&lt;&gt;")+COUNTIFS(마감현황!$K:$K,'공종별 완료 현황'!I10,마감현황!$L:$L,"&lt;&gt;")+COUNTIFS(마감현황!$Q:$Q,'공종별 완료 현황'!I10,마감현황!$R:$R,"&lt;&gt;")+COUNTIFS(마감현황!$U:$U,'공종별 완료 현황'!I10,마감현황!$V:$V,"&lt;&gt;")+COUNTIFS(마감현황!$Y:$Y,'공종별 완료 현황'!I10,마감현황!$Z:$Z,"&lt;&gt;")+COUNTIFS(마감현황!$AH:$AH,'공종별 완료 현황'!I10,마감현황!$AI:$AI,"&lt;&gt;")+COUNTIFS(마감현황!$AL:$AL,'공종별 완료 현황'!I10,마감현황!$AM:$AM,"&lt;&gt;")+COUNTIFS(마감현황!$AP:$AP,'공종별 완료 현황'!I10,마감현황!$AQ:$AQ,"&lt;&gt;")+COUNTIFS(마감현황!$AV:$AV,'공종별 완료 현황'!I10,마감현황!$AW:$AW,"&lt;&gt;")+COUNTIFS(마감현황!$AZ:$AZ,'공종별 완료 현황'!I10,마감현황!$BA:$BA,"&lt;&gt;")+COUNTIFS(마감현황!$BD:$BD,'공종별 완료 현황'!I10,마감현황!$BE:$BE,"&lt;&gt;")+COUNTIFS(마감현황!$BM:$BM,'공종별 완료 현황'!I10,마감현황!$BN:$BN,"&lt;&gt;")+COUNTIFS(마감현황!$BQ:$BQ,'공종별 완료 현황'!I10,마감현황!$BR:$BR,"&lt;&gt;")+COUNTIFS(마감현황!$BW:$BW,'공종별 완료 현황'!I10,마감현황!$BX:$BX,"&lt;&gt;")+COUNTIFS(마감현황!$CA:$CA,'공종별 완료 현황'!I10,마감현황!$CB:$CB,"&lt;&gt;") +#REF!</f>
        <v>#REF!</v>
      </c>
      <c r="K10" s="4">
        <v>0</v>
      </c>
      <c r="L10" s="11" t="e">
        <f t="shared" si="1"/>
        <v>#REF!</v>
      </c>
      <c r="M10" s="49">
        <v>4</v>
      </c>
      <c r="N10" s="3" t="s">
        <v>43</v>
      </c>
      <c r="O10" s="4" t="e">
        <f>COUNTIFS(마감현황!$C:$C,'공종별 완료 현황'!N10,마감현황!$D:$D,"&lt;&gt;")+COUNTIFS(마감현황!$G:$G,'공종별 완료 현황'!N10,마감현황!$H:$H,"&lt;&gt;")+COUNTIFS(마감현황!$K:$K,'공종별 완료 현황'!N10,마감현황!$L:$L,"&lt;&gt;")+COUNTIFS(마감현황!$Q:$Q,'공종별 완료 현황'!N10,마감현황!$R:$R,"&lt;&gt;")+COUNTIFS(마감현황!$U:$U,'공종별 완료 현황'!N10,마감현황!$V:$V,"&lt;&gt;")+COUNTIFS(마감현황!$Y:$Y,'공종별 완료 현황'!N10,마감현황!$Z:$Z,"&lt;&gt;")+COUNTIFS(마감현황!$AH:$AH,'공종별 완료 현황'!N10,마감현황!$AI:$AI,"&lt;&gt;")+COUNTIFS(마감현황!$AL:$AL,'공종별 완료 현황'!N10,마감현황!$AM:$AM,"&lt;&gt;")+COUNTIFS(마감현황!$AP:$AP,'공종별 완료 현황'!N10,마감현황!$AQ:$AQ,"&lt;&gt;")+COUNTIFS(마감현황!$AV:$AV,'공종별 완료 현황'!N10,마감현황!$AW:$AW,"&lt;&gt;")+COUNTIFS(마감현황!$AZ:$AZ,'공종별 완료 현황'!N10,마감현황!$BA:$BA,"&lt;&gt;")+COUNTIFS(마감현황!$BD:$BD,'공종별 완료 현황'!N10,마감현황!$BE:$BE,"&lt;&gt;")+COUNTIFS(마감현황!$BM:$BM,'공종별 완료 현황'!N10,마감현황!$BN:$BN,"&lt;&gt;")+COUNTIFS(마감현황!$BQ:$BQ,'공종별 완료 현황'!N10,마감현황!$BR:$BR,"&lt;&gt;")+COUNTIFS(마감현황!$BW:$BW,'공종별 완료 현황'!N10,마감현황!$BX:$BX,"&lt;&gt;")+COUNTIFS(마감현황!$CA:$CA,'공종별 완료 현황'!N10,마감현황!$CB:$CB,"&lt;&gt;") +#REF!</f>
        <v>#REF!</v>
      </c>
      <c r="P10" s="4">
        <v>0</v>
      </c>
      <c r="Q10" s="11" t="e">
        <f t="shared" si="2"/>
        <v>#REF!</v>
      </c>
      <c r="R10" s="49">
        <v>4</v>
      </c>
      <c r="S10" s="3"/>
      <c r="T10" s="4"/>
      <c r="U10" s="4"/>
      <c r="V10" s="11"/>
      <c r="W10" s="49">
        <v>4</v>
      </c>
      <c r="X10" s="3"/>
      <c r="Y10" s="4"/>
      <c r="Z10" s="4"/>
      <c r="AA10" s="11"/>
      <c r="AB10" s="53" t="e">
        <f t="shared" si="3"/>
        <v>#REF!</v>
      </c>
      <c r="AC10" s="26">
        <f t="shared" si="5"/>
        <v>0</v>
      </c>
      <c r="AD10" s="47" t="e">
        <f t="shared" si="6"/>
        <v>#REF!</v>
      </c>
      <c r="AE10" s="50">
        <f t="shared" si="7"/>
        <v>0</v>
      </c>
      <c r="AF10" s="44">
        <f t="shared" si="8"/>
        <v>0</v>
      </c>
      <c r="AZ10"/>
    </row>
    <row r="11" spans="1:52" ht="24.75" customHeight="1">
      <c r="A11" s="17">
        <v>3000000</v>
      </c>
      <c r="B11" s="19">
        <f t="shared" si="0"/>
        <v>9.3327111525898268</v>
      </c>
      <c r="C11" s="34">
        <v>5</v>
      </c>
      <c r="D11" s="3" t="s">
        <v>63</v>
      </c>
      <c r="E11" s="4" t="e">
        <f>COUNTIFS(마감현황!$C:$C,'공종별 완료 현황'!D11,마감현황!$D:$D,"&lt;&gt;")+COUNTIFS(마감현황!$G:$G,'공종별 완료 현황'!D11,마감현황!$H:$H,"&lt;&gt;")+COUNTIFS(마감현황!$K:$K,'공종별 완료 현황'!D11,마감현황!$L:$L,"&lt;&gt;")+COUNTIFS(마감현황!$Q:$Q,'공종별 완료 현황'!D11,마감현황!$R:$R,"&lt;&gt;")+COUNTIFS(마감현황!$U:$U,'공종별 완료 현황'!D11,마감현황!$V:$V,"&lt;&gt;")+COUNTIFS(마감현황!$Y:$Y,'공종별 완료 현황'!D11,마감현황!$Z:$Z,"&lt;&gt;")+COUNTIFS(마감현황!$AH:$AH,'공종별 완료 현황'!D11,마감현황!$AI:$AI,"&lt;&gt;")+COUNTIFS(마감현황!$AL:$AL,'공종별 완료 현황'!D11,마감현황!$AM:$AM,"&lt;&gt;")+COUNTIFS(마감현황!$AP:$AP,'공종별 완료 현황'!D11,마감현황!$AQ:$AQ,"&lt;&gt;")+COUNTIFS(마감현황!$AV:$AV,'공종별 완료 현황'!D11,마감현황!$AW:$AW,"&lt;&gt;")+COUNTIFS(마감현황!$AZ:$AZ,'공종별 완료 현황'!D11,마감현황!$BA:$BA,"&lt;&gt;")+COUNTIFS(마감현황!$BD:$BD,'공종별 완료 현황'!D11,마감현황!$BE:$BE,"&lt;&gt;")+COUNTIFS(마감현황!$BM:$BM,'공종별 완료 현황'!D11,마감현황!$BN:$BN,"&lt;&gt;")+COUNTIFS(마감현황!$BQ:$BQ,'공종별 완료 현황'!D11,마감현황!$BR:$BR,"&lt;&gt;")+COUNTIFS(마감현황!$BW:$BW,'공종별 완료 현황'!D11,마감현황!$BX:$BX,"&lt;&gt;")+COUNTIFS(마감현황!$CA:$CA,'공종별 완료 현황'!D11,마감현황!$CB:$CB,"&lt;&gt;") +#REF!</f>
        <v>#REF!</v>
      </c>
      <c r="F11" s="4">
        <v>0</v>
      </c>
      <c r="G11" s="11" t="e">
        <f t="shared" si="4"/>
        <v>#REF!</v>
      </c>
      <c r="H11" s="49">
        <v>5</v>
      </c>
      <c r="I11" s="3" t="s">
        <v>35</v>
      </c>
      <c r="J11" s="4" t="e">
        <f>COUNTIFS(마감현황!$C:$C,'공종별 완료 현황'!I11,마감현황!$D:$D,"&lt;&gt;")+COUNTIFS(마감현황!$G:$G,'공종별 완료 현황'!I11,마감현황!$H:$H,"&lt;&gt;")+COUNTIFS(마감현황!$K:$K,'공종별 완료 현황'!I11,마감현황!$L:$L,"&lt;&gt;")+COUNTIFS(마감현황!$Q:$Q,'공종별 완료 현황'!I11,마감현황!$R:$R,"&lt;&gt;")+COUNTIFS(마감현황!$U:$U,'공종별 완료 현황'!I11,마감현황!$V:$V,"&lt;&gt;")+COUNTIFS(마감현황!$Y:$Y,'공종별 완료 현황'!I11,마감현황!$Z:$Z,"&lt;&gt;")+COUNTIFS(마감현황!$AH:$AH,'공종별 완료 현황'!I11,마감현황!$AI:$AI,"&lt;&gt;")+COUNTIFS(마감현황!$AL:$AL,'공종별 완료 현황'!I11,마감현황!$AM:$AM,"&lt;&gt;")+COUNTIFS(마감현황!$AP:$AP,'공종별 완료 현황'!I11,마감현황!$AQ:$AQ,"&lt;&gt;")+COUNTIFS(마감현황!$AV:$AV,'공종별 완료 현황'!I11,마감현황!$AW:$AW,"&lt;&gt;")+COUNTIFS(마감현황!$AZ:$AZ,'공종별 완료 현황'!I11,마감현황!$BA:$BA,"&lt;&gt;")+COUNTIFS(마감현황!$BD:$BD,'공종별 완료 현황'!I11,마감현황!$BE:$BE,"&lt;&gt;")+COUNTIFS(마감현황!$BM:$BM,'공종별 완료 현황'!I11,마감현황!$BN:$BN,"&lt;&gt;")+COUNTIFS(마감현황!$BQ:$BQ,'공종별 완료 현황'!I11,마감현황!$BR:$BR,"&lt;&gt;")+COUNTIFS(마감현황!$BW:$BW,'공종별 완료 현황'!I11,마감현황!$BX:$BX,"&lt;&gt;")+COUNTIFS(마감현황!$CA:$CA,'공종별 완료 현황'!I11,마감현황!$CB:$CB,"&lt;&gt;") +#REF!</f>
        <v>#REF!</v>
      </c>
      <c r="K11" s="4">
        <v>0</v>
      </c>
      <c r="L11" s="11" t="e">
        <f t="shared" si="1"/>
        <v>#REF!</v>
      </c>
      <c r="M11" s="49">
        <v>5</v>
      </c>
      <c r="N11" s="3" t="s">
        <v>41</v>
      </c>
      <c r="O11" s="4" t="e">
        <f>COUNTIFS(마감현황!$C:$C,'공종별 완료 현황'!N11,마감현황!$D:$D,"&lt;&gt;")+COUNTIFS(마감현황!$G:$G,'공종별 완료 현황'!N11,마감현황!$H:$H,"&lt;&gt;")+COUNTIFS(마감현황!$K:$K,'공종별 완료 현황'!N11,마감현황!$L:$L,"&lt;&gt;")+COUNTIFS(마감현황!$Q:$Q,'공종별 완료 현황'!N11,마감현황!$R:$R,"&lt;&gt;")+COUNTIFS(마감현황!$U:$U,'공종별 완료 현황'!N11,마감현황!$V:$V,"&lt;&gt;")+COUNTIFS(마감현황!$Y:$Y,'공종별 완료 현황'!N11,마감현황!$Z:$Z,"&lt;&gt;")+COUNTIFS(마감현황!$AH:$AH,'공종별 완료 현황'!N11,마감현황!$AI:$AI,"&lt;&gt;")+COUNTIFS(마감현황!$AL:$AL,'공종별 완료 현황'!N11,마감현황!$AM:$AM,"&lt;&gt;")+COUNTIFS(마감현황!$AP:$AP,'공종별 완료 현황'!N11,마감현황!$AQ:$AQ,"&lt;&gt;")+COUNTIFS(마감현황!$AV:$AV,'공종별 완료 현황'!N11,마감현황!$AW:$AW,"&lt;&gt;")+COUNTIFS(마감현황!$AZ:$AZ,'공종별 완료 현황'!N11,마감현황!$BA:$BA,"&lt;&gt;")+COUNTIFS(마감현황!$BD:$BD,'공종별 완료 현황'!N11,마감현황!$BE:$BE,"&lt;&gt;")+COUNTIFS(마감현황!$BM:$BM,'공종별 완료 현황'!N11,마감현황!$BN:$BN,"&lt;&gt;")+COUNTIFS(마감현황!$BQ:$BQ,'공종별 완료 현황'!N11,마감현황!$BR:$BR,"&lt;&gt;")+COUNTIFS(마감현황!$BW:$BW,'공종별 완료 현황'!N11,마감현황!$BX:$BX,"&lt;&gt;")+COUNTIFS(마감현황!$CA:$CA,'공종별 완료 현황'!N11,마감현황!$CB:$CB,"&lt;&gt;") +#REF!</f>
        <v>#REF!</v>
      </c>
      <c r="P11" s="4">
        <v>0</v>
      </c>
      <c r="Q11" s="11" t="e">
        <f t="shared" si="2"/>
        <v>#REF!</v>
      </c>
      <c r="R11" s="49">
        <v>5</v>
      </c>
      <c r="S11" s="3"/>
      <c r="T11" s="4"/>
      <c r="U11" s="4"/>
      <c r="V11" s="11"/>
      <c r="W11" s="49">
        <v>5</v>
      </c>
      <c r="X11" s="3"/>
      <c r="Y11" s="4"/>
      <c r="Z11" s="4"/>
      <c r="AA11" s="11"/>
      <c r="AB11" s="53" t="e">
        <f t="shared" si="3"/>
        <v>#REF!</v>
      </c>
      <c r="AC11" s="26">
        <f t="shared" si="5"/>
        <v>0</v>
      </c>
      <c r="AD11" s="47" t="e">
        <f t="shared" si="6"/>
        <v>#REF!</v>
      </c>
      <c r="AE11" s="50">
        <f t="shared" si="7"/>
        <v>0</v>
      </c>
      <c r="AF11" s="44">
        <f t="shared" si="8"/>
        <v>0</v>
      </c>
      <c r="AZ11"/>
    </row>
    <row r="12" spans="1:52" ht="24.75" customHeight="1">
      <c r="A12" s="17">
        <v>600000</v>
      </c>
      <c r="B12" s="19">
        <f t="shared" si="0"/>
        <v>1.8665422305179653</v>
      </c>
      <c r="C12" s="34">
        <v>6</v>
      </c>
      <c r="D12" s="3" t="s">
        <v>64</v>
      </c>
      <c r="E12" s="4" t="e">
        <f>COUNTIFS(마감현황!$C:$C,'공종별 완료 현황'!D12,마감현황!$D:$D,"&lt;&gt;")+COUNTIFS(마감현황!$G:$G,'공종별 완료 현황'!D12,마감현황!$H:$H,"&lt;&gt;")+COUNTIFS(마감현황!$K:$K,'공종별 완료 현황'!D12,마감현황!$L:$L,"&lt;&gt;")+COUNTIFS(마감현황!$Q:$Q,'공종별 완료 현황'!D12,마감현황!$R:$R,"&lt;&gt;")+COUNTIFS(마감현황!$U:$U,'공종별 완료 현황'!D12,마감현황!$V:$V,"&lt;&gt;")+COUNTIFS(마감현황!$Y:$Y,'공종별 완료 현황'!D12,마감현황!$Z:$Z,"&lt;&gt;")+COUNTIFS(마감현황!$AH:$AH,'공종별 완료 현황'!D12,마감현황!$AI:$AI,"&lt;&gt;")+COUNTIFS(마감현황!$AL:$AL,'공종별 완료 현황'!D12,마감현황!$AM:$AM,"&lt;&gt;")+COUNTIFS(마감현황!$AP:$AP,'공종별 완료 현황'!D12,마감현황!$AQ:$AQ,"&lt;&gt;")+COUNTIFS(마감현황!$AV:$AV,'공종별 완료 현황'!D12,마감현황!$AW:$AW,"&lt;&gt;")+COUNTIFS(마감현황!$AZ:$AZ,'공종별 완료 현황'!D12,마감현황!$BA:$BA,"&lt;&gt;")+COUNTIFS(마감현황!$BD:$BD,'공종별 완료 현황'!D12,마감현황!$BE:$BE,"&lt;&gt;")+COUNTIFS(마감현황!$BM:$BM,'공종별 완료 현황'!D12,마감현황!$BN:$BN,"&lt;&gt;")+COUNTIFS(마감현황!$BQ:$BQ,'공종별 완료 현황'!D12,마감현황!$BR:$BR,"&lt;&gt;")+COUNTIFS(마감현황!$BW:$BW,'공종별 완료 현황'!D12,마감현황!$BX:$BX,"&lt;&gt;")+COUNTIFS(마감현황!$CA:$CA,'공종별 완료 현황'!D12,마감현황!$CB:$CB,"&lt;&gt;") +#REF!</f>
        <v>#REF!</v>
      </c>
      <c r="F12" s="4">
        <v>0</v>
      </c>
      <c r="G12" s="11" t="e">
        <f t="shared" si="4"/>
        <v>#REF!</v>
      </c>
      <c r="H12" s="49">
        <v>6</v>
      </c>
      <c r="I12" s="3" t="s">
        <v>69</v>
      </c>
      <c r="J12" s="4" t="e">
        <f>COUNTIFS(마감현황!$C:$C,'공종별 완료 현황'!I12,마감현황!$D:$D,"&lt;&gt;")+COUNTIFS(마감현황!$G:$G,'공종별 완료 현황'!I12,마감현황!$H:$H,"&lt;&gt;")+COUNTIFS(마감현황!$K:$K,'공종별 완료 현황'!I12,마감현황!$L:$L,"&lt;&gt;")+COUNTIFS(마감현황!$Q:$Q,'공종별 완료 현황'!I12,마감현황!$R:$R,"&lt;&gt;")+COUNTIFS(마감현황!$U:$U,'공종별 완료 현황'!I12,마감현황!$V:$V,"&lt;&gt;")+COUNTIFS(마감현황!$Y:$Y,'공종별 완료 현황'!I12,마감현황!$Z:$Z,"&lt;&gt;")+COUNTIFS(마감현황!$AH:$AH,'공종별 완료 현황'!I12,마감현황!$AI:$AI,"&lt;&gt;")+COUNTIFS(마감현황!$AL:$AL,'공종별 완료 현황'!I12,마감현황!$AM:$AM,"&lt;&gt;")+COUNTIFS(마감현황!$AP:$AP,'공종별 완료 현황'!I12,마감현황!$AQ:$AQ,"&lt;&gt;")+COUNTIFS(마감현황!$AV:$AV,'공종별 완료 현황'!I12,마감현황!$AW:$AW,"&lt;&gt;")+COUNTIFS(마감현황!$AZ:$AZ,'공종별 완료 현황'!I12,마감현황!$BA:$BA,"&lt;&gt;")+COUNTIFS(마감현황!$BD:$BD,'공종별 완료 현황'!I12,마감현황!$BE:$BE,"&lt;&gt;")+COUNTIFS(마감현황!$BM:$BM,'공종별 완료 현황'!I12,마감현황!$BN:$BN,"&lt;&gt;")+COUNTIFS(마감현황!$BQ:$BQ,'공종별 완료 현황'!I12,마감현황!$BR:$BR,"&lt;&gt;")+COUNTIFS(마감현황!$BW:$BW,'공종별 완료 현황'!I12,마감현황!$BX:$BX,"&lt;&gt;")+COUNTIFS(마감현황!$CA:$CA,'공종별 완료 현황'!I12,마감현황!$CB:$CB,"&lt;&gt;") +#REF!</f>
        <v>#REF!</v>
      </c>
      <c r="K12" s="4">
        <v>0</v>
      </c>
      <c r="L12" s="11" t="e">
        <f t="shared" si="1"/>
        <v>#REF!</v>
      </c>
      <c r="M12" s="49">
        <v>6</v>
      </c>
      <c r="N12" s="3" t="s">
        <v>73</v>
      </c>
      <c r="O12" s="4" t="e">
        <f>COUNTIFS(마감현황!$C:$C,'공종별 완료 현황'!N12,마감현황!$D:$D,"&lt;&gt;")+COUNTIFS(마감현황!$G:$G,'공종별 완료 현황'!N12,마감현황!$H:$H,"&lt;&gt;")+COUNTIFS(마감현황!$K:$K,'공종별 완료 현황'!N12,마감현황!$L:$L,"&lt;&gt;")+COUNTIFS(마감현황!$Q:$Q,'공종별 완료 현황'!N12,마감현황!$R:$R,"&lt;&gt;")+COUNTIFS(마감현황!$U:$U,'공종별 완료 현황'!N12,마감현황!$V:$V,"&lt;&gt;")+COUNTIFS(마감현황!$Y:$Y,'공종별 완료 현황'!N12,마감현황!$Z:$Z,"&lt;&gt;")+COUNTIFS(마감현황!$AH:$AH,'공종별 완료 현황'!N12,마감현황!$AI:$AI,"&lt;&gt;")+COUNTIFS(마감현황!$AL:$AL,'공종별 완료 현황'!N12,마감현황!$AM:$AM,"&lt;&gt;")+COUNTIFS(마감현황!$AP:$AP,'공종별 완료 현황'!N12,마감현황!$AQ:$AQ,"&lt;&gt;")+COUNTIFS(마감현황!$AV:$AV,'공종별 완료 현황'!N12,마감현황!$AW:$AW,"&lt;&gt;")+COUNTIFS(마감현황!$AZ:$AZ,'공종별 완료 현황'!N12,마감현황!$BA:$BA,"&lt;&gt;")+COUNTIFS(마감현황!$BD:$BD,'공종별 완료 현황'!N12,마감현황!$BE:$BE,"&lt;&gt;")+COUNTIFS(마감현황!$BM:$BM,'공종별 완료 현황'!N12,마감현황!$BN:$BN,"&lt;&gt;")+COUNTIFS(마감현황!$BQ:$BQ,'공종별 완료 현황'!N12,마감현황!$BR:$BR,"&lt;&gt;")+COUNTIFS(마감현황!$BW:$BW,'공종별 완료 현황'!N12,마감현황!$BX:$BX,"&lt;&gt;")+COUNTIFS(마감현황!$CA:$CA,'공종별 완료 현황'!N12,마감현황!$CB:$CB,"&lt;&gt;") +#REF!</f>
        <v>#REF!</v>
      </c>
      <c r="P12" s="4">
        <v>0</v>
      </c>
      <c r="Q12" s="11" t="e">
        <f t="shared" si="2"/>
        <v>#REF!</v>
      </c>
      <c r="R12" s="49">
        <v>6</v>
      </c>
      <c r="S12" s="3"/>
      <c r="T12" s="4"/>
      <c r="U12" s="4"/>
      <c r="V12" s="11"/>
      <c r="W12" s="49">
        <v>6</v>
      </c>
      <c r="X12" s="3"/>
      <c r="Y12" s="4"/>
      <c r="Z12" s="4"/>
      <c r="AA12" s="11"/>
      <c r="AB12" s="53" t="e">
        <f t="shared" si="3"/>
        <v>#REF!</v>
      </c>
      <c r="AC12" s="26">
        <f t="shared" si="5"/>
        <v>0</v>
      </c>
      <c r="AD12" s="47" t="e">
        <f t="shared" si="6"/>
        <v>#REF!</v>
      </c>
      <c r="AE12" s="50">
        <f t="shared" si="7"/>
        <v>0</v>
      </c>
      <c r="AF12" s="44">
        <f t="shared" si="8"/>
        <v>0</v>
      </c>
      <c r="AZ12"/>
    </row>
    <row r="13" spans="1:52" ht="24.75" customHeight="1">
      <c r="A13" s="17">
        <f>1120000+2500000</f>
        <v>3620000</v>
      </c>
      <c r="B13" s="19">
        <f t="shared" si="0"/>
        <v>11.261471457458391</v>
      </c>
      <c r="C13" s="34">
        <v>7</v>
      </c>
      <c r="D13" s="3" t="s">
        <v>65</v>
      </c>
      <c r="E13" s="4" t="e">
        <f>COUNTIFS(마감현황!$C:$C,'공종별 완료 현황'!D13,마감현황!$D:$D,"&lt;&gt;")+COUNTIFS(마감현황!$G:$G,'공종별 완료 현황'!D13,마감현황!$H:$H,"&lt;&gt;")+COUNTIFS(마감현황!$K:$K,'공종별 완료 현황'!D13,마감현황!$L:$L,"&lt;&gt;")+COUNTIFS(마감현황!$Q:$Q,'공종별 완료 현황'!D13,마감현황!$R:$R,"&lt;&gt;")+COUNTIFS(마감현황!$U:$U,'공종별 완료 현황'!D13,마감현황!$V:$V,"&lt;&gt;")+COUNTIFS(마감현황!$Y:$Y,'공종별 완료 현황'!D13,마감현황!$Z:$Z,"&lt;&gt;")+COUNTIFS(마감현황!$AH:$AH,'공종별 완료 현황'!D13,마감현황!$AI:$AI,"&lt;&gt;")+COUNTIFS(마감현황!$AL:$AL,'공종별 완료 현황'!D13,마감현황!$AM:$AM,"&lt;&gt;")+COUNTIFS(마감현황!$AP:$AP,'공종별 완료 현황'!D13,마감현황!$AQ:$AQ,"&lt;&gt;")+COUNTIFS(마감현황!$AV:$AV,'공종별 완료 현황'!D13,마감현황!$AW:$AW,"&lt;&gt;")+COUNTIFS(마감현황!$AZ:$AZ,'공종별 완료 현황'!D13,마감현황!$BA:$BA,"&lt;&gt;")+COUNTIFS(마감현황!$BD:$BD,'공종별 완료 현황'!D13,마감현황!$BE:$BE,"&lt;&gt;")+COUNTIFS(마감현황!$BM:$BM,'공종별 완료 현황'!D13,마감현황!$BN:$BN,"&lt;&gt;")+COUNTIFS(마감현황!$BQ:$BQ,'공종별 완료 현황'!D13,마감현황!$BR:$BR,"&lt;&gt;")+COUNTIFS(마감현황!$BW:$BW,'공종별 완료 현황'!D13,마감현황!$BX:$BX,"&lt;&gt;")+COUNTIFS(마감현황!$CA:$CA,'공종별 완료 현황'!D13,마감현황!$CB:$CB,"&lt;&gt;") +#REF!</f>
        <v>#REF!</v>
      </c>
      <c r="F13" s="4">
        <v>0</v>
      </c>
      <c r="G13" s="11" t="e">
        <f t="shared" si="4"/>
        <v>#REF!</v>
      </c>
      <c r="H13" s="49">
        <v>7</v>
      </c>
      <c r="I13" s="3" t="s">
        <v>70</v>
      </c>
      <c r="J13" s="4" t="e">
        <f>COUNTIFS(마감현황!$C:$C,'공종별 완료 현황'!I13,마감현황!$D:$D,"&lt;&gt;")+COUNTIFS(마감현황!$G:$G,'공종별 완료 현황'!I13,마감현황!$H:$H,"&lt;&gt;")+COUNTIFS(마감현황!$K:$K,'공종별 완료 현황'!I13,마감현황!$L:$L,"&lt;&gt;")+COUNTIFS(마감현황!$Q:$Q,'공종별 완료 현황'!I13,마감현황!$R:$R,"&lt;&gt;")+COUNTIFS(마감현황!$U:$U,'공종별 완료 현황'!I13,마감현황!$V:$V,"&lt;&gt;")+COUNTIFS(마감현황!$Y:$Y,'공종별 완료 현황'!I13,마감현황!$Z:$Z,"&lt;&gt;")+COUNTIFS(마감현황!$AH:$AH,'공종별 완료 현황'!I13,마감현황!$AI:$AI,"&lt;&gt;")+COUNTIFS(마감현황!$AL:$AL,'공종별 완료 현황'!I13,마감현황!$AM:$AM,"&lt;&gt;")+COUNTIFS(마감현황!$AP:$AP,'공종별 완료 현황'!I13,마감현황!$AQ:$AQ,"&lt;&gt;")+COUNTIFS(마감현황!$AV:$AV,'공종별 완료 현황'!I13,마감현황!$AW:$AW,"&lt;&gt;")+COUNTIFS(마감현황!$AZ:$AZ,'공종별 완료 현황'!I13,마감현황!$BA:$BA,"&lt;&gt;")+COUNTIFS(마감현황!$BD:$BD,'공종별 완료 현황'!I13,마감현황!$BE:$BE,"&lt;&gt;")+COUNTIFS(마감현황!$BM:$BM,'공종별 완료 현황'!I13,마감현황!$BN:$BN,"&lt;&gt;")+COUNTIFS(마감현황!$BQ:$BQ,'공종별 완료 현황'!I13,마감현황!$BR:$BR,"&lt;&gt;")+COUNTIFS(마감현황!$BW:$BW,'공종별 완료 현황'!I13,마감현황!$BX:$BX,"&lt;&gt;")+COUNTIFS(마감현황!$CA:$CA,'공종별 완료 현황'!I13,마감현황!$CB:$CB,"&lt;&gt;") +#REF!</f>
        <v>#REF!</v>
      </c>
      <c r="K13" s="4">
        <v>0</v>
      </c>
      <c r="L13" s="11" t="e">
        <f t="shared" si="1"/>
        <v>#REF!</v>
      </c>
      <c r="M13" s="49">
        <v>7</v>
      </c>
      <c r="N13" s="3" t="s">
        <v>74</v>
      </c>
      <c r="O13" s="4" t="e">
        <f>COUNTIFS(마감현황!$C:$C,'공종별 완료 현황'!N13,마감현황!$D:$D,"&lt;&gt;")+COUNTIFS(마감현황!$G:$G,'공종별 완료 현황'!N13,마감현황!$H:$H,"&lt;&gt;")+COUNTIFS(마감현황!$K:$K,'공종별 완료 현황'!N13,마감현황!$L:$L,"&lt;&gt;")+COUNTIFS(마감현황!$Q:$Q,'공종별 완료 현황'!N13,마감현황!$R:$R,"&lt;&gt;")+COUNTIFS(마감현황!$U:$U,'공종별 완료 현황'!N13,마감현황!$V:$V,"&lt;&gt;")+COUNTIFS(마감현황!$Y:$Y,'공종별 완료 현황'!N13,마감현황!$Z:$Z,"&lt;&gt;")+COUNTIFS(마감현황!$AH:$AH,'공종별 완료 현황'!N13,마감현황!$AI:$AI,"&lt;&gt;")+COUNTIFS(마감현황!$AL:$AL,'공종별 완료 현황'!N13,마감현황!$AM:$AM,"&lt;&gt;")+COUNTIFS(마감현황!$AP:$AP,'공종별 완료 현황'!N13,마감현황!$AQ:$AQ,"&lt;&gt;")+COUNTIFS(마감현황!$AV:$AV,'공종별 완료 현황'!N13,마감현황!$AW:$AW,"&lt;&gt;")+COUNTIFS(마감현황!$AZ:$AZ,'공종별 완료 현황'!N13,마감현황!$BA:$BA,"&lt;&gt;")+COUNTIFS(마감현황!$BD:$BD,'공종별 완료 현황'!N13,마감현황!$BE:$BE,"&lt;&gt;")+COUNTIFS(마감현황!$BM:$BM,'공종별 완료 현황'!N13,마감현황!$BN:$BN,"&lt;&gt;")+COUNTIFS(마감현황!$BQ:$BQ,'공종별 완료 현황'!N13,마감현황!$BR:$BR,"&lt;&gt;")+COUNTIFS(마감현황!$BW:$BW,'공종별 완료 현황'!N13,마감현황!$BX:$BX,"&lt;&gt;")+COUNTIFS(마감현황!$CA:$CA,'공종별 완료 현황'!N13,마감현황!$CB:$CB,"&lt;&gt;") +#REF!</f>
        <v>#REF!</v>
      </c>
      <c r="P13" s="4">
        <v>0</v>
      </c>
      <c r="Q13" s="11" t="e">
        <f t="shared" si="2"/>
        <v>#REF!</v>
      </c>
      <c r="R13" s="49">
        <v>7</v>
      </c>
      <c r="S13" s="3"/>
      <c r="T13" s="4"/>
      <c r="U13" s="4"/>
      <c r="V13" s="11"/>
      <c r="W13" s="49">
        <v>7</v>
      </c>
      <c r="X13" s="3"/>
      <c r="Y13" s="4"/>
      <c r="Z13" s="4"/>
      <c r="AA13" s="11"/>
      <c r="AB13" s="53" t="e">
        <f t="shared" si="3"/>
        <v>#REF!</v>
      </c>
      <c r="AC13" s="26">
        <f t="shared" si="5"/>
        <v>0</v>
      </c>
      <c r="AD13" s="47" t="e">
        <f t="shared" si="6"/>
        <v>#REF!</v>
      </c>
      <c r="AE13" s="50">
        <f t="shared" si="7"/>
        <v>0</v>
      </c>
      <c r="AF13" s="44">
        <f t="shared" si="8"/>
        <v>0</v>
      </c>
      <c r="AZ13"/>
    </row>
    <row r="14" spans="1:52" ht="24.75" customHeight="1">
      <c r="A14" s="17">
        <v>1200000</v>
      </c>
      <c r="B14" s="19">
        <f t="shared" ref="B14:B26" si="9">A14/$A$29*100</f>
        <v>3.7330844610359306</v>
      </c>
      <c r="C14" s="34">
        <v>8</v>
      </c>
      <c r="D14" s="3" t="s">
        <v>66</v>
      </c>
      <c r="E14" s="4" t="e">
        <f>COUNTIFS(마감현황!$C:$C,'공종별 완료 현황'!D14,마감현황!$D:$D,"&lt;&gt;")+COUNTIFS(마감현황!$G:$G,'공종별 완료 현황'!D14,마감현황!$H:$H,"&lt;&gt;")+COUNTIFS(마감현황!$K:$K,'공종별 완료 현황'!D14,마감현황!$L:$L,"&lt;&gt;")+COUNTIFS(마감현황!$Q:$Q,'공종별 완료 현황'!D14,마감현황!$R:$R,"&lt;&gt;")+COUNTIFS(마감현황!$U:$U,'공종별 완료 현황'!D14,마감현황!$V:$V,"&lt;&gt;")+COUNTIFS(마감현황!$Y:$Y,'공종별 완료 현황'!D14,마감현황!$Z:$Z,"&lt;&gt;")+COUNTIFS(마감현황!$AH:$AH,'공종별 완료 현황'!D14,마감현황!$AI:$AI,"&lt;&gt;")+COUNTIFS(마감현황!$AL:$AL,'공종별 완료 현황'!D14,마감현황!$AM:$AM,"&lt;&gt;")+COUNTIFS(마감현황!$AP:$AP,'공종별 완료 현황'!D14,마감현황!$AQ:$AQ,"&lt;&gt;")+COUNTIFS(마감현황!$AV:$AV,'공종별 완료 현황'!D14,마감현황!$AW:$AW,"&lt;&gt;")+COUNTIFS(마감현황!$AZ:$AZ,'공종별 완료 현황'!D14,마감현황!$BA:$BA,"&lt;&gt;")+COUNTIFS(마감현황!$BD:$BD,'공종별 완료 현황'!D14,마감현황!$BE:$BE,"&lt;&gt;")+COUNTIFS(마감현황!$BM:$BM,'공종별 완료 현황'!D14,마감현황!$BN:$BN,"&lt;&gt;")+COUNTIFS(마감현황!$BQ:$BQ,'공종별 완료 현황'!D14,마감현황!$BR:$BR,"&lt;&gt;")+COUNTIFS(마감현황!$BW:$BW,'공종별 완료 현황'!D14,마감현황!$BX:$BX,"&lt;&gt;")+COUNTIFS(마감현황!$CA:$CA,'공종별 완료 현황'!D14,마감현황!$CB:$CB,"&lt;&gt;") +#REF!</f>
        <v>#REF!</v>
      </c>
      <c r="F14" s="4">
        <v>0</v>
      </c>
      <c r="G14" s="11" t="e">
        <f t="shared" si="4"/>
        <v>#REF!</v>
      </c>
      <c r="H14" s="49">
        <v>8</v>
      </c>
      <c r="I14" s="3" t="s">
        <v>36</v>
      </c>
      <c r="J14" s="4" t="e">
        <f>COUNTIFS(마감현황!$C:$C,'공종별 완료 현황'!I14,마감현황!$D:$D,"&lt;&gt;")+COUNTIFS(마감현황!$G:$G,'공종별 완료 현황'!I14,마감현황!$H:$H,"&lt;&gt;")+COUNTIFS(마감현황!$K:$K,'공종별 완료 현황'!I14,마감현황!$L:$L,"&lt;&gt;")+COUNTIFS(마감현황!$Q:$Q,'공종별 완료 현황'!I14,마감현황!$R:$R,"&lt;&gt;")+COUNTIFS(마감현황!$U:$U,'공종별 완료 현황'!I14,마감현황!$V:$V,"&lt;&gt;")+COUNTIFS(마감현황!$Y:$Y,'공종별 완료 현황'!I14,마감현황!$Z:$Z,"&lt;&gt;")+COUNTIFS(마감현황!$AH:$AH,'공종별 완료 현황'!I14,마감현황!$AI:$AI,"&lt;&gt;")+COUNTIFS(마감현황!$AL:$AL,'공종별 완료 현황'!I14,마감현황!$AM:$AM,"&lt;&gt;")+COUNTIFS(마감현황!$AP:$AP,'공종별 완료 현황'!I14,마감현황!$AQ:$AQ,"&lt;&gt;")+COUNTIFS(마감현황!$AV:$AV,'공종별 완료 현황'!I14,마감현황!$AW:$AW,"&lt;&gt;")+COUNTIFS(마감현황!$AZ:$AZ,'공종별 완료 현황'!I14,마감현황!$BA:$BA,"&lt;&gt;")+COUNTIFS(마감현황!$BD:$BD,'공종별 완료 현황'!I14,마감현황!$BE:$BE,"&lt;&gt;")+COUNTIFS(마감현황!$BM:$BM,'공종별 완료 현황'!I14,마감현황!$BN:$BN,"&lt;&gt;")+COUNTIFS(마감현황!$BQ:$BQ,'공종별 완료 현황'!I14,마감현황!$BR:$BR,"&lt;&gt;")+COUNTIFS(마감현황!$BW:$BW,'공종별 완료 현황'!I14,마감현황!$BX:$BX,"&lt;&gt;")+COUNTIFS(마감현황!$CA:$CA,'공종별 완료 현황'!I14,마감현황!$CB:$CB,"&lt;&gt;") +#REF!</f>
        <v>#REF!</v>
      </c>
      <c r="K14" s="4">
        <v>0</v>
      </c>
      <c r="L14" s="11" t="e">
        <f t="shared" si="1"/>
        <v>#REF!</v>
      </c>
      <c r="M14" s="49">
        <v>8</v>
      </c>
      <c r="N14" s="3" t="s">
        <v>42</v>
      </c>
      <c r="O14" s="4" t="e">
        <f>COUNTIFS(마감현황!$C:$C,'공종별 완료 현황'!N14,마감현황!$D:$D,"&lt;&gt;")+COUNTIFS(마감현황!$G:$G,'공종별 완료 현황'!N14,마감현황!$H:$H,"&lt;&gt;")+COUNTIFS(마감현황!$K:$K,'공종별 완료 현황'!N14,마감현황!$L:$L,"&lt;&gt;")+COUNTIFS(마감현황!$Q:$Q,'공종별 완료 현황'!N14,마감현황!$R:$R,"&lt;&gt;")+COUNTIFS(마감현황!$U:$U,'공종별 완료 현황'!N14,마감현황!$V:$V,"&lt;&gt;")+COUNTIFS(마감현황!$Y:$Y,'공종별 완료 현황'!N14,마감현황!$Z:$Z,"&lt;&gt;")+COUNTIFS(마감현황!$AH:$AH,'공종별 완료 현황'!N14,마감현황!$AI:$AI,"&lt;&gt;")+COUNTIFS(마감현황!$AL:$AL,'공종별 완료 현황'!N14,마감현황!$AM:$AM,"&lt;&gt;")+COUNTIFS(마감현황!$AP:$AP,'공종별 완료 현황'!N14,마감현황!$AQ:$AQ,"&lt;&gt;")+COUNTIFS(마감현황!$AV:$AV,'공종별 완료 현황'!N14,마감현황!$AW:$AW,"&lt;&gt;")+COUNTIFS(마감현황!$AZ:$AZ,'공종별 완료 현황'!N14,마감현황!$BA:$BA,"&lt;&gt;")+COUNTIFS(마감현황!$BD:$BD,'공종별 완료 현황'!N14,마감현황!$BE:$BE,"&lt;&gt;")+COUNTIFS(마감현황!$BM:$BM,'공종별 완료 현황'!N14,마감현황!$BN:$BN,"&lt;&gt;")+COUNTIFS(마감현황!$BQ:$BQ,'공종별 완료 현황'!N14,마감현황!$BR:$BR,"&lt;&gt;")+COUNTIFS(마감현황!$BW:$BW,'공종별 완료 현황'!N14,마감현황!$BX:$BX,"&lt;&gt;")+COUNTIFS(마감현황!$CA:$CA,'공종별 완료 현황'!N14,마감현황!$CB:$CB,"&lt;&gt;") +#REF!</f>
        <v>#REF!</v>
      </c>
      <c r="P14" s="4">
        <v>0</v>
      </c>
      <c r="Q14" s="11" t="e">
        <f t="shared" si="2"/>
        <v>#REF!</v>
      </c>
      <c r="R14" s="49">
        <v>8</v>
      </c>
      <c r="S14" s="3"/>
      <c r="T14" s="4"/>
      <c r="U14" s="4"/>
      <c r="V14" s="11"/>
      <c r="W14" s="49">
        <v>8</v>
      </c>
      <c r="X14" s="3"/>
      <c r="Y14" s="4"/>
      <c r="Z14" s="4"/>
      <c r="AA14" s="11"/>
      <c r="AB14" s="53" t="e">
        <f t="shared" si="3"/>
        <v>#REF!</v>
      </c>
      <c r="AC14" s="26">
        <f t="shared" si="5"/>
        <v>0</v>
      </c>
      <c r="AD14" s="47" t="e">
        <f t="shared" si="6"/>
        <v>#REF!</v>
      </c>
      <c r="AE14" s="50">
        <f t="shared" si="7"/>
        <v>0</v>
      </c>
      <c r="AF14" s="44">
        <f t="shared" si="8"/>
        <v>0</v>
      </c>
      <c r="AZ14"/>
    </row>
    <row r="15" spans="1:52" ht="24.75" customHeight="1">
      <c r="A15" s="17">
        <v>265000</v>
      </c>
      <c r="B15" s="19">
        <f t="shared" si="9"/>
        <v>0.82438948514543475</v>
      </c>
      <c r="C15" s="34">
        <v>9</v>
      </c>
      <c r="D15" s="3" t="s">
        <v>67</v>
      </c>
      <c r="E15" s="4" t="e">
        <f>COUNTIFS(마감현황!$C:$C,'공종별 완료 현황'!D15,마감현황!$D:$D,"&lt;&gt;")+COUNTIFS(마감현황!$G:$G,'공종별 완료 현황'!D15,마감현황!$H:$H,"&lt;&gt;")+COUNTIFS(마감현황!$K:$K,'공종별 완료 현황'!D15,마감현황!$L:$L,"&lt;&gt;")+COUNTIFS(마감현황!$Q:$Q,'공종별 완료 현황'!D15,마감현황!$R:$R,"&lt;&gt;")+COUNTIFS(마감현황!$U:$U,'공종별 완료 현황'!D15,마감현황!$V:$V,"&lt;&gt;")+COUNTIFS(마감현황!$Y:$Y,'공종별 완료 현황'!D15,마감현황!$Z:$Z,"&lt;&gt;")+COUNTIFS(마감현황!$AH:$AH,'공종별 완료 현황'!D15,마감현황!$AI:$AI,"&lt;&gt;")+COUNTIFS(마감현황!$AL:$AL,'공종별 완료 현황'!D15,마감현황!$AM:$AM,"&lt;&gt;")+COUNTIFS(마감현황!$AP:$AP,'공종별 완료 현황'!D15,마감현황!$AQ:$AQ,"&lt;&gt;")+COUNTIFS(마감현황!$AV:$AV,'공종별 완료 현황'!D15,마감현황!$AW:$AW,"&lt;&gt;")+COUNTIFS(마감현황!$AZ:$AZ,'공종별 완료 현황'!D15,마감현황!$BA:$BA,"&lt;&gt;")+COUNTIFS(마감현황!$BD:$BD,'공종별 완료 현황'!D15,마감현황!$BE:$BE,"&lt;&gt;")+COUNTIFS(마감현황!$BM:$BM,'공종별 완료 현황'!D15,마감현황!$BN:$BN,"&lt;&gt;")+COUNTIFS(마감현황!$BQ:$BQ,'공종별 완료 현황'!D15,마감현황!$BR:$BR,"&lt;&gt;")+COUNTIFS(마감현황!$BW:$BW,'공종별 완료 현황'!D15,마감현황!$BX:$BX,"&lt;&gt;")+COUNTIFS(마감현황!$CA:$CA,'공종별 완료 현황'!D15,마감현황!$CB:$CB,"&lt;&gt;") +#REF!</f>
        <v>#REF!</v>
      </c>
      <c r="F15" s="4">
        <v>0</v>
      </c>
      <c r="G15" s="11" t="e">
        <f t="shared" si="4"/>
        <v>#REF!</v>
      </c>
      <c r="H15" s="49">
        <v>9</v>
      </c>
      <c r="I15" s="3" t="s">
        <v>71</v>
      </c>
      <c r="J15" s="4" t="e">
        <f>COUNTIFS(마감현황!$C:$C,'공종별 완료 현황'!I15,마감현황!$D:$D,"&lt;&gt;")+COUNTIFS(마감현황!$G:$G,'공종별 완료 현황'!I15,마감현황!$H:$H,"&lt;&gt;")+COUNTIFS(마감현황!$K:$K,'공종별 완료 현황'!I15,마감현황!$L:$L,"&lt;&gt;")+COUNTIFS(마감현황!$Q:$Q,'공종별 완료 현황'!I15,마감현황!$R:$R,"&lt;&gt;")+COUNTIFS(마감현황!$U:$U,'공종별 완료 현황'!I15,마감현황!$V:$V,"&lt;&gt;")+COUNTIFS(마감현황!$Y:$Y,'공종별 완료 현황'!I15,마감현황!$Z:$Z,"&lt;&gt;")+COUNTIFS(마감현황!$AH:$AH,'공종별 완료 현황'!I15,마감현황!$AI:$AI,"&lt;&gt;")+COUNTIFS(마감현황!$AL:$AL,'공종별 완료 현황'!I15,마감현황!$AM:$AM,"&lt;&gt;")+COUNTIFS(마감현황!$AP:$AP,'공종별 완료 현황'!I15,마감현황!$AQ:$AQ,"&lt;&gt;")+COUNTIFS(마감현황!$AV:$AV,'공종별 완료 현황'!I15,마감현황!$AW:$AW,"&lt;&gt;")+COUNTIFS(마감현황!$AZ:$AZ,'공종별 완료 현황'!I15,마감현황!$BA:$BA,"&lt;&gt;")+COUNTIFS(마감현황!$BD:$BD,'공종별 완료 현황'!I15,마감현황!$BE:$BE,"&lt;&gt;")+COUNTIFS(마감현황!$BM:$BM,'공종별 완료 현황'!I15,마감현황!$BN:$BN,"&lt;&gt;")+COUNTIFS(마감현황!$BQ:$BQ,'공종별 완료 현황'!I15,마감현황!$BR:$BR,"&lt;&gt;")+COUNTIFS(마감현황!$BW:$BW,'공종별 완료 현황'!I15,마감현황!$BX:$BX,"&lt;&gt;")+COUNTIFS(마감현황!$CA:$CA,'공종별 완료 현황'!I15,마감현황!$CB:$CB,"&lt;&gt;") +#REF!</f>
        <v>#REF!</v>
      </c>
      <c r="K15" s="4">
        <v>0</v>
      </c>
      <c r="L15" s="11" t="e">
        <f t="shared" si="1"/>
        <v>#REF!</v>
      </c>
      <c r="M15" s="49">
        <v>9</v>
      </c>
      <c r="N15" s="3" t="s">
        <v>75</v>
      </c>
      <c r="O15" s="4" t="e">
        <f>COUNTIFS(마감현황!$C:$C,'공종별 완료 현황'!N15,마감현황!$D:$D,"&lt;&gt;")+COUNTIFS(마감현황!$G:$G,'공종별 완료 현황'!N15,마감현황!$H:$H,"&lt;&gt;")+COUNTIFS(마감현황!$K:$K,'공종별 완료 현황'!N15,마감현황!$L:$L,"&lt;&gt;")+COUNTIFS(마감현황!$Q:$Q,'공종별 완료 현황'!N15,마감현황!$R:$R,"&lt;&gt;")+COUNTIFS(마감현황!$U:$U,'공종별 완료 현황'!N15,마감현황!$V:$V,"&lt;&gt;")+COUNTIFS(마감현황!$Y:$Y,'공종별 완료 현황'!N15,마감현황!$Z:$Z,"&lt;&gt;")+COUNTIFS(마감현황!$AH:$AH,'공종별 완료 현황'!N15,마감현황!$AI:$AI,"&lt;&gt;")+COUNTIFS(마감현황!$AL:$AL,'공종별 완료 현황'!N15,마감현황!$AM:$AM,"&lt;&gt;")+COUNTIFS(마감현황!$AP:$AP,'공종별 완료 현황'!N15,마감현황!$AQ:$AQ,"&lt;&gt;")+COUNTIFS(마감현황!$AV:$AV,'공종별 완료 현황'!N15,마감현황!$AW:$AW,"&lt;&gt;")+COUNTIFS(마감현황!$AZ:$AZ,'공종별 완료 현황'!N15,마감현황!$BA:$BA,"&lt;&gt;")+COUNTIFS(마감현황!$BD:$BD,'공종별 완료 현황'!N15,마감현황!$BE:$BE,"&lt;&gt;")+COUNTIFS(마감현황!$BM:$BM,'공종별 완료 현황'!N15,마감현황!$BN:$BN,"&lt;&gt;")+COUNTIFS(마감현황!$BQ:$BQ,'공종별 완료 현황'!N15,마감현황!$BR:$BR,"&lt;&gt;")+COUNTIFS(마감현황!$BW:$BW,'공종별 완료 현황'!N15,마감현황!$BX:$BX,"&lt;&gt;")+COUNTIFS(마감현황!$CA:$CA,'공종별 완료 현황'!N15,마감현황!$CB:$CB,"&lt;&gt;") +#REF!</f>
        <v>#REF!</v>
      </c>
      <c r="P15" s="4">
        <v>0</v>
      </c>
      <c r="Q15" s="11" t="e">
        <f t="shared" si="2"/>
        <v>#REF!</v>
      </c>
      <c r="R15" s="49">
        <v>9</v>
      </c>
      <c r="S15" s="27"/>
      <c r="T15" s="4"/>
      <c r="U15" s="4"/>
      <c r="V15" s="11"/>
      <c r="W15" s="49">
        <v>9</v>
      </c>
      <c r="X15" s="27"/>
      <c r="Y15" s="4"/>
      <c r="Z15" s="4"/>
      <c r="AA15" s="11"/>
      <c r="AB15" s="53" t="e">
        <f t="shared" si="3"/>
        <v>#REF!</v>
      </c>
      <c r="AC15" s="26">
        <f t="shared" si="5"/>
        <v>0</v>
      </c>
      <c r="AD15" s="47" t="e">
        <f t="shared" si="6"/>
        <v>#REF!</v>
      </c>
      <c r="AE15" s="50">
        <f t="shared" si="7"/>
        <v>0</v>
      </c>
      <c r="AF15" s="44">
        <f t="shared" si="8"/>
        <v>0</v>
      </c>
      <c r="AZ15"/>
    </row>
    <row r="16" spans="1:52" ht="24.75" customHeight="1">
      <c r="A16" s="17">
        <v>1250000</v>
      </c>
      <c r="B16" s="19">
        <f t="shared" si="9"/>
        <v>3.8886296469124284</v>
      </c>
      <c r="C16" s="34">
        <v>10</v>
      </c>
      <c r="D16" s="3" t="s">
        <v>68</v>
      </c>
      <c r="E16" s="4" t="e">
        <f>COUNTIFS(마감현황!$C:$C,'공종별 완료 현황'!D16,마감현황!$D:$D,"&lt;&gt;")+COUNTIFS(마감현황!$G:$G,'공종별 완료 현황'!D16,마감현황!$H:$H,"&lt;&gt;")+COUNTIFS(마감현황!$K:$K,'공종별 완료 현황'!D16,마감현황!$L:$L,"&lt;&gt;")+COUNTIFS(마감현황!$Q:$Q,'공종별 완료 현황'!D16,마감현황!$R:$R,"&lt;&gt;")+COUNTIFS(마감현황!$U:$U,'공종별 완료 현황'!D16,마감현황!$V:$V,"&lt;&gt;")+COUNTIFS(마감현황!$Y:$Y,'공종별 완료 현황'!D16,마감현황!$Z:$Z,"&lt;&gt;")+COUNTIFS(마감현황!$AH:$AH,'공종별 완료 현황'!D16,마감현황!$AI:$AI,"&lt;&gt;")+COUNTIFS(마감현황!$AL:$AL,'공종별 완료 현황'!D16,마감현황!$AM:$AM,"&lt;&gt;")+COUNTIFS(마감현황!$AP:$AP,'공종별 완료 현황'!D16,마감현황!$AQ:$AQ,"&lt;&gt;")+COUNTIFS(마감현황!$AV:$AV,'공종별 완료 현황'!D16,마감현황!$AW:$AW,"&lt;&gt;")+COUNTIFS(마감현황!$AZ:$AZ,'공종별 완료 현황'!D16,마감현황!$BA:$BA,"&lt;&gt;")+COUNTIFS(마감현황!$BD:$BD,'공종별 완료 현황'!D16,마감현황!$BE:$BE,"&lt;&gt;")+COUNTIFS(마감현황!$BM:$BM,'공종별 완료 현황'!D16,마감현황!$BN:$BN,"&lt;&gt;")+COUNTIFS(마감현황!$BQ:$BQ,'공종별 완료 현황'!D16,마감현황!$BR:$BR,"&lt;&gt;")+COUNTIFS(마감현황!$BW:$BW,'공종별 완료 현황'!D16,마감현황!$BX:$BX,"&lt;&gt;")+COUNTIFS(마감현황!$CA:$CA,'공종별 완료 현황'!D16,마감현황!$CB:$CB,"&lt;&gt;") +#REF!</f>
        <v>#REF!</v>
      </c>
      <c r="F16" s="4">
        <v>0</v>
      </c>
      <c r="G16" s="11" t="e">
        <f t="shared" si="4"/>
        <v>#REF!</v>
      </c>
      <c r="H16" s="49">
        <v>10</v>
      </c>
      <c r="I16" s="3" t="s">
        <v>72</v>
      </c>
      <c r="J16" s="4" t="e">
        <f>COUNTIFS(마감현황!$C:$C,'공종별 완료 현황'!I16,마감현황!$D:$D,"&lt;&gt;")+COUNTIFS(마감현황!$G:$G,'공종별 완료 현황'!I16,마감현황!$H:$H,"&lt;&gt;")+COUNTIFS(마감현황!$K:$K,'공종별 완료 현황'!I16,마감현황!$L:$L,"&lt;&gt;")+COUNTIFS(마감현황!$Q:$Q,'공종별 완료 현황'!I16,마감현황!$R:$R,"&lt;&gt;")+COUNTIFS(마감현황!$U:$U,'공종별 완료 현황'!I16,마감현황!$V:$V,"&lt;&gt;")+COUNTIFS(마감현황!$Y:$Y,'공종별 완료 현황'!I16,마감현황!$Z:$Z,"&lt;&gt;")+COUNTIFS(마감현황!$AH:$AH,'공종별 완료 현황'!I16,마감현황!$AI:$AI,"&lt;&gt;")+COUNTIFS(마감현황!$AL:$AL,'공종별 완료 현황'!I16,마감현황!$AM:$AM,"&lt;&gt;")+COUNTIFS(마감현황!$AP:$AP,'공종별 완료 현황'!I16,마감현황!$AQ:$AQ,"&lt;&gt;")+COUNTIFS(마감현황!$AV:$AV,'공종별 완료 현황'!I16,마감현황!$AW:$AW,"&lt;&gt;")+COUNTIFS(마감현황!$AZ:$AZ,'공종별 완료 현황'!I16,마감현황!$BA:$BA,"&lt;&gt;")+COUNTIFS(마감현황!$BD:$BD,'공종별 완료 현황'!I16,마감현황!$BE:$BE,"&lt;&gt;")+COUNTIFS(마감현황!$BM:$BM,'공종별 완료 현황'!I16,마감현황!$BN:$BN,"&lt;&gt;")+COUNTIFS(마감현황!$BQ:$BQ,'공종별 완료 현황'!I16,마감현황!$BR:$BR,"&lt;&gt;")+COUNTIFS(마감현황!$BW:$BW,'공종별 완료 현황'!I16,마감현황!$BX:$BX,"&lt;&gt;")+COUNTIFS(마감현황!$CA:$CA,'공종별 완료 현황'!I16,마감현황!$CB:$CB,"&lt;&gt;") +#REF!</f>
        <v>#REF!</v>
      </c>
      <c r="K16" s="4">
        <v>0</v>
      </c>
      <c r="L16" s="11" t="e">
        <f t="shared" si="1"/>
        <v>#REF!</v>
      </c>
      <c r="M16" s="49">
        <v>10</v>
      </c>
      <c r="N16" s="3" t="s">
        <v>76</v>
      </c>
      <c r="O16" s="4" t="e">
        <f>COUNTIFS(마감현황!$C:$C,'공종별 완료 현황'!N16,마감현황!$D:$D,"&lt;&gt;")+COUNTIFS(마감현황!$G:$G,'공종별 완료 현황'!N16,마감현황!$H:$H,"&lt;&gt;")+COUNTIFS(마감현황!$K:$K,'공종별 완료 현황'!N16,마감현황!$L:$L,"&lt;&gt;")+COUNTIFS(마감현황!$Q:$Q,'공종별 완료 현황'!N16,마감현황!$R:$R,"&lt;&gt;")+COUNTIFS(마감현황!$U:$U,'공종별 완료 현황'!N16,마감현황!$V:$V,"&lt;&gt;")+COUNTIFS(마감현황!$Y:$Y,'공종별 완료 현황'!N16,마감현황!$Z:$Z,"&lt;&gt;")+COUNTIFS(마감현황!$AH:$AH,'공종별 완료 현황'!N16,마감현황!$AI:$AI,"&lt;&gt;")+COUNTIFS(마감현황!$AL:$AL,'공종별 완료 현황'!N16,마감현황!$AM:$AM,"&lt;&gt;")+COUNTIFS(마감현황!$AP:$AP,'공종별 완료 현황'!N16,마감현황!$AQ:$AQ,"&lt;&gt;")+COUNTIFS(마감현황!$AV:$AV,'공종별 완료 현황'!N16,마감현황!$AW:$AW,"&lt;&gt;")+COUNTIFS(마감현황!$AZ:$AZ,'공종별 완료 현황'!N16,마감현황!$BA:$BA,"&lt;&gt;")+COUNTIFS(마감현황!$BD:$BD,'공종별 완료 현황'!N16,마감현황!$BE:$BE,"&lt;&gt;")+COUNTIFS(마감현황!$BM:$BM,'공종별 완료 현황'!N16,마감현황!$BN:$BN,"&lt;&gt;")+COUNTIFS(마감현황!$BQ:$BQ,'공종별 완료 현황'!N16,마감현황!$BR:$BR,"&lt;&gt;")+COUNTIFS(마감현황!$BW:$BW,'공종별 완료 현황'!N16,마감현황!$BX:$BX,"&lt;&gt;")+COUNTIFS(마감현황!$CA:$CA,'공종별 완료 현황'!N16,마감현황!$CB:$CB,"&lt;&gt;") +#REF!</f>
        <v>#REF!</v>
      </c>
      <c r="P16" s="4">
        <v>0</v>
      </c>
      <c r="Q16" s="11" t="e">
        <f t="shared" si="2"/>
        <v>#REF!</v>
      </c>
      <c r="R16" s="49">
        <v>10</v>
      </c>
      <c r="S16" s="3"/>
      <c r="T16" s="4"/>
      <c r="U16" s="4"/>
      <c r="V16" s="11"/>
      <c r="W16" s="49">
        <v>10</v>
      </c>
      <c r="X16" s="3"/>
      <c r="Y16" s="4"/>
      <c r="Z16" s="4"/>
      <c r="AA16" s="11"/>
      <c r="AB16" s="53" t="e">
        <f t="shared" si="3"/>
        <v>#REF!</v>
      </c>
      <c r="AC16" s="26">
        <f t="shared" si="5"/>
        <v>0</v>
      </c>
      <c r="AD16" s="47" t="e">
        <f t="shared" si="6"/>
        <v>#REF!</v>
      </c>
      <c r="AE16" s="50">
        <f t="shared" si="7"/>
        <v>0</v>
      </c>
      <c r="AF16" s="44">
        <f t="shared" si="8"/>
        <v>0</v>
      </c>
      <c r="AZ16"/>
    </row>
    <row r="17" spans="1:52" ht="24.75" customHeight="1">
      <c r="A17" s="17">
        <v>4200000</v>
      </c>
      <c r="B17" s="19">
        <f t="shared" si="9"/>
        <v>13.065795613625758</v>
      </c>
      <c r="C17" s="34">
        <v>11</v>
      </c>
      <c r="D17" s="3"/>
      <c r="E17" s="4"/>
      <c r="F17" s="4"/>
      <c r="G17" s="11"/>
      <c r="H17" s="49">
        <v>11</v>
      </c>
      <c r="I17" s="3"/>
      <c r="J17" s="4"/>
      <c r="K17" s="4"/>
      <c r="L17" s="11"/>
      <c r="M17" s="49">
        <v>11</v>
      </c>
      <c r="N17" s="3"/>
      <c r="O17" s="4"/>
      <c r="P17" s="4"/>
      <c r="Q17" s="11"/>
      <c r="R17" s="49">
        <v>11</v>
      </c>
      <c r="S17" s="3"/>
      <c r="T17" s="4"/>
      <c r="U17" s="4"/>
      <c r="V17" s="11"/>
      <c r="W17" s="49">
        <v>11</v>
      </c>
      <c r="X17" s="3"/>
      <c r="Y17" s="4"/>
      <c r="Z17" s="4"/>
      <c r="AA17" s="11"/>
      <c r="AB17" s="53">
        <f t="shared" si="3"/>
        <v>0</v>
      </c>
      <c r="AC17" s="26">
        <f t="shared" si="5"/>
        <v>0</v>
      </c>
      <c r="AD17" s="47">
        <f t="shared" si="6"/>
        <v>0</v>
      </c>
      <c r="AE17" s="50">
        <f t="shared" si="7"/>
        <v>0</v>
      </c>
      <c r="AF17" s="44">
        <f t="shared" si="8"/>
        <v>0</v>
      </c>
      <c r="AZ17"/>
    </row>
    <row r="18" spans="1:52" ht="24.75" customHeight="1">
      <c r="A18" s="17">
        <v>400000</v>
      </c>
      <c r="B18" s="19">
        <f t="shared" si="9"/>
        <v>1.244361487011977</v>
      </c>
      <c r="C18" s="34">
        <v>12</v>
      </c>
      <c r="D18" s="3"/>
      <c r="E18" s="4"/>
      <c r="F18" s="4"/>
      <c r="G18" s="11"/>
      <c r="H18" s="49">
        <v>12</v>
      </c>
      <c r="I18" s="3"/>
      <c r="J18" s="4"/>
      <c r="K18" s="4"/>
      <c r="L18" s="11"/>
      <c r="M18" s="49">
        <v>12</v>
      </c>
      <c r="N18" s="3"/>
      <c r="O18" s="4"/>
      <c r="P18" s="4"/>
      <c r="Q18" s="11"/>
      <c r="R18" s="49">
        <v>12</v>
      </c>
      <c r="S18" s="3"/>
      <c r="T18" s="4"/>
      <c r="U18" s="4"/>
      <c r="V18" s="11"/>
      <c r="W18" s="49">
        <v>12</v>
      </c>
      <c r="X18" s="3"/>
      <c r="Y18" s="4"/>
      <c r="Z18" s="4"/>
      <c r="AA18" s="11"/>
      <c r="AB18" s="53">
        <f t="shared" si="3"/>
        <v>0</v>
      </c>
      <c r="AC18" s="26">
        <f t="shared" si="5"/>
        <v>0</v>
      </c>
      <c r="AD18" s="47">
        <f t="shared" si="6"/>
        <v>0</v>
      </c>
      <c r="AE18" s="50">
        <f t="shared" si="7"/>
        <v>0</v>
      </c>
      <c r="AF18" s="44">
        <f t="shared" si="8"/>
        <v>0</v>
      </c>
      <c r="AZ18"/>
    </row>
    <row r="19" spans="1:52" ht="24.75" customHeight="1">
      <c r="A19" s="76">
        <v>2300000</v>
      </c>
      <c r="B19" s="75">
        <f t="shared" si="9"/>
        <v>7.1550785503188674</v>
      </c>
      <c r="C19" s="35">
        <v>13</v>
      </c>
      <c r="D19" s="3"/>
      <c r="E19" s="4"/>
      <c r="F19" s="4"/>
      <c r="G19" s="72"/>
      <c r="H19" s="73">
        <v>13</v>
      </c>
      <c r="I19" s="3"/>
      <c r="J19" s="4"/>
      <c r="K19" s="4"/>
      <c r="L19" s="11"/>
      <c r="M19" s="73">
        <v>13</v>
      </c>
      <c r="N19" s="3"/>
      <c r="O19" s="4"/>
      <c r="P19" s="4"/>
      <c r="Q19" s="11"/>
      <c r="R19" s="73">
        <v>13</v>
      </c>
      <c r="S19" s="3"/>
      <c r="T19" s="4"/>
      <c r="U19" s="4"/>
      <c r="V19" s="11"/>
      <c r="W19" s="73">
        <v>13</v>
      </c>
      <c r="X19" s="3"/>
      <c r="Y19" s="4"/>
      <c r="Z19" s="4"/>
      <c r="AA19" s="11"/>
      <c r="AB19" s="53">
        <f t="shared" si="3"/>
        <v>0</v>
      </c>
      <c r="AC19" s="74">
        <f t="shared" si="5"/>
        <v>0</v>
      </c>
      <c r="AD19" s="47">
        <f t="shared" si="6"/>
        <v>0</v>
      </c>
      <c r="AE19" s="50">
        <f t="shared" si="7"/>
        <v>0</v>
      </c>
      <c r="AF19" s="44">
        <f t="shared" si="8"/>
        <v>0</v>
      </c>
      <c r="AZ19"/>
    </row>
    <row r="20" spans="1:52" ht="24.75" customHeight="1">
      <c r="A20" s="17">
        <v>700000</v>
      </c>
      <c r="B20" s="19">
        <f t="shared" si="9"/>
        <v>2.1776326022709598</v>
      </c>
      <c r="C20" s="35">
        <v>14</v>
      </c>
      <c r="D20" s="3"/>
      <c r="E20" s="4"/>
      <c r="F20" s="4"/>
      <c r="G20" s="72"/>
      <c r="H20" s="49">
        <v>14</v>
      </c>
      <c r="I20" s="3"/>
      <c r="J20" s="4"/>
      <c r="K20" s="4"/>
      <c r="L20" s="11"/>
      <c r="M20" s="49">
        <v>14</v>
      </c>
      <c r="N20" s="3"/>
      <c r="O20" s="4"/>
      <c r="P20" s="4"/>
      <c r="Q20" s="11"/>
      <c r="R20" s="49">
        <v>14</v>
      </c>
      <c r="S20" s="3"/>
      <c r="T20" s="4"/>
      <c r="U20" s="4"/>
      <c r="V20" s="11"/>
      <c r="W20" s="49">
        <v>14</v>
      </c>
      <c r="X20" s="3"/>
      <c r="Y20" s="4"/>
      <c r="Z20" s="4"/>
      <c r="AA20" s="11"/>
      <c r="AB20" s="53">
        <f t="shared" si="3"/>
        <v>0</v>
      </c>
      <c r="AC20" s="26">
        <f t="shared" si="5"/>
        <v>0</v>
      </c>
      <c r="AD20" s="47">
        <f t="shared" si="6"/>
        <v>0</v>
      </c>
      <c r="AE20" s="50">
        <f t="shared" si="7"/>
        <v>0</v>
      </c>
      <c r="AF20" s="44">
        <f t="shared" si="8"/>
        <v>0</v>
      </c>
      <c r="AZ20"/>
    </row>
    <row r="21" spans="1:52" ht="24.75" customHeight="1">
      <c r="A21" s="17">
        <v>1200000</v>
      </c>
      <c r="B21" s="19">
        <f t="shared" si="9"/>
        <v>3.7330844610359306</v>
      </c>
      <c r="C21" s="34">
        <v>15</v>
      </c>
      <c r="D21" s="3"/>
      <c r="E21" s="4"/>
      <c r="F21" s="4"/>
      <c r="G21" s="72"/>
      <c r="H21" s="49">
        <v>15</v>
      </c>
      <c r="I21" s="3"/>
      <c r="J21" s="4"/>
      <c r="K21" s="4"/>
      <c r="L21" s="11"/>
      <c r="M21" s="49">
        <v>15</v>
      </c>
      <c r="N21" s="3"/>
      <c r="O21" s="4"/>
      <c r="P21" s="4"/>
      <c r="Q21" s="11"/>
      <c r="R21" s="49">
        <v>15</v>
      </c>
      <c r="S21" s="60"/>
      <c r="T21" s="4"/>
      <c r="U21" s="4"/>
      <c r="V21" s="11"/>
      <c r="W21" s="49">
        <v>15</v>
      </c>
      <c r="X21" s="60"/>
      <c r="Y21" s="4"/>
      <c r="Z21" s="4"/>
      <c r="AA21" s="11"/>
      <c r="AB21" s="53">
        <f t="shared" si="3"/>
        <v>0</v>
      </c>
      <c r="AC21" s="26">
        <f t="shared" si="5"/>
        <v>0</v>
      </c>
      <c r="AD21" s="47">
        <f t="shared" si="6"/>
        <v>0</v>
      </c>
      <c r="AE21" s="50">
        <f t="shared" si="7"/>
        <v>0</v>
      </c>
      <c r="AF21" s="44">
        <f t="shared" si="8"/>
        <v>0</v>
      </c>
      <c r="AZ21"/>
    </row>
    <row r="22" spans="1:52" ht="24.75" customHeight="1">
      <c r="A22" s="17">
        <v>840000</v>
      </c>
      <c r="B22" s="19">
        <f t="shared" si="9"/>
        <v>2.6131591227251514</v>
      </c>
      <c r="C22" s="34">
        <v>16</v>
      </c>
      <c r="D22" s="3"/>
      <c r="E22" s="4"/>
      <c r="F22" s="4"/>
      <c r="G22" s="72"/>
      <c r="H22" s="49">
        <v>16</v>
      </c>
      <c r="I22" s="3"/>
      <c r="J22" s="4"/>
      <c r="K22" s="4"/>
      <c r="L22" s="11"/>
      <c r="M22" s="49">
        <v>16</v>
      </c>
      <c r="N22" s="3"/>
      <c r="O22" s="4"/>
      <c r="P22" s="4"/>
      <c r="Q22" s="11"/>
      <c r="R22" s="49">
        <v>16</v>
      </c>
      <c r="S22" s="60"/>
      <c r="T22" s="4"/>
      <c r="U22" s="4"/>
      <c r="V22" s="11"/>
      <c r="W22" s="49">
        <v>16</v>
      </c>
      <c r="X22" s="60"/>
      <c r="Y22" s="4"/>
      <c r="Z22" s="4"/>
      <c r="AA22" s="11"/>
      <c r="AB22" s="53"/>
      <c r="AC22" s="26">
        <f t="shared" si="5"/>
        <v>0</v>
      </c>
      <c r="AD22" s="47"/>
      <c r="AE22" s="50">
        <f t="shared" si="7"/>
        <v>0</v>
      </c>
      <c r="AF22" s="44">
        <f t="shared" si="8"/>
        <v>0</v>
      </c>
      <c r="AZ22"/>
    </row>
    <row r="23" spans="1:52" ht="24.75" customHeight="1">
      <c r="A23" s="17">
        <v>500000</v>
      </c>
      <c r="B23" s="19">
        <f t="shared" si="9"/>
        <v>1.5554518587649713</v>
      </c>
      <c r="C23" s="34">
        <v>17</v>
      </c>
      <c r="D23" s="3"/>
      <c r="E23" s="4"/>
      <c r="F23" s="4"/>
      <c r="G23" s="11"/>
      <c r="H23" s="49">
        <v>17</v>
      </c>
      <c r="I23" s="3"/>
      <c r="J23" s="4"/>
      <c r="K23" s="4"/>
      <c r="L23" s="11"/>
      <c r="M23" s="49">
        <v>17</v>
      </c>
      <c r="N23" s="3"/>
      <c r="O23" s="4"/>
      <c r="P23" s="4"/>
      <c r="Q23" s="11"/>
      <c r="R23" s="49">
        <v>17</v>
      </c>
      <c r="S23" s="60"/>
      <c r="T23" s="4"/>
      <c r="U23" s="4"/>
      <c r="V23" s="11"/>
      <c r="W23" s="49">
        <v>17</v>
      </c>
      <c r="X23" s="60"/>
      <c r="Y23" s="4"/>
      <c r="Z23" s="4"/>
      <c r="AA23" s="11"/>
      <c r="AB23" s="53"/>
      <c r="AC23" s="26"/>
      <c r="AD23" s="47"/>
      <c r="AE23" s="50"/>
      <c r="AF23" s="44">
        <f t="shared" si="8"/>
        <v>0</v>
      </c>
      <c r="AZ23"/>
    </row>
    <row r="24" spans="1:52" ht="24.75" customHeight="1">
      <c r="A24" s="17">
        <v>600000</v>
      </c>
      <c r="B24" s="19">
        <f t="shared" si="9"/>
        <v>1.8665422305179653</v>
      </c>
      <c r="C24" s="34">
        <v>18</v>
      </c>
      <c r="D24" s="3"/>
      <c r="E24" s="4"/>
      <c r="F24" s="4"/>
      <c r="G24" s="11"/>
      <c r="H24" s="49">
        <v>18</v>
      </c>
      <c r="I24" s="3"/>
      <c r="J24" s="4"/>
      <c r="K24" s="4"/>
      <c r="L24" s="11"/>
      <c r="M24" s="49">
        <v>18</v>
      </c>
      <c r="N24" s="3"/>
      <c r="O24" s="4"/>
      <c r="P24" s="4"/>
      <c r="Q24" s="11"/>
      <c r="R24" s="49">
        <v>18</v>
      </c>
      <c r="S24" s="60"/>
      <c r="T24" s="4"/>
      <c r="U24" s="4"/>
      <c r="V24" s="11"/>
      <c r="W24" s="49">
        <v>18</v>
      </c>
      <c r="X24" s="60"/>
      <c r="Y24" s="4"/>
      <c r="Z24" s="4"/>
      <c r="AA24" s="11"/>
      <c r="AB24" s="53"/>
      <c r="AC24" s="26"/>
      <c r="AD24" s="47"/>
      <c r="AE24" s="50"/>
      <c r="AF24" s="44">
        <f t="shared" si="8"/>
        <v>0</v>
      </c>
      <c r="AZ24"/>
    </row>
    <row r="25" spans="1:52" ht="24.75" customHeight="1">
      <c r="A25" s="17">
        <v>120000</v>
      </c>
      <c r="B25" s="19">
        <f t="shared" si="9"/>
        <v>0.37330844610359309</v>
      </c>
      <c r="C25" s="34">
        <v>19</v>
      </c>
      <c r="D25" s="3"/>
      <c r="E25" s="4"/>
      <c r="F25" s="4"/>
      <c r="G25" s="11"/>
      <c r="H25" s="49">
        <v>19</v>
      </c>
      <c r="I25" s="3"/>
      <c r="J25" s="4"/>
      <c r="K25" s="4"/>
      <c r="L25" s="11"/>
      <c r="M25" s="49">
        <v>19</v>
      </c>
      <c r="N25" s="3"/>
      <c r="O25" s="4"/>
      <c r="P25" s="4"/>
      <c r="Q25" s="11"/>
      <c r="R25" s="49">
        <v>19</v>
      </c>
      <c r="S25" s="60"/>
      <c r="T25" s="4"/>
      <c r="U25" s="4"/>
      <c r="V25" s="11"/>
      <c r="W25" s="49">
        <v>19</v>
      </c>
      <c r="X25" s="60"/>
      <c r="Y25" s="4"/>
      <c r="Z25" s="4"/>
      <c r="AA25" s="11"/>
      <c r="AB25" s="53"/>
      <c r="AC25" s="26"/>
      <c r="AD25" s="47"/>
      <c r="AE25" s="50"/>
      <c r="AF25" s="44">
        <f t="shared" si="8"/>
        <v>0</v>
      </c>
      <c r="AZ25"/>
    </row>
    <row r="26" spans="1:52" ht="24.75" customHeight="1">
      <c r="A26" s="17">
        <f>250000+100000</f>
        <v>350000</v>
      </c>
      <c r="B26" s="19">
        <f t="shared" si="9"/>
        <v>1.0888163011354799</v>
      </c>
      <c r="C26" s="34">
        <v>20</v>
      </c>
      <c r="D26" s="3"/>
      <c r="E26" s="4"/>
      <c r="F26" s="4"/>
      <c r="G26" s="11"/>
      <c r="H26" s="49">
        <v>20</v>
      </c>
      <c r="I26" s="3"/>
      <c r="J26" s="4"/>
      <c r="K26" s="4"/>
      <c r="L26" s="11"/>
      <c r="M26" s="49">
        <v>20</v>
      </c>
      <c r="N26" s="3"/>
      <c r="O26" s="4"/>
      <c r="P26" s="4"/>
      <c r="Q26" s="11"/>
      <c r="R26" s="49">
        <v>20</v>
      </c>
      <c r="S26" s="60"/>
      <c r="T26" s="4"/>
      <c r="U26" s="4"/>
      <c r="V26" s="11"/>
      <c r="W26" s="49">
        <v>20</v>
      </c>
      <c r="X26" s="60"/>
      <c r="Y26" s="4"/>
      <c r="Z26" s="4"/>
      <c r="AA26" s="11"/>
      <c r="AB26" s="53"/>
      <c r="AC26" s="26"/>
      <c r="AD26" s="47"/>
      <c r="AE26" s="50"/>
      <c r="AF26" s="44">
        <f t="shared" si="8"/>
        <v>0</v>
      </c>
      <c r="AZ26"/>
    </row>
    <row r="27" spans="1:52" ht="24.75" customHeight="1">
      <c r="C27" s="34">
        <v>21</v>
      </c>
      <c r="D27" s="3"/>
      <c r="E27" s="4"/>
      <c r="F27" s="4"/>
      <c r="G27" s="11"/>
      <c r="H27" s="49">
        <v>21</v>
      </c>
      <c r="I27" s="3"/>
      <c r="J27" s="4"/>
      <c r="K27" s="4"/>
      <c r="L27" s="11"/>
      <c r="M27" s="49">
        <v>21</v>
      </c>
      <c r="N27" s="3"/>
      <c r="O27" s="4"/>
      <c r="P27" s="4"/>
      <c r="Q27" s="11"/>
      <c r="R27" s="49">
        <v>21</v>
      </c>
      <c r="S27" s="60"/>
      <c r="T27" s="4"/>
      <c r="U27" s="4"/>
      <c r="V27" s="11"/>
      <c r="W27" s="49">
        <v>21</v>
      </c>
      <c r="X27" s="60"/>
      <c r="Y27" s="4"/>
      <c r="Z27" s="4"/>
      <c r="AA27" s="11"/>
      <c r="AB27" s="53"/>
      <c r="AC27" s="26"/>
      <c r="AD27" s="47"/>
      <c r="AE27" s="50"/>
      <c r="AF27" s="44">
        <f t="shared" si="8"/>
        <v>0</v>
      </c>
      <c r="AZ27"/>
    </row>
    <row r="28" spans="1:52" ht="24.75" customHeight="1">
      <c r="B28" s="19">
        <f>A28/$A$29*100</f>
        <v>0</v>
      </c>
      <c r="C28" s="34">
        <v>22</v>
      </c>
      <c r="D28" s="3" t="s">
        <v>20</v>
      </c>
      <c r="E28" s="62"/>
      <c r="F28" s="4"/>
      <c r="G28" s="11"/>
      <c r="H28" s="49">
        <v>22</v>
      </c>
      <c r="I28" s="4"/>
      <c r="J28" s="4"/>
      <c r="K28" s="4"/>
      <c r="L28" s="11"/>
      <c r="M28" s="49">
        <v>22</v>
      </c>
      <c r="N28" s="3" t="s">
        <v>20</v>
      </c>
      <c r="O28" s="4"/>
      <c r="P28" s="4"/>
      <c r="Q28" s="11"/>
      <c r="R28" s="49">
        <v>22</v>
      </c>
      <c r="S28" s="60" t="s">
        <v>20</v>
      </c>
      <c r="T28" s="4"/>
      <c r="U28" s="4"/>
      <c r="V28" s="11"/>
      <c r="W28" s="49">
        <v>22</v>
      </c>
      <c r="X28" s="60" t="s">
        <v>20</v>
      </c>
      <c r="Y28" s="4"/>
      <c r="Z28" s="4"/>
      <c r="AA28" s="11"/>
      <c r="AB28" s="53"/>
      <c r="AC28" s="26"/>
      <c r="AD28" s="41"/>
      <c r="AE28" s="43"/>
      <c r="AF28" s="44"/>
      <c r="AZ28"/>
    </row>
    <row r="29" spans="1:52" ht="24.75" customHeight="1">
      <c r="A29" s="18">
        <f>SUM(A7:A28)</f>
        <v>32145000</v>
      </c>
      <c r="B29" s="19">
        <f>A29/$A$29*100</f>
        <v>100</v>
      </c>
      <c r="C29" s="34">
        <v>23</v>
      </c>
      <c r="D29" s="3" t="s">
        <v>20</v>
      </c>
      <c r="E29" s="4"/>
      <c r="F29" s="4"/>
      <c r="G29" s="11"/>
      <c r="H29" s="49">
        <v>23</v>
      </c>
      <c r="I29" s="4"/>
      <c r="J29" s="4"/>
      <c r="K29" s="4"/>
      <c r="L29" s="11"/>
      <c r="M29" s="49">
        <v>23</v>
      </c>
      <c r="N29" s="3" t="s">
        <v>20</v>
      </c>
      <c r="O29" s="4"/>
      <c r="P29" s="4"/>
      <c r="Q29" s="11"/>
      <c r="R29" s="49">
        <v>23</v>
      </c>
      <c r="S29" s="60" t="s">
        <v>20</v>
      </c>
      <c r="T29" s="4"/>
      <c r="U29" s="4"/>
      <c r="V29" s="11"/>
      <c r="W29" s="49">
        <v>23</v>
      </c>
      <c r="X29" s="60" t="s">
        <v>20</v>
      </c>
      <c r="Y29" s="4"/>
      <c r="Z29" s="4"/>
      <c r="AA29" s="11"/>
      <c r="AB29" s="53"/>
      <c r="AC29" s="26"/>
      <c r="AD29" s="41"/>
      <c r="AE29" s="43"/>
      <c r="AF29" s="44"/>
      <c r="AZ29"/>
    </row>
    <row r="30" spans="1:52" ht="17.25">
      <c r="AE30" s="20"/>
      <c r="AF30" s="15"/>
      <c r="AZ30"/>
    </row>
    <row r="31" spans="1:52">
      <c r="C31" s="39"/>
      <c r="D31" s="39"/>
      <c r="E31" s="39"/>
      <c r="F31" s="39"/>
      <c r="G31" s="39"/>
      <c r="H31" s="39"/>
      <c r="Q31" s="45"/>
      <c r="R31" s="39"/>
      <c r="S31" s="39"/>
      <c r="T31" s="39"/>
      <c r="U31" s="39"/>
      <c r="V31" s="39"/>
      <c r="W31" s="39"/>
      <c r="X31" s="39"/>
    </row>
    <row r="32" spans="1:52">
      <c r="C32" s="39"/>
      <c r="D32" s="39"/>
      <c r="E32" s="39"/>
      <c r="F32" s="39"/>
      <c r="G32" s="39"/>
      <c r="H32" s="39"/>
      <c r="Q32" s="45"/>
      <c r="R32" s="39"/>
      <c r="S32" s="39"/>
      <c r="T32" s="39"/>
      <c r="U32" s="39"/>
      <c r="V32" s="39"/>
      <c r="W32" s="39"/>
      <c r="X32" s="39"/>
    </row>
    <row r="33" spans="3:30" ht="16.5" customHeight="1">
      <c r="C33" s="39"/>
      <c r="D33" s="39"/>
      <c r="E33" s="39"/>
      <c r="F33" s="39"/>
      <c r="G33" s="39"/>
      <c r="H33" s="39"/>
      <c r="Q33" s="45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</row>
    <row r="34" spans="3:30" ht="16.5" customHeight="1">
      <c r="C34" s="39"/>
      <c r="D34" s="39"/>
      <c r="E34" s="39"/>
      <c r="F34" s="39"/>
      <c r="G34" s="39"/>
      <c r="H34" s="39"/>
      <c r="Q34" s="45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</row>
    <row r="35" spans="3:30">
      <c r="C35" s="39"/>
      <c r="D35" s="39"/>
      <c r="E35" s="39"/>
      <c r="F35" s="39"/>
      <c r="G35" s="39"/>
      <c r="H35" s="39"/>
      <c r="Q35" s="40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</row>
    <row r="36" spans="3:30">
      <c r="C36" s="39"/>
      <c r="D36" s="39"/>
      <c r="E36" s="39"/>
      <c r="F36" s="39"/>
      <c r="G36" s="39"/>
      <c r="H36" s="39"/>
      <c r="Q36" s="40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</row>
    <row r="37" spans="3:30">
      <c r="C37" s="39"/>
      <c r="D37" s="39"/>
      <c r="E37" s="39"/>
      <c r="F37" s="39"/>
      <c r="G37" s="39"/>
      <c r="H37" s="39"/>
      <c r="Q37" s="40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</row>
    <row r="38" spans="3:30">
      <c r="C38" s="39"/>
      <c r="D38" s="39"/>
      <c r="E38" s="39"/>
      <c r="F38" s="39"/>
      <c r="G38" s="39"/>
      <c r="H38" s="39"/>
      <c r="Q38" s="40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</row>
    <row r="39" spans="3:30">
      <c r="C39" s="39"/>
      <c r="D39" s="39"/>
      <c r="E39" s="39"/>
      <c r="F39" s="39"/>
      <c r="G39" s="39"/>
      <c r="H39" s="39"/>
      <c r="Q39" s="40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</row>
    <row r="40" spans="3:30">
      <c r="C40" s="39"/>
      <c r="D40" s="39"/>
      <c r="E40" s="39"/>
      <c r="F40" s="39"/>
      <c r="G40" s="39"/>
      <c r="H40" s="39"/>
      <c r="Q40" s="40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</row>
    <row r="41" spans="3:30">
      <c r="C41" s="39"/>
      <c r="D41" s="39"/>
      <c r="E41" s="39"/>
      <c r="F41" s="39"/>
      <c r="G41" s="39"/>
      <c r="H41" s="39"/>
      <c r="Q41" s="40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</row>
    <row r="42" spans="3:30">
      <c r="C42" s="39"/>
      <c r="D42" s="39"/>
      <c r="E42" s="39"/>
      <c r="F42" s="39"/>
      <c r="G42" s="39"/>
      <c r="H42" s="39"/>
      <c r="Q42" s="40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</row>
    <row r="43" spans="3:30">
      <c r="C43" s="39"/>
      <c r="D43" s="39"/>
      <c r="E43" s="39"/>
      <c r="F43" s="39"/>
      <c r="G43" s="39"/>
      <c r="H43" s="39"/>
    </row>
    <row r="44" spans="3:30">
      <c r="C44" s="39"/>
      <c r="D44" s="39"/>
      <c r="E44" s="39"/>
      <c r="F44" s="39"/>
      <c r="G44" s="39"/>
      <c r="H44" s="39"/>
    </row>
    <row r="45" spans="3:30">
      <c r="C45" s="39"/>
      <c r="D45" s="39"/>
      <c r="E45" s="39"/>
      <c r="F45" s="39"/>
      <c r="G45" s="39"/>
      <c r="H45" s="39"/>
    </row>
    <row r="57" spans="39:46" ht="33" customHeight="1">
      <c r="AM57" s="95" t="s">
        <v>21</v>
      </c>
      <c r="AT57" s="20"/>
    </row>
    <row r="58" spans="39:46">
      <c r="AM58" s="93">
        <f>IFERROR(AVERAGE(AE33:AE55),0)</f>
        <v>0</v>
      </c>
    </row>
    <row r="59" spans="39:46" ht="17.25" customHeight="1">
      <c r="AM59" s="93">
        <f>IFERROR(AVERAGE(U59:U76),0)</f>
        <v>0</v>
      </c>
    </row>
    <row r="60" spans="39:46">
      <c r="AM60" s="93">
        <f>IFERROR(AVERAGE(P80:P95),0)</f>
        <v>0</v>
      </c>
    </row>
    <row r="61" spans="39:46">
      <c r="AM61" s="93">
        <f>IFERROR(AVERAGE(Y98:Y111),0)</f>
        <v>0</v>
      </c>
    </row>
    <row r="62" spans="39:46">
      <c r="AM62" s="93">
        <f>IFERROR(AVERAGE(#REF!),0)</f>
        <v>0</v>
      </c>
    </row>
    <row r="63" spans="39:46">
      <c r="AM63" s="93">
        <f>IFERROR(AVERAGE(#REF!),0)</f>
        <v>0</v>
      </c>
    </row>
    <row r="64" spans="39:46">
      <c r="AM64" s="93">
        <f>IFERROR(AVERAGE(#REF!),0)</f>
        <v>0</v>
      </c>
    </row>
    <row r="65" spans="39:46">
      <c r="AM65" s="93">
        <f>IFERROR(AVERAGE(#REF!),0)</f>
        <v>0</v>
      </c>
    </row>
    <row r="66" spans="39:46">
      <c r="AM66" s="96"/>
    </row>
    <row r="67" spans="39:46">
      <c r="AM67" s="96"/>
    </row>
    <row r="68" spans="39:46">
      <c r="AM68" s="96"/>
    </row>
    <row r="69" spans="39:46">
      <c r="AM69" s="96"/>
    </row>
    <row r="70" spans="39:46">
      <c r="AM70" s="96"/>
    </row>
    <row r="71" spans="39:46">
      <c r="AM71" s="96"/>
    </row>
    <row r="72" spans="39:46">
      <c r="AM72" s="96"/>
    </row>
    <row r="73" spans="39:46">
      <c r="AM73" s="96"/>
    </row>
    <row r="74" spans="39:46">
      <c r="AM74" s="96"/>
    </row>
    <row r="75" spans="39:46">
      <c r="AM75" s="96"/>
    </row>
    <row r="76" spans="39:46">
      <c r="AM76" s="96"/>
    </row>
    <row r="78" spans="39:46" ht="31.5" customHeight="1"/>
    <row r="79" spans="39:46">
      <c r="AT79" s="20"/>
    </row>
    <row r="80" spans="39:46">
      <c r="AT80" s="20"/>
    </row>
    <row r="81" spans="3:46">
      <c r="AT81" s="20"/>
    </row>
    <row r="82" spans="3:46">
      <c r="AT82" s="20"/>
    </row>
    <row r="83" spans="3:46" ht="25.5" customHeight="1"/>
    <row r="84" spans="3:46" ht="25.5" customHeight="1"/>
    <row r="85" spans="3:46" ht="25.5" customHeight="1"/>
    <row r="86" spans="3:46" ht="25.5" customHeight="1"/>
    <row r="87" spans="3:46" ht="25.5" customHeight="1"/>
    <row r="88" spans="3:46" ht="25.5" customHeight="1"/>
    <row r="89" spans="3:46" ht="25.5" customHeight="1"/>
    <row r="90" spans="3:46" ht="25.5" customHeight="1"/>
    <row r="91" spans="3:46" ht="25.5" customHeight="1"/>
    <row r="92" spans="3:46" ht="25.5" customHeight="1"/>
    <row r="93" spans="3:46" ht="25.5" customHeight="1"/>
    <row r="94" spans="3:46" ht="25.5" customHeight="1"/>
    <row r="95" spans="3:46" ht="25.5" customHeight="1">
      <c r="C95" s="34"/>
      <c r="D95" s="3"/>
      <c r="E95" s="4"/>
      <c r="F95" s="4"/>
      <c r="G95" s="52"/>
      <c r="H95" s="34"/>
      <c r="I95" s="3"/>
      <c r="J95" s="4"/>
      <c r="K95" s="4"/>
      <c r="L95" s="52"/>
      <c r="M95" s="48"/>
      <c r="N95" s="48"/>
      <c r="O95" s="63"/>
      <c r="P95" s="64"/>
      <c r="Q95" s="65"/>
      <c r="R95" s="65"/>
      <c r="S95" s="65"/>
      <c r="T95" s="78"/>
      <c r="U95" s="79"/>
    </row>
    <row r="96" spans="3:46" ht="17.25">
      <c r="X96" s="101"/>
      <c r="Y96" s="42"/>
      <c r="Z96" s="104"/>
    </row>
    <row r="97" spans="3:26" ht="46.5" customHeight="1">
      <c r="C97" s="828"/>
      <c r="D97" s="829"/>
      <c r="E97" s="66"/>
      <c r="F97" s="67"/>
      <c r="G97" s="67"/>
      <c r="H97" s="826"/>
      <c r="I97" s="827"/>
      <c r="J97" s="70"/>
      <c r="K97" s="70"/>
      <c r="L97" s="70"/>
      <c r="M97" s="826"/>
      <c r="N97" s="827"/>
      <c r="O97" s="70"/>
      <c r="P97" s="70"/>
      <c r="Q97" s="70"/>
      <c r="R97" s="830"/>
      <c r="S97" s="831"/>
      <c r="T97" s="69"/>
      <c r="U97" s="69"/>
      <c r="V97" s="68"/>
      <c r="W97" s="99"/>
      <c r="X97" s="102"/>
      <c r="Y97" s="106"/>
      <c r="Z97" s="105"/>
    </row>
    <row r="98" spans="3:26">
      <c r="C98" s="34"/>
      <c r="D98" s="3"/>
      <c r="E98" s="4"/>
      <c r="F98" s="28"/>
      <c r="G98" s="4"/>
      <c r="H98" s="51"/>
      <c r="I98" s="3"/>
      <c r="J98" s="4"/>
      <c r="K98" s="4"/>
      <c r="L98" s="28"/>
      <c r="M98" s="51"/>
      <c r="N98" s="3"/>
      <c r="O98" s="4"/>
      <c r="P98" s="28"/>
      <c r="Q98" s="28"/>
      <c r="R98" s="49"/>
      <c r="S98" s="3"/>
      <c r="T98" s="4"/>
      <c r="U98" s="4"/>
      <c r="V98" s="28"/>
      <c r="W98" s="63"/>
      <c r="X98" s="103"/>
      <c r="Y98" s="106"/>
      <c r="Z98" s="105"/>
    </row>
    <row r="99" spans="3:26">
      <c r="C99" s="34"/>
      <c r="D99" s="3"/>
      <c r="E99" s="4"/>
      <c r="F99" s="28"/>
      <c r="G99" s="4"/>
      <c r="H99" s="51"/>
      <c r="I99" s="3"/>
      <c r="J99" s="4"/>
      <c r="K99" s="4"/>
      <c r="L99" s="28"/>
      <c r="M99" s="51"/>
      <c r="N99" s="3"/>
      <c r="O99" s="4"/>
      <c r="P99" s="28"/>
      <c r="Q99" s="28"/>
      <c r="R99" s="49"/>
      <c r="S99" s="3"/>
      <c r="T99" s="4"/>
      <c r="U99" s="4"/>
      <c r="V99" s="28"/>
      <c r="W99" s="63"/>
      <c r="X99" s="103"/>
      <c r="Y99" s="106"/>
      <c r="Z99" s="105"/>
    </row>
    <row r="100" spans="3:26">
      <c r="C100" s="34"/>
      <c r="D100" s="3"/>
      <c r="E100" s="4"/>
      <c r="F100" s="28"/>
      <c r="G100" s="4"/>
      <c r="H100" s="51"/>
      <c r="I100" s="3"/>
      <c r="J100" s="4"/>
      <c r="K100" s="4"/>
      <c r="L100" s="28"/>
      <c r="M100" s="51"/>
      <c r="N100" s="3"/>
      <c r="O100" s="4"/>
      <c r="P100" s="28"/>
      <c r="Q100" s="28"/>
      <c r="R100" s="49"/>
      <c r="S100" s="3"/>
      <c r="T100" s="4"/>
      <c r="U100" s="4"/>
      <c r="V100" s="28"/>
      <c r="W100" s="63"/>
      <c r="X100" s="103"/>
      <c r="Y100" s="106"/>
      <c r="Z100" s="105"/>
    </row>
    <row r="101" spans="3:26">
      <c r="C101" s="34"/>
      <c r="D101" s="3"/>
      <c r="E101" s="4"/>
      <c r="F101" s="28"/>
      <c r="G101" s="4"/>
      <c r="H101" s="51"/>
      <c r="I101" s="3"/>
      <c r="J101" s="4"/>
      <c r="K101" s="4"/>
      <c r="L101" s="28"/>
      <c r="M101" s="51"/>
      <c r="N101" s="3"/>
      <c r="O101" s="4"/>
      <c r="P101" s="28"/>
      <c r="Q101" s="28"/>
      <c r="R101" s="49"/>
      <c r="S101" s="3"/>
      <c r="T101" s="4"/>
      <c r="U101" s="4"/>
      <c r="V101" s="28"/>
      <c r="W101" s="63"/>
      <c r="X101" s="103"/>
      <c r="Y101" s="106"/>
      <c r="Z101" s="105"/>
    </row>
    <row r="102" spans="3:26">
      <c r="C102" s="34"/>
      <c r="D102" s="3"/>
      <c r="E102" s="4"/>
      <c r="F102" s="28"/>
      <c r="G102" s="4"/>
      <c r="H102" s="51"/>
      <c r="I102" s="3"/>
      <c r="J102" s="4"/>
      <c r="K102" s="4"/>
      <c r="L102" s="28"/>
      <c r="M102" s="51"/>
      <c r="N102" s="3"/>
      <c r="O102" s="4"/>
      <c r="P102" s="28"/>
      <c r="Q102" s="28"/>
      <c r="R102" s="49"/>
      <c r="S102" s="3"/>
      <c r="T102" s="4"/>
      <c r="U102" s="4"/>
      <c r="V102" s="28"/>
      <c r="W102" s="63"/>
      <c r="X102" s="103"/>
      <c r="Y102" s="106"/>
      <c r="Z102" s="105"/>
    </row>
    <row r="103" spans="3:26">
      <c r="C103" s="34"/>
      <c r="D103" s="3"/>
      <c r="E103" s="4"/>
      <c r="F103" s="28"/>
      <c r="G103" s="4"/>
      <c r="H103" s="51"/>
      <c r="I103" s="3"/>
      <c r="J103" s="4"/>
      <c r="K103" s="4"/>
      <c r="L103" s="28"/>
      <c r="M103" s="51"/>
      <c r="N103" s="3"/>
      <c r="O103" s="4"/>
      <c r="P103" s="28"/>
      <c r="Q103" s="28"/>
      <c r="R103" s="49"/>
      <c r="S103" s="3"/>
      <c r="T103" s="4"/>
      <c r="U103" s="4"/>
      <c r="V103" s="28"/>
      <c r="W103" s="63"/>
      <c r="X103" s="103"/>
      <c r="Y103" s="106"/>
      <c r="Z103" s="105"/>
    </row>
    <row r="104" spans="3:26">
      <c r="C104" s="34"/>
      <c r="D104" s="3"/>
      <c r="E104" s="4"/>
      <c r="F104" s="28"/>
      <c r="G104" s="4"/>
      <c r="H104" s="51"/>
      <c r="I104" s="3"/>
      <c r="J104" s="4"/>
      <c r="K104" s="4"/>
      <c r="L104" s="28"/>
      <c r="M104" s="51"/>
      <c r="N104" s="3"/>
      <c r="O104" s="4"/>
      <c r="P104" s="28"/>
      <c r="Q104" s="28"/>
      <c r="R104" s="49"/>
      <c r="S104" s="3"/>
      <c r="T104" s="4"/>
      <c r="U104" s="4"/>
      <c r="V104" s="28"/>
      <c r="W104" s="63"/>
      <c r="X104" s="103"/>
      <c r="Y104" s="106"/>
      <c r="Z104" s="105"/>
    </row>
    <row r="105" spans="3:26">
      <c r="C105" s="34"/>
      <c r="D105" s="3"/>
      <c r="E105" s="4"/>
      <c r="F105" s="28"/>
      <c r="G105" s="4"/>
      <c r="H105" s="51"/>
      <c r="I105" s="3"/>
      <c r="J105" s="4"/>
      <c r="K105" s="4"/>
      <c r="L105" s="28"/>
      <c r="M105" s="51"/>
      <c r="N105" s="3"/>
      <c r="O105" s="4"/>
      <c r="P105" s="28"/>
      <c r="Q105" s="28"/>
      <c r="R105" s="49"/>
      <c r="S105" s="3"/>
      <c r="T105" s="4"/>
      <c r="U105" s="4"/>
      <c r="V105" s="28"/>
      <c r="W105" s="63"/>
      <c r="X105" s="103"/>
      <c r="Y105" s="106"/>
      <c r="Z105" s="105"/>
    </row>
    <row r="106" spans="3:26">
      <c r="C106" s="34"/>
      <c r="D106" s="3"/>
      <c r="E106" s="4"/>
      <c r="F106" s="28"/>
      <c r="G106" s="4"/>
      <c r="H106" s="51"/>
      <c r="I106" s="3"/>
      <c r="J106" s="4"/>
      <c r="K106" s="4"/>
      <c r="L106" s="28"/>
      <c r="M106" s="51"/>
      <c r="N106" s="3"/>
      <c r="O106" s="4"/>
      <c r="P106" s="28"/>
      <c r="Q106" s="28"/>
      <c r="R106" s="49"/>
      <c r="S106" s="3"/>
      <c r="T106" s="4"/>
      <c r="U106" s="4"/>
      <c r="V106" s="28"/>
      <c r="W106" s="63"/>
      <c r="X106" s="103"/>
      <c r="Y106" s="106"/>
      <c r="Z106" s="105"/>
    </row>
    <row r="107" spans="3:26">
      <c r="C107" s="34"/>
      <c r="D107" s="3"/>
      <c r="E107" s="4"/>
      <c r="F107" s="28"/>
      <c r="G107" s="4"/>
      <c r="H107" s="51"/>
      <c r="I107" s="3"/>
      <c r="J107" s="4"/>
      <c r="K107" s="4"/>
      <c r="L107" s="28"/>
      <c r="M107" s="51"/>
      <c r="N107" s="3"/>
      <c r="O107" s="4"/>
      <c r="P107" s="28"/>
      <c r="Q107" s="28"/>
      <c r="R107" s="49"/>
      <c r="S107" s="3"/>
      <c r="T107" s="4"/>
      <c r="U107" s="4"/>
      <c r="V107" s="28"/>
      <c r="W107" s="63"/>
      <c r="X107" s="103"/>
      <c r="Y107" s="106"/>
      <c r="Z107" s="105"/>
    </row>
    <row r="108" spans="3:26">
      <c r="C108" s="34"/>
      <c r="D108" s="3"/>
      <c r="E108" s="4"/>
      <c r="F108" s="28"/>
      <c r="G108" s="4"/>
      <c r="H108" s="51"/>
      <c r="I108" s="3"/>
      <c r="J108" s="4"/>
      <c r="K108" s="4"/>
      <c r="L108" s="28"/>
      <c r="M108" s="51"/>
      <c r="N108" s="3"/>
      <c r="O108" s="4"/>
      <c r="P108" s="28"/>
      <c r="Q108" s="28"/>
      <c r="R108" s="49"/>
      <c r="S108" s="3"/>
      <c r="T108" s="4"/>
      <c r="U108" s="4"/>
      <c r="V108" s="28"/>
      <c r="W108" s="63"/>
      <c r="X108" s="103"/>
      <c r="Y108" s="106"/>
      <c r="Z108" s="105"/>
    </row>
    <row r="109" spans="3:26">
      <c r="C109" s="34"/>
      <c r="D109" s="3"/>
      <c r="E109" s="4"/>
      <c r="F109" s="28"/>
      <c r="G109" s="4"/>
      <c r="H109" s="51"/>
      <c r="I109" s="3"/>
      <c r="J109" s="4"/>
      <c r="K109" s="4"/>
      <c r="L109" s="28"/>
      <c r="M109" s="51"/>
      <c r="N109" s="3"/>
      <c r="O109" s="4"/>
      <c r="P109" s="28"/>
      <c r="Q109" s="28"/>
      <c r="R109" s="49"/>
      <c r="S109" s="9"/>
      <c r="T109" s="4"/>
      <c r="U109" s="4"/>
      <c r="V109" s="28"/>
      <c r="W109" s="41"/>
      <c r="X109" s="48"/>
      <c r="Z109" s="100"/>
    </row>
    <row r="110" spans="3:26">
      <c r="C110" s="34"/>
      <c r="D110" s="3"/>
      <c r="E110" s="28"/>
      <c r="F110" s="28"/>
      <c r="G110" s="28"/>
      <c r="H110" s="51"/>
      <c r="I110" s="3"/>
      <c r="J110" s="4"/>
      <c r="K110" s="4"/>
      <c r="L110" s="28"/>
      <c r="M110" s="51"/>
      <c r="N110" s="3"/>
      <c r="O110" s="4"/>
      <c r="P110" s="28"/>
      <c r="Q110" s="28"/>
      <c r="R110" s="49"/>
      <c r="S110" s="3"/>
      <c r="T110" s="4"/>
      <c r="U110" s="4"/>
      <c r="V110" s="28"/>
      <c r="W110" s="41"/>
      <c r="X110" s="48"/>
    </row>
    <row r="111" spans="3:26">
      <c r="C111" s="34"/>
      <c r="D111" s="3"/>
      <c r="E111" s="28"/>
      <c r="F111" s="28"/>
      <c r="G111" s="28"/>
      <c r="H111" s="51"/>
      <c r="I111" s="3"/>
      <c r="J111" s="4"/>
      <c r="K111" s="4"/>
      <c r="L111" s="28"/>
      <c r="M111" s="51"/>
      <c r="N111" s="3"/>
      <c r="O111" s="4"/>
      <c r="P111" s="28"/>
      <c r="Q111" s="28"/>
      <c r="R111" s="49"/>
      <c r="S111" s="3"/>
      <c r="T111" s="4"/>
      <c r="U111" s="4"/>
      <c r="V111" s="28"/>
      <c r="W111" s="41"/>
      <c r="X111" s="48"/>
    </row>
    <row r="112" spans="3:26">
      <c r="C112" s="39"/>
      <c r="D112" s="39"/>
      <c r="E112" s="39"/>
      <c r="F112" s="39"/>
      <c r="G112" s="39"/>
      <c r="H112" s="39"/>
      <c r="Q112" s="45"/>
      <c r="R112" s="39"/>
      <c r="S112" s="39"/>
      <c r="T112" s="39"/>
      <c r="U112" s="39"/>
      <c r="V112" s="39"/>
      <c r="W112" s="39"/>
      <c r="X112" s="39"/>
    </row>
    <row r="113" spans="3:30">
      <c r="C113" s="39"/>
      <c r="D113" s="39"/>
      <c r="E113" s="39"/>
      <c r="F113" s="39"/>
      <c r="G113" s="39"/>
      <c r="H113" s="39"/>
      <c r="Q113" s="45"/>
      <c r="R113" s="39"/>
      <c r="S113" s="39"/>
      <c r="T113" s="39"/>
      <c r="U113" s="39"/>
      <c r="V113" s="39"/>
      <c r="W113" s="39"/>
      <c r="X113" s="39"/>
    </row>
    <row r="114" spans="3:30">
      <c r="C114" s="39"/>
      <c r="D114" s="39"/>
      <c r="E114" s="39"/>
      <c r="F114" s="39"/>
      <c r="G114" s="39"/>
      <c r="H114" s="39"/>
      <c r="Q114" s="45"/>
      <c r="R114" s="39"/>
      <c r="S114" s="39"/>
      <c r="T114" s="39"/>
      <c r="U114" s="39"/>
      <c r="V114" s="39"/>
      <c r="W114" s="39"/>
      <c r="X114" s="39"/>
    </row>
    <row r="115" spans="3:30">
      <c r="C115" s="39"/>
      <c r="D115" s="39"/>
      <c r="E115" s="39"/>
      <c r="F115" s="39"/>
      <c r="G115" s="39"/>
      <c r="H115" s="39"/>
      <c r="Q115" s="45"/>
      <c r="R115" s="39"/>
      <c r="S115" s="39"/>
      <c r="T115" s="39"/>
      <c r="U115" s="39"/>
      <c r="V115" s="39"/>
      <c r="W115" s="39"/>
      <c r="X115" s="39"/>
    </row>
    <row r="116" spans="3:30">
      <c r="C116" s="39"/>
      <c r="D116" s="39"/>
      <c r="E116" s="39"/>
      <c r="F116" s="39"/>
      <c r="G116" s="39"/>
      <c r="H116" s="39"/>
      <c r="Q116" s="45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</row>
    <row r="117" spans="3:30">
      <c r="C117" s="39"/>
      <c r="D117" s="39"/>
      <c r="E117" s="39"/>
      <c r="F117" s="39"/>
      <c r="G117" s="39"/>
      <c r="H117" s="39"/>
      <c r="Q117" s="45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</row>
    <row r="118" spans="3:30">
      <c r="C118" s="39"/>
      <c r="D118" s="39"/>
      <c r="E118" s="39"/>
      <c r="F118" s="39"/>
      <c r="G118" s="39"/>
      <c r="H118" s="39"/>
      <c r="Q118" s="40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</row>
    <row r="119" spans="3:30">
      <c r="C119" s="39"/>
      <c r="D119" s="39"/>
      <c r="E119" s="39"/>
      <c r="F119" s="39"/>
      <c r="G119" s="39"/>
      <c r="H119" s="39"/>
      <c r="Q119" s="40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</row>
    <row r="120" spans="3:30">
      <c r="C120" s="39"/>
      <c r="D120" s="39"/>
      <c r="E120" s="39"/>
      <c r="F120" s="39"/>
      <c r="G120" s="39"/>
      <c r="H120" s="39"/>
      <c r="Q120" s="40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</row>
    <row r="121" spans="3:30">
      <c r="C121" s="39"/>
      <c r="D121" s="39"/>
      <c r="E121" s="39"/>
      <c r="F121" s="39"/>
      <c r="G121" s="39"/>
      <c r="H121" s="39"/>
      <c r="Q121" s="40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</row>
    <row r="122" spans="3:30">
      <c r="C122" s="39"/>
      <c r="D122" s="39"/>
      <c r="E122" s="39"/>
      <c r="F122" s="39"/>
      <c r="G122" s="39"/>
      <c r="H122" s="39"/>
      <c r="Q122" s="40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</row>
    <row r="123" spans="3:30">
      <c r="C123" s="39"/>
      <c r="D123" s="39"/>
      <c r="E123" s="39"/>
      <c r="F123" s="39"/>
      <c r="G123" s="39"/>
      <c r="H123" s="39"/>
      <c r="Q123" s="40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</row>
    <row r="124" spans="3:30">
      <c r="C124" s="39"/>
      <c r="D124" s="39"/>
      <c r="E124" s="39"/>
      <c r="F124" s="39"/>
      <c r="G124" s="39"/>
      <c r="H124" s="39"/>
      <c r="Q124" s="40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</row>
    <row r="125" spans="3:30">
      <c r="C125" s="39"/>
      <c r="D125" s="39"/>
      <c r="E125" s="39"/>
      <c r="F125" s="39"/>
      <c r="G125" s="39"/>
      <c r="H125" s="39"/>
      <c r="Q125" s="40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</row>
    <row r="126" spans="3:30">
      <c r="C126" s="39"/>
      <c r="D126" s="39"/>
      <c r="E126" s="39"/>
      <c r="F126" s="39"/>
      <c r="G126" s="39"/>
      <c r="H126" s="39"/>
    </row>
    <row r="127" spans="3:30">
      <c r="C127" s="39"/>
      <c r="D127" s="39"/>
      <c r="E127" s="39"/>
      <c r="F127" s="39"/>
      <c r="G127" s="39"/>
      <c r="H127" s="39"/>
    </row>
    <row r="128" spans="3:30">
      <c r="C128" s="39"/>
      <c r="D128" s="39"/>
      <c r="E128" s="39"/>
      <c r="F128" s="39"/>
      <c r="G128" s="39"/>
      <c r="H128" s="39"/>
    </row>
  </sheetData>
  <mergeCells count="35">
    <mergeCell ref="M97:N97"/>
    <mergeCell ref="C97:D97"/>
    <mergeCell ref="H97:I97"/>
    <mergeCell ref="R97:S97"/>
    <mergeCell ref="A5:A6"/>
    <mergeCell ref="B5:B6"/>
    <mergeCell ref="C5:D6"/>
    <mergeCell ref="E5:E6"/>
    <mergeCell ref="F5:F6"/>
    <mergeCell ref="E2:F2"/>
    <mergeCell ref="E3:F3"/>
    <mergeCell ref="O5:O6"/>
    <mergeCell ref="G5:G6"/>
    <mergeCell ref="H5:I6"/>
    <mergeCell ref="J5:J6"/>
    <mergeCell ref="K5:K6"/>
    <mergeCell ref="L5:L6"/>
    <mergeCell ref="M5:N6"/>
    <mergeCell ref="G2:H2"/>
    <mergeCell ref="G3:H3"/>
    <mergeCell ref="AA5:AA6"/>
    <mergeCell ref="P5:P6"/>
    <mergeCell ref="Q5:Q6"/>
    <mergeCell ref="T5:T6"/>
    <mergeCell ref="AF4:AF5"/>
    <mergeCell ref="AE5:AE6"/>
    <mergeCell ref="AD4:AD6"/>
    <mergeCell ref="Y5:Y6"/>
    <mergeCell ref="AB5:AB6"/>
    <mergeCell ref="AC5:AC6"/>
    <mergeCell ref="Z5:Z6"/>
    <mergeCell ref="W5:X6"/>
    <mergeCell ref="V5:V6"/>
    <mergeCell ref="R5:S6"/>
    <mergeCell ref="U5:U6"/>
  </mergeCells>
  <phoneticPr fontId="35" type="noConversion"/>
  <pageMargins left="0.7086111307144165" right="0.7086111307144165" top="0.74750000238418579" bottom="0.74750000238418579" header="0.31486111879348755" footer="0.31486111879348755"/>
  <pageSetup paperSize="8" scale="27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F0"/>
  </sheetPr>
  <dimension ref="A1:CN634"/>
  <sheetViews>
    <sheetView showGridLines="0" view="pageBreakPreview" topLeftCell="A19" zoomScale="10" zoomScaleNormal="25" zoomScaleSheetLayoutView="10" workbookViewId="0">
      <selection activeCell="U114" sqref="U114"/>
    </sheetView>
  </sheetViews>
  <sheetFormatPr defaultColWidth="9" defaultRowHeight="16.5"/>
  <cols>
    <col min="2" max="2" width="11.625" style="1" customWidth="1"/>
    <col min="3" max="3" width="31" bestFit="1" customWidth="1"/>
    <col min="4" max="4" width="11.625" style="204" customWidth="1"/>
    <col min="6" max="6" width="11.625" style="1" customWidth="1"/>
    <col min="7" max="7" width="31" bestFit="1" customWidth="1"/>
    <col min="8" max="8" width="11.625" style="204" customWidth="1"/>
    <col min="10" max="10" width="11.625" style="1" customWidth="1"/>
    <col min="11" max="11" width="31" bestFit="1" customWidth="1"/>
    <col min="12" max="12" width="11.625" style="204" customWidth="1"/>
    <col min="16" max="16" width="11.625" style="1" customWidth="1"/>
    <col min="17" max="17" width="31" bestFit="1" customWidth="1"/>
    <col min="18" max="18" width="11.625" style="204" customWidth="1"/>
    <col min="19" max="19" width="9" customWidth="1"/>
    <col min="20" max="20" width="12.625" style="1" customWidth="1"/>
    <col min="21" max="21" width="31" bestFit="1" customWidth="1"/>
    <col min="22" max="22" width="11.625" style="204" customWidth="1"/>
    <col min="23" max="23" width="9" bestFit="1" customWidth="1"/>
    <col min="24" max="24" width="11.625" style="1" customWidth="1"/>
    <col min="25" max="25" width="31" bestFit="1" customWidth="1"/>
    <col min="26" max="26" width="11.625" style="204" customWidth="1"/>
    <col min="33" max="33" width="11.625" style="1" customWidth="1"/>
    <col min="34" max="34" width="31" bestFit="1" customWidth="1"/>
    <col min="35" max="35" width="11.625" style="204" customWidth="1"/>
    <col min="37" max="37" width="11.625" style="1" customWidth="1"/>
    <col min="38" max="38" width="31" bestFit="1" customWidth="1"/>
    <col min="39" max="39" width="11" style="204" customWidth="1"/>
    <col min="41" max="41" width="11.625" style="1" customWidth="1"/>
    <col min="42" max="42" width="31" bestFit="1" customWidth="1"/>
    <col min="43" max="43" width="11.625" style="204" customWidth="1"/>
    <col min="45" max="46" width="9" customWidth="1"/>
    <col min="47" max="47" width="11.625" style="1" customWidth="1"/>
    <col min="48" max="48" width="31" bestFit="1" customWidth="1"/>
    <col min="49" max="49" width="11.625" style="204" customWidth="1"/>
    <col min="51" max="51" width="11.625" style="1" customWidth="1"/>
    <col min="52" max="52" width="31" customWidth="1"/>
    <col min="53" max="53" width="11.625" style="204" customWidth="1"/>
    <col min="55" max="55" width="11.625" style="1" customWidth="1"/>
    <col min="56" max="56" width="31" bestFit="1" customWidth="1"/>
    <col min="57" max="57" width="11.625" style="204" customWidth="1"/>
    <col min="58" max="58" width="9" style="204"/>
    <col min="64" max="64" width="11.625" style="1" customWidth="1"/>
    <col min="65" max="65" width="31" bestFit="1" customWidth="1"/>
    <col min="66" max="66" width="11.625" style="1" customWidth="1"/>
    <col min="68" max="68" width="11.625" style="1" customWidth="1"/>
    <col min="69" max="69" width="31" customWidth="1"/>
    <col min="70" max="70" width="11.625" style="1" customWidth="1"/>
    <col min="74" max="74" width="11.625" style="1" customWidth="1"/>
    <col min="75" max="75" width="31" bestFit="1" customWidth="1"/>
    <col min="76" max="76" width="11.625" style="1" customWidth="1"/>
    <col min="78" max="78" width="11.625" style="1" customWidth="1"/>
    <col min="79" max="79" width="31" bestFit="1" customWidth="1"/>
    <col min="80" max="80" width="11.625" style="1" customWidth="1"/>
    <col min="84" max="84" width="9" style="5"/>
    <col min="85" max="85" width="34" style="5" customWidth="1"/>
    <col min="86" max="86" width="9" style="5"/>
    <col min="90" max="90" width="22" customWidth="1"/>
    <col min="91" max="91" width="10.375" customWidth="1"/>
  </cols>
  <sheetData>
    <row r="1" spans="2:80">
      <c r="AU1"/>
      <c r="BC1"/>
    </row>
    <row r="2" spans="2:80">
      <c r="AU2"/>
      <c r="BC2"/>
    </row>
    <row r="3" spans="2:80">
      <c r="AU3"/>
      <c r="BC3"/>
    </row>
    <row r="4" spans="2:80">
      <c r="AU4"/>
      <c r="BC4"/>
    </row>
    <row r="5" spans="2:80" ht="20.25">
      <c r="P5" s="54"/>
      <c r="Q5" s="55">
        <f>'NRB 공장 내부 배치도'!G5</f>
        <v>0</v>
      </c>
      <c r="R5" s="199"/>
      <c r="T5" s="54"/>
      <c r="U5" s="55">
        <f>'NRB 공장 내부 배치도'!R3</f>
        <v>0</v>
      </c>
      <c r="V5" s="199"/>
      <c r="X5" s="54"/>
      <c r="Y5" s="55">
        <f>'NRB 공장 내부 배치도'!S3</f>
        <v>0</v>
      </c>
      <c r="Z5" s="199"/>
      <c r="AU5"/>
      <c r="BC5"/>
    </row>
    <row r="6" spans="2:80" ht="20.25">
      <c r="B6" s="54"/>
      <c r="C6" s="55">
        <f>'NRB 공장 내부 배치도'!C4</f>
        <v>0</v>
      </c>
      <c r="D6" s="199"/>
      <c r="F6" s="54"/>
      <c r="G6" s="55">
        <f>'NRB 공장 내부 배치도'!D4</f>
        <v>0</v>
      </c>
      <c r="H6" s="199"/>
      <c r="J6" s="54"/>
      <c r="K6" s="55">
        <f>'NRB 공장 내부 배치도'!E4</f>
        <v>0</v>
      </c>
      <c r="L6" s="199"/>
      <c r="P6" s="34">
        <v>1</v>
      </c>
      <c r="Q6" s="252"/>
      <c r="R6" s="253"/>
      <c r="T6" s="34">
        <v>1</v>
      </c>
      <c r="U6" s="2"/>
      <c r="V6" s="205"/>
      <c r="X6" s="34">
        <v>1</v>
      </c>
      <c r="Y6" s="2"/>
      <c r="Z6" s="205"/>
      <c r="AU6"/>
      <c r="BC6"/>
      <c r="BH6" s="5"/>
      <c r="BL6" s="54"/>
      <c r="BM6" s="55">
        <f>'NRB 공장 내부 배치도'!U4</f>
        <v>0</v>
      </c>
      <c r="BN6" s="56"/>
      <c r="BP6" s="54"/>
      <c r="BQ6" s="55">
        <f>'NRB 공장 내부 배치도'!V4</f>
        <v>0</v>
      </c>
      <c r="BR6" s="56"/>
      <c r="BV6" s="54"/>
      <c r="BW6" s="55">
        <f>'NRB 공장 내부 배치도'!X4</f>
        <v>0</v>
      </c>
      <c r="BX6" s="56"/>
      <c r="BZ6" s="54"/>
      <c r="CA6" s="55">
        <f>'NRB 공장 내부 배치도'!Y4</f>
        <v>0</v>
      </c>
      <c r="CB6" s="56"/>
    </row>
    <row r="7" spans="2:80">
      <c r="B7" s="34">
        <v>1</v>
      </c>
      <c r="C7" s="252"/>
      <c r="D7" s="253"/>
      <c r="F7" s="34">
        <v>1</v>
      </c>
      <c r="G7" s="2"/>
      <c r="H7" s="205"/>
      <c r="J7" s="34">
        <v>1</v>
      </c>
      <c r="K7" s="252"/>
      <c r="L7" s="253"/>
      <c r="P7" s="34">
        <v>2</v>
      </c>
      <c r="Q7" s="252"/>
      <c r="R7" s="253"/>
      <c r="T7" s="34">
        <v>2</v>
      </c>
      <c r="U7" s="2"/>
      <c r="V7" s="205"/>
      <c r="X7" s="34">
        <v>2</v>
      </c>
      <c r="Y7" s="2"/>
      <c r="Z7" s="205"/>
      <c r="AC7" s="5"/>
      <c r="AU7"/>
      <c r="BC7"/>
      <c r="BH7" s="5"/>
      <c r="BL7" s="34">
        <v>1</v>
      </c>
      <c r="BM7" s="3"/>
      <c r="BN7" s="77"/>
      <c r="BP7" s="34">
        <v>1</v>
      </c>
      <c r="BQ7" s="3"/>
      <c r="BR7" s="77"/>
      <c r="BV7" s="34">
        <v>1</v>
      </c>
      <c r="BW7" s="3"/>
      <c r="BX7" s="77"/>
      <c r="BZ7" s="34">
        <v>1</v>
      </c>
      <c r="CA7" s="3"/>
      <c r="CB7" s="77"/>
    </row>
    <row r="8" spans="2:80">
      <c r="B8" s="34">
        <v>2</v>
      </c>
      <c r="C8" s="252"/>
      <c r="D8" s="253"/>
      <c r="F8" s="34">
        <v>2</v>
      </c>
      <c r="G8" s="2"/>
      <c r="H8" s="205"/>
      <c r="J8" s="34">
        <v>2</v>
      </c>
      <c r="K8" s="252"/>
      <c r="L8" s="253"/>
      <c r="P8" s="34">
        <v>3</v>
      </c>
      <c r="Q8" s="252"/>
      <c r="R8" s="253"/>
      <c r="T8" s="34">
        <v>3</v>
      </c>
      <c r="U8" s="2"/>
      <c r="V8" s="205"/>
      <c r="X8" s="34">
        <v>3</v>
      </c>
      <c r="Y8" s="2"/>
      <c r="Z8" s="205"/>
      <c r="AC8" s="5"/>
      <c r="AU8"/>
      <c r="BC8"/>
      <c r="BH8" s="5"/>
      <c r="BL8" s="34">
        <v>2</v>
      </c>
      <c r="BM8" s="3"/>
      <c r="BN8" s="77"/>
      <c r="BP8" s="34">
        <v>2</v>
      </c>
      <c r="BQ8" s="3"/>
      <c r="BR8" s="77"/>
      <c r="BV8" s="34">
        <v>2</v>
      </c>
      <c r="BW8" s="3"/>
      <c r="BX8" s="77"/>
      <c r="BZ8" s="34">
        <v>2</v>
      </c>
      <c r="CA8" s="3"/>
      <c r="CB8" s="77"/>
    </row>
    <row r="9" spans="2:80">
      <c r="B9" s="34">
        <v>3</v>
      </c>
      <c r="C9" s="252"/>
      <c r="D9" s="253"/>
      <c r="F9" s="34">
        <v>3</v>
      </c>
      <c r="G9" s="2"/>
      <c r="H9" s="205"/>
      <c r="J9" s="34">
        <v>3</v>
      </c>
      <c r="K9" s="252"/>
      <c r="L9" s="253"/>
      <c r="P9" s="34">
        <v>4</v>
      </c>
      <c r="Q9" s="252"/>
      <c r="R9" s="253"/>
      <c r="T9" s="34">
        <v>4</v>
      </c>
      <c r="U9" s="2"/>
      <c r="V9" s="205"/>
      <c r="X9" s="34">
        <v>4</v>
      </c>
      <c r="Y9" s="2"/>
      <c r="Z9" s="205"/>
      <c r="AC9" s="5"/>
      <c r="AU9"/>
      <c r="BC9"/>
      <c r="BH9" s="5"/>
      <c r="BL9" s="34">
        <v>3</v>
      </c>
      <c r="BM9" s="3"/>
      <c r="BN9" s="77"/>
      <c r="BP9" s="34">
        <v>3</v>
      </c>
      <c r="BQ9" s="3"/>
      <c r="BR9" s="77"/>
      <c r="BV9" s="34">
        <v>3</v>
      </c>
      <c r="BW9" s="3"/>
      <c r="BX9" s="77"/>
      <c r="BZ9" s="34">
        <v>3</v>
      </c>
      <c r="CA9" s="3"/>
      <c r="CB9" s="77"/>
    </row>
    <row r="10" spans="2:80">
      <c r="B10" s="34">
        <v>4</v>
      </c>
      <c r="C10" s="252"/>
      <c r="D10" s="253"/>
      <c r="F10" s="34">
        <v>4</v>
      </c>
      <c r="G10" s="2"/>
      <c r="H10" s="205"/>
      <c r="J10" s="34">
        <v>4</v>
      </c>
      <c r="K10" s="252"/>
      <c r="L10" s="253"/>
      <c r="P10" s="34">
        <v>5</v>
      </c>
      <c r="Q10" s="252"/>
      <c r="R10" s="253"/>
      <c r="T10" s="34">
        <v>5</v>
      </c>
      <c r="U10" s="2"/>
      <c r="V10" s="205"/>
      <c r="X10" s="34">
        <v>5</v>
      </c>
      <c r="Y10" s="2"/>
      <c r="Z10" s="205"/>
      <c r="AC10" s="5"/>
      <c r="AU10"/>
      <c r="BC10"/>
      <c r="BH10" s="5"/>
      <c r="BL10" s="34">
        <v>4</v>
      </c>
      <c r="BM10" s="3"/>
      <c r="BN10" s="77"/>
      <c r="BP10" s="34">
        <v>4</v>
      </c>
      <c r="BQ10" s="3"/>
      <c r="BR10" s="77"/>
      <c r="BV10" s="34">
        <v>4</v>
      </c>
      <c r="BW10" s="3"/>
      <c r="BX10" s="77"/>
      <c r="BZ10" s="34">
        <v>4</v>
      </c>
      <c r="CA10" s="3"/>
      <c r="CB10" s="77"/>
    </row>
    <row r="11" spans="2:80">
      <c r="B11" s="34">
        <v>5</v>
      </c>
      <c r="C11" s="252"/>
      <c r="D11" s="253"/>
      <c r="F11" s="34">
        <v>5</v>
      </c>
      <c r="G11" s="2"/>
      <c r="H11" s="205"/>
      <c r="J11" s="34">
        <v>5</v>
      </c>
      <c r="K11" s="252"/>
      <c r="L11" s="253"/>
      <c r="P11" s="34">
        <v>6</v>
      </c>
      <c r="Q11" s="252"/>
      <c r="R11" s="253"/>
      <c r="T11" s="34">
        <v>6</v>
      </c>
      <c r="U11" s="2"/>
      <c r="V11" s="205"/>
      <c r="X11" s="34">
        <v>6</v>
      </c>
      <c r="Y11" s="2"/>
      <c r="Z11" s="205"/>
      <c r="AC11" s="5"/>
      <c r="AU11"/>
      <c r="BC11"/>
      <c r="BH11" s="5"/>
      <c r="BL11" s="34">
        <v>5</v>
      </c>
      <c r="BM11" s="3"/>
      <c r="BN11" s="77"/>
      <c r="BP11" s="34">
        <v>5</v>
      </c>
      <c r="BQ11" s="3"/>
      <c r="BR11" s="77"/>
      <c r="BV11" s="34">
        <v>5</v>
      </c>
      <c r="BW11" s="3"/>
      <c r="BX11" s="77"/>
      <c r="BZ11" s="34">
        <v>5</v>
      </c>
      <c r="CA11" s="3"/>
      <c r="CB11" s="77"/>
    </row>
    <row r="12" spans="2:80">
      <c r="B12" s="34">
        <v>6</v>
      </c>
      <c r="C12" s="252"/>
      <c r="D12" s="253"/>
      <c r="F12" s="34">
        <v>6</v>
      </c>
      <c r="G12" s="2"/>
      <c r="H12" s="205"/>
      <c r="J12" s="34">
        <v>6</v>
      </c>
      <c r="K12" s="252"/>
      <c r="L12" s="253"/>
      <c r="P12" s="34">
        <v>7</v>
      </c>
      <c r="Q12" s="252"/>
      <c r="R12" s="253"/>
      <c r="T12" s="34">
        <v>7</v>
      </c>
      <c r="U12" s="2"/>
      <c r="V12" s="205"/>
      <c r="X12" s="34">
        <v>7</v>
      </c>
      <c r="Y12" s="2"/>
      <c r="Z12" s="205"/>
      <c r="AC12" s="5"/>
      <c r="AU12"/>
      <c r="BC12"/>
      <c r="BH12" s="5"/>
      <c r="BL12" s="34">
        <v>6</v>
      </c>
      <c r="BM12" s="3"/>
      <c r="BN12" s="77"/>
      <c r="BP12" s="34">
        <v>6</v>
      </c>
      <c r="BQ12" s="3"/>
      <c r="BR12" s="77"/>
      <c r="BV12" s="34">
        <v>6</v>
      </c>
      <c r="BW12" s="3"/>
      <c r="BX12" s="77"/>
      <c r="BZ12" s="34">
        <v>6</v>
      </c>
      <c r="CA12" s="3"/>
      <c r="CB12" s="77"/>
    </row>
    <row r="13" spans="2:80">
      <c r="B13" s="34">
        <v>7</v>
      </c>
      <c r="C13" s="252"/>
      <c r="D13" s="253"/>
      <c r="F13" s="34">
        <v>7</v>
      </c>
      <c r="G13" s="2"/>
      <c r="H13" s="205"/>
      <c r="J13" s="34">
        <v>7</v>
      </c>
      <c r="K13" s="252"/>
      <c r="L13" s="253"/>
      <c r="P13" s="34">
        <v>8</v>
      </c>
      <c r="Q13" s="252"/>
      <c r="R13" s="253"/>
      <c r="T13" s="34">
        <v>8</v>
      </c>
      <c r="U13" s="2"/>
      <c r="V13" s="205"/>
      <c r="X13" s="34">
        <v>8</v>
      </c>
      <c r="Y13" s="2"/>
      <c r="Z13" s="205"/>
      <c r="AC13" s="5"/>
      <c r="AU13"/>
      <c r="BC13"/>
      <c r="BH13" s="5"/>
      <c r="BL13" s="34">
        <v>7</v>
      </c>
      <c r="BM13" s="3"/>
      <c r="BN13" s="77"/>
      <c r="BP13" s="34">
        <v>7</v>
      </c>
      <c r="BQ13" s="3"/>
      <c r="BR13" s="77"/>
      <c r="BV13" s="34">
        <v>7</v>
      </c>
      <c r="BW13" s="3"/>
      <c r="BX13" s="77"/>
      <c r="BZ13" s="34">
        <v>7</v>
      </c>
      <c r="CA13" s="3"/>
      <c r="CB13" s="77"/>
    </row>
    <row r="14" spans="2:80">
      <c r="B14" s="34">
        <v>8</v>
      </c>
      <c r="C14" s="252"/>
      <c r="D14" s="253"/>
      <c r="F14" s="34">
        <v>8</v>
      </c>
      <c r="G14" s="2"/>
      <c r="H14" s="205"/>
      <c r="J14" s="34">
        <v>8</v>
      </c>
      <c r="K14" s="252"/>
      <c r="L14" s="253"/>
      <c r="P14" s="34">
        <v>9</v>
      </c>
      <c r="Q14" s="252"/>
      <c r="R14" s="253"/>
      <c r="T14" s="34">
        <v>9</v>
      </c>
      <c r="U14" s="2"/>
      <c r="V14" s="205"/>
      <c r="X14" s="34">
        <v>9</v>
      </c>
      <c r="Y14" s="2"/>
      <c r="Z14" s="205"/>
      <c r="AC14" s="5"/>
      <c r="AU14"/>
      <c r="BC14"/>
      <c r="BH14" s="5"/>
      <c r="BL14" s="34">
        <v>8</v>
      </c>
      <c r="BM14" s="3"/>
      <c r="BN14" s="77"/>
      <c r="BP14" s="34">
        <v>8</v>
      </c>
      <c r="BQ14" s="3"/>
      <c r="BR14" s="77"/>
      <c r="BV14" s="34">
        <v>8</v>
      </c>
      <c r="BW14" s="3"/>
      <c r="BX14" s="77"/>
      <c r="BZ14" s="34">
        <v>8</v>
      </c>
      <c r="CA14" s="3"/>
      <c r="CB14" s="77"/>
    </row>
    <row r="15" spans="2:80">
      <c r="B15" s="34">
        <v>9</v>
      </c>
      <c r="C15" s="252"/>
      <c r="D15" s="253"/>
      <c r="F15" s="34">
        <v>9</v>
      </c>
      <c r="G15" s="2"/>
      <c r="H15" s="205"/>
      <c r="J15" s="34">
        <v>9</v>
      </c>
      <c r="K15" s="252"/>
      <c r="L15" s="253"/>
      <c r="P15" s="34">
        <v>10</v>
      </c>
      <c r="Q15" s="252"/>
      <c r="R15" s="253"/>
      <c r="T15" s="34">
        <v>10</v>
      </c>
      <c r="U15" s="2"/>
      <c r="V15" s="205"/>
      <c r="X15" s="34">
        <v>10</v>
      </c>
      <c r="Y15" s="2"/>
      <c r="Z15" s="205"/>
      <c r="AC15" s="5"/>
      <c r="AU15"/>
      <c r="BC15"/>
      <c r="BH15" s="5"/>
      <c r="BL15" s="34">
        <v>9</v>
      </c>
      <c r="BM15" s="3"/>
      <c r="BN15" s="77"/>
      <c r="BP15" s="34">
        <v>9</v>
      </c>
      <c r="BQ15" s="3"/>
      <c r="BR15" s="77"/>
      <c r="BV15" s="34">
        <v>9</v>
      </c>
      <c r="BW15" s="3"/>
      <c r="BX15" s="77"/>
      <c r="BZ15" s="34">
        <v>9</v>
      </c>
      <c r="CA15" s="3"/>
      <c r="CB15" s="77"/>
    </row>
    <row r="16" spans="2:80">
      <c r="B16" s="34">
        <v>10</v>
      </c>
      <c r="C16" s="252"/>
      <c r="D16" s="253"/>
      <c r="F16" s="34">
        <v>10</v>
      </c>
      <c r="G16" s="2"/>
      <c r="H16" s="205"/>
      <c r="J16" s="34">
        <v>10</v>
      </c>
      <c r="K16" s="252"/>
      <c r="L16" s="253"/>
      <c r="P16" s="34">
        <v>11</v>
      </c>
      <c r="Q16" s="252"/>
      <c r="R16" s="253"/>
      <c r="T16" s="34">
        <v>11</v>
      </c>
      <c r="U16" s="2"/>
      <c r="V16" s="205"/>
      <c r="X16" s="34">
        <v>11</v>
      </c>
      <c r="Y16" s="2"/>
      <c r="Z16" s="205"/>
      <c r="AC16" s="5"/>
      <c r="AF16" s="1"/>
      <c r="AU16"/>
      <c r="BC16"/>
      <c r="BH16" s="5"/>
      <c r="BL16" s="34">
        <v>10</v>
      </c>
      <c r="BM16" s="3"/>
      <c r="BN16" s="77"/>
      <c r="BP16" s="34">
        <v>10</v>
      </c>
      <c r="BQ16" s="3"/>
      <c r="BR16" s="77"/>
      <c r="BV16" s="34">
        <v>10</v>
      </c>
      <c r="BW16" s="3"/>
      <c r="BX16" s="77"/>
      <c r="BZ16" s="34">
        <v>10</v>
      </c>
      <c r="CA16" s="3"/>
      <c r="CB16" s="77"/>
    </row>
    <row r="17" spans="2:80">
      <c r="B17" s="34">
        <v>11</v>
      </c>
      <c r="C17" s="252"/>
      <c r="D17" s="253"/>
      <c r="F17" s="34">
        <v>11</v>
      </c>
      <c r="G17" s="2"/>
      <c r="H17" s="205"/>
      <c r="J17" s="34">
        <v>11</v>
      </c>
      <c r="K17" s="252"/>
      <c r="L17" s="253"/>
      <c r="P17" s="34">
        <v>12</v>
      </c>
      <c r="Q17" s="252"/>
      <c r="R17" s="253"/>
      <c r="T17" s="34">
        <v>12</v>
      </c>
      <c r="U17" s="2"/>
      <c r="V17" s="205"/>
      <c r="X17" s="34">
        <v>12</v>
      </c>
      <c r="Y17" s="2"/>
      <c r="Z17" s="205"/>
      <c r="AC17" s="5"/>
      <c r="AU17"/>
      <c r="BC17"/>
      <c r="BH17" s="5"/>
      <c r="BL17" s="34">
        <v>11</v>
      </c>
      <c r="BM17" s="3"/>
      <c r="BN17" s="4"/>
      <c r="BP17" s="34">
        <v>11</v>
      </c>
      <c r="BQ17" s="3"/>
      <c r="BR17" s="4"/>
      <c r="BV17" s="34">
        <v>11</v>
      </c>
      <c r="BW17" s="3"/>
      <c r="BX17" s="77"/>
      <c r="BZ17" s="34">
        <v>11</v>
      </c>
      <c r="CA17" s="3"/>
      <c r="CB17" s="4"/>
    </row>
    <row r="18" spans="2:80">
      <c r="B18" s="34">
        <v>12</v>
      </c>
      <c r="C18" s="252"/>
      <c r="D18" s="253"/>
      <c r="F18" s="34">
        <v>12</v>
      </c>
      <c r="G18" s="2"/>
      <c r="H18" s="205"/>
      <c r="J18" s="34">
        <v>12</v>
      </c>
      <c r="K18" s="252"/>
      <c r="L18" s="253"/>
      <c r="P18" s="34">
        <v>13</v>
      </c>
      <c r="Q18" s="252"/>
      <c r="R18" s="253"/>
      <c r="T18" s="34">
        <v>13</v>
      </c>
      <c r="U18" s="2"/>
      <c r="V18" s="205"/>
      <c r="X18" s="34">
        <v>13</v>
      </c>
      <c r="Y18" s="2"/>
      <c r="Z18" s="205"/>
      <c r="AC18" s="5"/>
      <c r="AU18"/>
      <c r="BC18"/>
      <c r="BH18" s="5"/>
      <c r="BL18" s="34">
        <v>12</v>
      </c>
      <c r="BM18" s="3"/>
      <c r="BN18" s="77"/>
      <c r="BP18" s="34">
        <v>12</v>
      </c>
      <c r="BQ18" s="3"/>
      <c r="BR18" s="77"/>
      <c r="BV18" s="34">
        <v>12</v>
      </c>
      <c r="BW18" s="3"/>
      <c r="BX18" s="77"/>
      <c r="BZ18" s="34">
        <v>12</v>
      </c>
      <c r="CA18" s="3"/>
      <c r="CB18" s="77"/>
    </row>
    <row r="19" spans="2:80">
      <c r="B19" s="34">
        <v>13</v>
      </c>
      <c r="C19" s="252"/>
      <c r="D19" s="253"/>
      <c r="F19" s="34">
        <v>13</v>
      </c>
      <c r="G19" s="2"/>
      <c r="H19" s="205"/>
      <c r="J19" s="34">
        <v>13</v>
      </c>
      <c r="K19" s="252"/>
      <c r="L19" s="253"/>
      <c r="P19" s="34">
        <v>14</v>
      </c>
      <c r="Q19" s="252"/>
      <c r="R19" s="253"/>
      <c r="T19" s="34">
        <v>14</v>
      </c>
      <c r="U19" s="2"/>
      <c r="V19" s="205"/>
      <c r="X19" s="34">
        <v>14</v>
      </c>
      <c r="Y19" s="2"/>
      <c r="Z19" s="205"/>
      <c r="AC19" s="5"/>
      <c r="AU19"/>
      <c r="BC19"/>
      <c r="BH19" s="5"/>
      <c r="BL19" s="34">
        <v>13</v>
      </c>
      <c r="BM19" s="3"/>
      <c r="BN19" s="77"/>
      <c r="BP19" s="34">
        <v>13</v>
      </c>
      <c r="BQ19" s="3"/>
      <c r="BR19" s="77"/>
      <c r="BV19" s="34">
        <v>13</v>
      </c>
      <c r="BW19" s="3"/>
      <c r="BX19" s="77"/>
      <c r="BZ19" s="34">
        <v>13</v>
      </c>
      <c r="CA19" s="3"/>
      <c r="CB19" s="77"/>
    </row>
    <row r="20" spans="2:80">
      <c r="B20" s="34">
        <v>14</v>
      </c>
      <c r="C20" s="252"/>
      <c r="D20" s="253"/>
      <c r="F20" s="34">
        <v>14</v>
      </c>
      <c r="G20" s="2"/>
      <c r="H20" s="205"/>
      <c r="J20" s="34">
        <v>14</v>
      </c>
      <c r="K20" s="252"/>
      <c r="L20" s="253"/>
      <c r="P20" s="34">
        <v>15</v>
      </c>
      <c r="Q20" s="252"/>
      <c r="R20" s="253"/>
      <c r="T20" s="34">
        <v>15</v>
      </c>
      <c r="U20" s="3"/>
      <c r="V20" s="77"/>
      <c r="X20" s="34">
        <v>15</v>
      </c>
      <c r="Y20" s="2"/>
      <c r="Z20" s="205"/>
      <c r="AC20" s="5"/>
      <c r="AU20"/>
      <c r="BC20"/>
      <c r="BH20" s="5"/>
      <c r="BL20" s="34">
        <v>14</v>
      </c>
      <c r="BM20" s="3"/>
      <c r="BN20" s="77"/>
      <c r="BP20" s="34">
        <v>14</v>
      </c>
      <c r="BQ20" s="3"/>
      <c r="BR20" s="77"/>
      <c r="BV20" s="34">
        <v>14</v>
      </c>
      <c r="BW20" s="3"/>
      <c r="BX20" s="77"/>
      <c r="BZ20" s="34">
        <v>14</v>
      </c>
      <c r="CA20" s="3"/>
      <c r="CB20" s="77"/>
    </row>
    <row r="21" spans="2:80">
      <c r="B21" s="34">
        <v>15</v>
      </c>
      <c r="C21" s="252"/>
      <c r="D21" s="253"/>
      <c r="F21" s="34">
        <v>15</v>
      </c>
      <c r="G21" s="3"/>
      <c r="H21" s="77"/>
      <c r="J21" s="34">
        <v>15</v>
      </c>
      <c r="K21" s="252"/>
      <c r="L21" s="253"/>
      <c r="P21" s="34">
        <v>16</v>
      </c>
      <c r="Q21" s="252"/>
      <c r="R21" s="253"/>
      <c r="T21" s="34">
        <v>16</v>
      </c>
      <c r="U21" s="3"/>
      <c r="V21" s="77"/>
      <c r="X21" s="34">
        <v>16</v>
      </c>
      <c r="Y21" s="3"/>
      <c r="Z21" s="77"/>
      <c r="AC21" s="5"/>
      <c r="AU21"/>
      <c r="BC21"/>
      <c r="BH21" s="5"/>
      <c r="BL21" s="34">
        <v>15</v>
      </c>
      <c r="BM21" s="3"/>
      <c r="BN21" s="77"/>
      <c r="BP21" s="34">
        <v>15</v>
      </c>
      <c r="BQ21" s="3"/>
      <c r="BR21" s="77"/>
      <c r="BV21" s="34">
        <v>15</v>
      </c>
      <c r="BW21" s="3"/>
      <c r="BX21" s="77"/>
      <c r="BZ21" s="34">
        <v>15</v>
      </c>
      <c r="CA21" s="3"/>
      <c r="CB21" s="77"/>
    </row>
    <row r="22" spans="2:80">
      <c r="B22" s="34">
        <v>16</v>
      </c>
      <c r="C22" s="252"/>
      <c r="D22" s="253"/>
      <c r="F22" s="34">
        <v>16</v>
      </c>
      <c r="G22" s="3"/>
      <c r="H22" s="77"/>
      <c r="J22" s="34">
        <v>16</v>
      </c>
      <c r="K22" s="252"/>
      <c r="L22" s="253"/>
      <c r="P22" s="34">
        <v>17</v>
      </c>
      <c r="Q22" s="252"/>
      <c r="R22" s="253"/>
      <c r="T22" s="34">
        <v>17</v>
      </c>
      <c r="U22" s="3"/>
      <c r="V22" s="77"/>
      <c r="X22" s="34">
        <v>17</v>
      </c>
      <c r="Y22" s="3"/>
      <c r="Z22" s="77"/>
      <c r="AC22" s="5"/>
      <c r="AU22"/>
      <c r="BC22"/>
      <c r="BH22" s="5"/>
      <c r="BL22" s="34">
        <v>16</v>
      </c>
      <c r="BM22" s="3"/>
      <c r="BN22" s="4"/>
      <c r="BP22" s="34">
        <v>16</v>
      </c>
      <c r="BQ22" s="3"/>
      <c r="BR22" s="4"/>
      <c r="BV22" s="34">
        <v>16</v>
      </c>
      <c r="BW22" s="3"/>
      <c r="BX22" s="4"/>
      <c r="BZ22" s="34">
        <v>16</v>
      </c>
      <c r="CA22" s="3"/>
      <c r="CB22" s="4"/>
    </row>
    <row r="23" spans="2:80">
      <c r="B23" s="34">
        <v>17</v>
      </c>
      <c r="C23" s="252"/>
      <c r="D23" s="253"/>
      <c r="F23" s="34">
        <v>17</v>
      </c>
      <c r="G23" s="3"/>
      <c r="H23" s="77"/>
      <c r="J23" s="34">
        <v>17</v>
      </c>
      <c r="K23" s="3"/>
      <c r="L23" s="77"/>
      <c r="P23" s="34">
        <v>18</v>
      </c>
      <c r="Q23" s="252"/>
      <c r="R23" s="253"/>
      <c r="T23" s="34">
        <v>18</v>
      </c>
      <c r="U23" s="3"/>
      <c r="V23" s="77"/>
      <c r="X23" s="34">
        <v>18</v>
      </c>
      <c r="Y23" s="3"/>
      <c r="Z23" s="77"/>
      <c r="AC23" s="5"/>
      <c r="AU23"/>
      <c r="BC23"/>
      <c r="BH23" s="5"/>
      <c r="BL23" s="34">
        <v>17</v>
      </c>
      <c r="BM23" s="3"/>
      <c r="BN23" s="77"/>
      <c r="BP23" s="34">
        <v>17</v>
      </c>
      <c r="BQ23" s="3"/>
      <c r="BR23" s="77"/>
      <c r="BV23" s="34">
        <v>17</v>
      </c>
      <c r="BW23" s="3"/>
      <c r="BX23" s="77"/>
      <c r="BZ23" s="34">
        <v>17</v>
      </c>
      <c r="CA23" s="3"/>
      <c r="CB23" s="77"/>
    </row>
    <row r="24" spans="2:80">
      <c r="B24" s="34">
        <v>18</v>
      </c>
      <c r="C24" s="252"/>
      <c r="D24" s="253"/>
      <c r="F24" s="34">
        <v>18</v>
      </c>
      <c r="G24" s="3"/>
      <c r="H24" s="77"/>
      <c r="J24" s="34">
        <v>18</v>
      </c>
      <c r="K24" s="3"/>
      <c r="L24" s="77"/>
      <c r="P24" s="34">
        <v>19</v>
      </c>
      <c r="Q24" s="2"/>
      <c r="R24" s="205"/>
      <c r="T24" s="34">
        <v>19</v>
      </c>
      <c r="U24" s="3"/>
      <c r="V24" s="77"/>
      <c r="X24" s="34">
        <v>19</v>
      </c>
      <c r="Y24" s="3"/>
      <c r="Z24" s="77"/>
      <c r="AC24" s="5"/>
      <c r="AU24"/>
      <c r="BC24"/>
      <c r="BH24" s="5"/>
      <c r="BL24" s="34">
        <v>18</v>
      </c>
      <c r="BM24" s="3"/>
      <c r="BN24" s="77"/>
      <c r="BP24" s="34">
        <v>18</v>
      </c>
      <c r="BQ24" s="3"/>
      <c r="BR24" s="77"/>
      <c r="BV24" s="34">
        <v>18</v>
      </c>
      <c r="BW24" s="3"/>
      <c r="BX24" s="77"/>
      <c r="BZ24" s="34">
        <v>18</v>
      </c>
      <c r="CA24" s="3"/>
      <c r="CB24" s="77"/>
    </row>
    <row r="25" spans="2:80">
      <c r="B25" s="34">
        <v>19</v>
      </c>
      <c r="C25" s="2"/>
      <c r="D25" s="205"/>
      <c r="F25" s="34">
        <v>19</v>
      </c>
      <c r="G25" s="3"/>
      <c r="H25" s="77"/>
      <c r="J25" s="34">
        <v>19</v>
      </c>
      <c r="K25" s="3"/>
      <c r="L25" s="77"/>
      <c r="P25" s="34">
        <v>20</v>
      </c>
      <c r="Q25" s="3"/>
      <c r="R25" s="77"/>
      <c r="T25" s="34">
        <v>20</v>
      </c>
      <c r="U25" s="3"/>
      <c r="V25" s="77"/>
      <c r="X25" s="34">
        <v>20</v>
      </c>
      <c r="Y25" s="3"/>
      <c r="Z25" s="77"/>
      <c r="AC25" s="5"/>
      <c r="AU25"/>
      <c r="BC25"/>
      <c r="BH25" s="5"/>
      <c r="BL25" s="34">
        <v>19</v>
      </c>
      <c r="BM25" s="3"/>
      <c r="BN25" s="4"/>
      <c r="BP25" s="34">
        <v>19</v>
      </c>
      <c r="BQ25" s="3"/>
      <c r="BR25" s="4"/>
      <c r="BV25" s="34">
        <v>19</v>
      </c>
      <c r="BW25" s="3"/>
      <c r="BX25" s="4"/>
      <c r="BZ25" s="34">
        <v>19</v>
      </c>
      <c r="CA25" s="3"/>
      <c r="CB25" s="4"/>
    </row>
    <row r="26" spans="2:80">
      <c r="B26" s="34">
        <v>20</v>
      </c>
      <c r="C26" s="3"/>
      <c r="D26" s="77"/>
      <c r="F26" s="34">
        <v>20</v>
      </c>
      <c r="G26" s="3"/>
      <c r="H26" s="77"/>
      <c r="J26" s="34">
        <v>20</v>
      </c>
      <c r="K26" s="3"/>
      <c r="L26" s="77"/>
      <c r="P26" s="34">
        <v>21</v>
      </c>
      <c r="Q26" s="3"/>
      <c r="R26" s="77"/>
      <c r="T26" s="34">
        <v>21</v>
      </c>
      <c r="U26" s="3"/>
      <c r="V26" s="77"/>
      <c r="X26" s="34">
        <v>21</v>
      </c>
      <c r="Y26" s="3"/>
      <c r="Z26" s="77"/>
      <c r="AC26" s="5"/>
      <c r="AU26"/>
      <c r="BC26"/>
      <c r="BH26" s="5"/>
      <c r="BL26" s="34">
        <v>20</v>
      </c>
      <c r="BM26" s="3"/>
      <c r="BN26" s="77"/>
      <c r="BP26" s="34">
        <v>20</v>
      </c>
      <c r="BQ26" s="3"/>
      <c r="BR26" s="77"/>
      <c r="BV26" s="34">
        <v>20</v>
      </c>
      <c r="BW26" s="3"/>
      <c r="BX26" s="77"/>
      <c r="BZ26" s="34">
        <v>20</v>
      </c>
      <c r="CA26" s="3"/>
      <c r="CB26" s="77"/>
    </row>
    <row r="27" spans="2:80">
      <c r="B27" s="34">
        <v>21</v>
      </c>
      <c r="C27" s="3"/>
      <c r="D27" s="77"/>
      <c r="F27" s="34">
        <v>21</v>
      </c>
      <c r="G27" s="3"/>
      <c r="H27" s="77"/>
      <c r="J27" s="34">
        <v>21</v>
      </c>
      <c r="K27" s="3"/>
      <c r="L27" s="77"/>
      <c r="P27" s="34">
        <v>22</v>
      </c>
      <c r="Q27" s="3"/>
      <c r="R27" s="77"/>
      <c r="T27" s="34">
        <v>22</v>
      </c>
      <c r="U27" s="3"/>
      <c r="V27" s="77"/>
      <c r="X27" s="34">
        <v>22</v>
      </c>
      <c r="Y27" s="3"/>
      <c r="Z27" s="77"/>
      <c r="AC27" s="5"/>
      <c r="AU27"/>
      <c r="BC27"/>
      <c r="BH27" s="5"/>
      <c r="BL27" s="34">
        <v>21</v>
      </c>
      <c r="BM27" s="3"/>
      <c r="BN27" s="4"/>
      <c r="BP27" s="34">
        <v>21</v>
      </c>
      <c r="BQ27" s="3"/>
      <c r="BR27" s="4"/>
      <c r="BV27" s="34">
        <v>21</v>
      </c>
      <c r="BW27" s="3"/>
      <c r="BX27" s="4"/>
      <c r="BZ27" s="34">
        <v>21</v>
      </c>
      <c r="CA27" s="3"/>
      <c r="CB27" s="4"/>
    </row>
    <row r="28" spans="2:80">
      <c r="B28" s="34">
        <v>22</v>
      </c>
      <c r="C28" s="3"/>
      <c r="D28" s="77"/>
      <c r="F28" s="34">
        <v>22</v>
      </c>
      <c r="G28" s="3"/>
      <c r="H28" s="77"/>
      <c r="J28" s="34">
        <v>22</v>
      </c>
      <c r="K28" s="3"/>
      <c r="L28" s="77"/>
      <c r="P28" s="34">
        <v>23</v>
      </c>
      <c r="Q28" s="3"/>
      <c r="R28" s="77"/>
      <c r="T28" s="34">
        <v>23</v>
      </c>
      <c r="U28" s="3"/>
      <c r="V28" s="77"/>
      <c r="X28" s="34">
        <v>23</v>
      </c>
      <c r="Y28" s="3"/>
      <c r="Z28" s="77"/>
      <c r="AC28" s="5"/>
      <c r="AU28"/>
      <c r="BC28"/>
      <c r="BH28" s="5"/>
      <c r="BL28" s="34">
        <v>22</v>
      </c>
      <c r="BM28" s="3"/>
      <c r="BN28" s="4"/>
      <c r="BP28" s="34">
        <v>22</v>
      </c>
      <c r="BQ28" s="3"/>
      <c r="BR28" s="4"/>
      <c r="BV28" s="34">
        <v>22</v>
      </c>
      <c r="BW28" s="3"/>
      <c r="BX28" s="4"/>
      <c r="BZ28" s="34">
        <v>22</v>
      </c>
      <c r="CA28" s="3"/>
      <c r="CB28" s="4"/>
    </row>
    <row r="29" spans="2:80">
      <c r="B29" s="34">
        <v>23</v>
      </c>
      <c r="C29" s="3"/>
      <c r="D29" s="77"/>
      <c r="F29" s="34">
        <v>23</v>
      </c>
      <c r="G29" s="3"/>
      <c r="H29" s="77"/>
      <c r="J29" s="34">
        <v>23</v>
      </c>
      <c r="K29" s="3"/>
      <c r="L29" s="77"/>
      <c r="AC29" s="5"/>
      <c r="AU29"/>
      <c r="BC29"/>
      <c r="BH29" s="5"/>
      <c r="BL29" s="34">
        <v>23</v>
      </c>
      <c r="BM29" s="3"/>
      <c r="BN29" s="4"/>
      <c r="BP29" s="34">
        <v>23</v>
      </c>
      <c r="BQ29" s="3"/>
      <c r="BR29" s="4"/>
      <c r="BV29" s="34">
        <v>23</v>
      </c>
      <c r="BW29" s="3"/>
      <c r="BX29" s="4"/>
      <c r="BZ29" s="34">
        <v>23</v>
      </c>
      <c r="CA29" s="3"/>
      <c r="CB29" s="4"/>
    </row>
    <row r="30" spans="2:80">
      <c r="AC30" s="5"/>
      <c r="AU30"/>
      <c r="BC30"/>
      <c r="BH30" s="5"/>
    </row>
    <row r="31" spans="2:80">
      <c r="AB31" s="1"/>
      <c r="AC31" s="5"/>
      <c r="AU31"/>
      <c r="BC31"/>
      <c r="BH31" s="5"/>
    </row>
    <row r="32" spans="2:80">
      <c r="AC32" s="5"/>
      <c r="AU32"/>
      <c r="BC32"/>
      <c r="BH32" s="5"/>
    </row>
    <row r="33" spans="2:86" s="1" customFormat="1" ht="20.25">
      <c r="B33" s="54"/>
      <c r="C33" s="55">
        <f>'NRB 공장 내부 배치도'!C5</f>
        <v>0</v>
      </c>
      <c r="D33" s="199"/>
      <c r="F33" s="54"/>
      <c r="G33" s="55">
        <f>'NRB 공장 내부 배치도'!D5</f>
        <v>0</v>
      </c>
      <c r="H33" s="199"/>
      <c r="J33" s="54"/>
      <c r="K33" s="55">
        <f>'NRB 공장 내부 배치도'!E5</f>
        <v>0</v>
      </c>
      <c r="L33" s="199"/>
      <c r="P33" s="54"/>
      <c r="Q33" s="55">
        <f>'NRB 공장 내부 배치도'!G6</f>
        <v>0</v>
      </c>
      <c r="R33" s="199"/>
      <c r="T33" s="54"/>
      <c r="U33" s="55">
        <f>'NRB 공장 내부 배치도'!H6</f>
        <v>0</v>
      </c>
      <c r="V33" s="199"/>
      <c r="X33" s="54"/>
      <c r="Y33" s="55">
        <f>'NRB 공장 내부 배치도'!I6</f>
        <v>0</v>
      </c>
      <c r="Z33" s="199"/>
      <c r="AC33" s="5"/>
      <c r="AG33" s="10"/>
      <c r="AH33" s="10"/>
      <c r="AI33" s="204"/>
      <c r="AJ33" s="10"/>
      <c r="AK33" s="10"/>
      <c r="AL33" s="10"/>
      <c r="AM33" s="204"/>
      <c r="AO33" s="10"/>
      <c r="AP33" s="10"/>
      <c r="AQ33" s="204"/>
      <c r="AV33" s="10"/>
      <c r="AW33" s="204"/>
      <c r="AX33" s="10"/>
      <c r="AY33" s="10"/>
      <c r="AZ33" s="10"/>
      <c r="BA33" s="204"/>
      <c r="BD33" s="10"/>
      <c r="BE33" s="204"/>
      <c r="BF33" s="204"/>
      <c r="BH33" s="71"/>
      <c r="BL33" s="54"/>
      <c r="BM33" s="55">
        <f>'NRB 공장 내부 배치도'!U6</f>
        <v>0</v>
      </c>
      <c r="BN33" s="56"/>
      <c r="BO33" s="10"/>
      <c r="BP33" s="54"/>
      <c r="BQ33" s="55">
        <f>'NRB 공장 내부 배치도'!V6</f>
        <v>0</v>
      </c>
      <c r="BR33" s="56"/>
      <c r="BV33" s="54"/>
      <c r="BW33" s="55">
        <f>'NRB 공장 내부 배치도'!X6</f>
        <v>0</v>
      </c>
      <c r="BX33" s="56"/>
      <c r="BY33" s="10"/>
      <c r="BZ33" s="54"/>
      <c r="CA33" s="55">
        <f>'NRB 공장 내부 배치도'!Y6</f>
        <v>0</v>
      </c>
      <c r="CB33" s="56"/>
      <c r="CF33" s="71"/>
      <c r="CG33" s="71"/>
      <c r="CH33" s="71"/>
    </row>
    <row r="34" spans="2:86" ht="16.5" customHeight="1">
      <c r="B34" s="34">
        <v>1</v>
      </c>
      <c r="C34" s="252"/>
      <c r="D34" s="253"/>
      <c r="F34" s="34">
        <v>1</v>
      </c>
      <c r="G34" s="2"/>
      <c r="H34" s="205"/>
      <c r="J34" s="34">
        <v>1</v>
      </c>
      <c r="K34" s="252"/>
      <c r="L34" s="253"/>
      <c r="P34" s="34">
        <v>1</v>
      </c>
      <c r="Q34" s="252"/>
      <c r="R34" s="253"/>
      <c r="T34" s="34">
        <v>1</v>
      </c>
      <c r="U34" s="2"/>
      <c r="V34" s="205"/>
      <c r="X34" s="34">
        <v>1</v>
      </c>
      <c r="Y34" s="252"/>
      <c r="Z34" s="253"/>
      <c r="AC34" s="5"/>
      <c r="AG34" s="10"/>
      <c r="AH34" s="8"/>
      <c r="AJ34" s="8"/>
      <c r="AK34" s="10"/>
      <c r="AL34" s="8"/>
      <c r="AO34" s="10"/>
      <c r="AP34" s="8"/>
      <c r="AU34"/>
      <c r="AV34" s="8"/>
      <c r="AX34" s="8"/>
      <c r="AY34" s="10"/>
      <c r="AZ34" s="8"/>
      <c r="BC34"/>
      <c r="BD34" s="8"/>
      <c r="BH34" s="5"/>
      <c r="BL34" s="34">
        <v>1</v>
      </c>
      <c r="BM34" s="3"/>
      <c r="BN34" s="77"/>
      <c r="BO34" s="80"/>
      <c r="BP34" s="34">
        <v>1</v>
      </c>
      <c r="BQ34" s="3"/>
      <c r="BR34" s="77"/>
      <c r="BV34" s="34">
        <v>1</v>
      </c>
      <c r="BW34" s="3"/>
      <c r="BX34" s="77"/>
      <c r="BY34" s="8"/>
      <c r="BZ34" s="34">
        <v>1</v>
      </c>
      <c r="CA34" s="3"/>
      <c r="CB34" s="77"/>
    </row>
    <row r="35" spans="2:86">
      <c r="B35" s="34">
        <v>2</v>
      </c>
      <c r="C35" s="252"/>
      <c r="D35" s="253"/>
      <c r="F35" s="34">
        <v>2</v>
      </c>
      <c r="G35" s="2"/>
      <c r="H35" s="205"/>
      <c r="J35" s="34">
        <v>2</v>
      </c>
      <c r="K35" s="252"/>
      <c r="L35" s="253"/>
      <c r="P35" s="34">
        <v>2</v>
      </c>
      <c r="Q35" s="252"/>
      <c r="R35" s="253"/>
      <c r="T35" s="34">
        <v>2</v>
      </c>
      <c r="U35" s="2"/>
      <c r="V35" s="205"/>
      <c r="X35" s="34">
        <v>2</v>
      </c>
      <c r="Y35" s="252"/>
      <c r="Z35" s="253"/>
      <c r="AC35" s="5"/>
      <c r="AG35" s="10"/>
      <c r="AH35" s="8"/>
      <c r="AJ35" s="8"/>
      <c r="AK35" s="10"/>
      <c r="AL35" s="8"/>
      <c r="AO35" s="10"/>
      <c r="AP35" s="8"/>
      <c r="AU35"/>
      <c r="AV35" s="8"/>
      <c r="AX35" s="8"/>
      <c r="AY35" s="10"/>
      <c r="AZ35" s="8"/>
      <c r="BC35"/>
      <c r="BD35" s="8"/>
      <c r="BH35" s="5"/>
      <c r="BL35" s="34">
        <v>2</v>
      </c>
      <c r="BM35" s="3"/>
      <c r="BN35" s="77"/>
      <c r="BO35" s="8"/>
      <c r="BP35" s="34">
        <v>2</v>
      </c>
      <c r="BQ35" s="3"/>
      <c r="BR35" s="77"/>
      <c r="BV35" s="34">
        <v>2</v>
      </c>
      <c r="BW35" s="3"/>
      <c r="BX35" s="77"/>
      <c r="BY35" s="8"/>
      <c r="BZ35" s="34">
        <v>2</v>
      </c>
      <c r="CA35" s="3"/>
      <c r="CB35" s="77"/>
    </row>
    <row r="36" spans="2:86">
      <c r="B36" s="34">
        <v>3</v>
      </c>
      <c r="C36" s="252"/>
      <c r="D36" s="253"/>
      <c r="F36" s="34">
        <v>3</v>
      </c>
      <c r="G36" s="2"/>
      <c r="H36" s="205"/>
      <c r="J36" s="34">
        <v>3</v>
      </c>
      <c r="K36" s="252"/>
      <c r="L36" s="253"/>
      <c r="P36" s="34">
        <v>3</v>
      </c>
      <c r="Q36" s="252"/>
      <c r="R36" s="253"/>
      <c r="T36" s="34">
        <v>3</v>
      </c>
      <c r="U36" s="2"/>
      <c r="V36" s="205"/>
      <c r="X36" s="34">
        <v>3</v>
      </c>
      <c r="Y36" s="252"/>
      <c r="Z36" s="253"/>
      <c r="AC36" s="5"/>
      <c r="AG36" s="10"/>
      <c r="AH36" s="8"/>
      <c r="AJ36" s="8"/>
      <c r="AK36" s="10"/>
      <c r="AL36" s="8"/>
      <c r="AO36" s="10"/>
      <c r="AP36" s="8"/>
      <c r="AU36"/>
      <c r="AV36" s="8"/>
      <c r="AX36" s="8"/>
      <c r="AY36" s="10"/>
      <c r="AZ36" s="8"/>
      <c r="BC36"/>
      <c r="BD36" s="8"/>
      <c r="BH36" s="5"/>
      <c r="BL36" s="34">
        <v>3</v>
      </c>
      <c r="BM36" s="3"/>
      <c r="BN36" s="77"/>
      <c r="BO36" s="8"/>
      <c r="BP36" s="34">
        <v>3</v>
      </c>
      <c r="BQ36" s="3"/>
      <c r="BR36" s="77"/>
      <c r="BV36" s="34">
        <v>3</v>
      </c>
      <c r="BW36" s="3"/>
      <c r="BX36" s="77"/>
      <c r="BY36" s="8"/>
      <c r="BZ36" s="34">
        <v>3</v>
      </c>
      <c r="CA36" s="3"/>
      <c r="CB36" s="77"/>
    </row>
    <row r="37" spans="2:86">
      <c r="B37" s="34">
        <v>4</v>
      </c>
      <c r="C37" s="252"/>
      <c r="D37" s="253"/>
      <c r="F37" s="34">
        <v>4</v>
      </c>
      <c r="G37" s="2"/>
      <c r="H37" s="205"/>
      <c r="J37" s="34">
        <v>4</v>
      </c>
      <c r="K37" s="252"/>
      <c r="L37" s="253"/>
      <c r="P37" s="34">
        <v>4</v>
      </c>
      <c r="Q37" s="2"/>
      <c r="R37" s="205"/>
      <c r="T37" s="34">
        <v>4</v>
      </c>
      <c r="U37" s="2"/>
      <c r="V37" s="205"/>
      <c r="X37" s="34">
        <v>4</v>
      </c>
      <c r="Y37" s="252"/>
      <c r="Z37" s="253"/>
      <c r="AC37" s="5"/>
      <c r="AG37" s="10"/>
      <c r="AH37" s="8"/>
      <c r="AJ37" s="8"/>
      <c r="AK37" s="10"/>
      <c r="AL37" s="8"/>
      <c r="AO37" s="10"/>
      <c r="AP37" s="8"/>
      <c r="AU37"/>
      <c r="AV37" s="8"/>
      <c r="AX37" s="8"/>
      <c r="AY37" s="10"/>
      <c r="AZ37" s="8"/>
      <c r="BC37"/>
      <c r="BD37" s="8"/>
      <c r="BH37" s="5"/>
      <c r="BL37" s="34">
        <v>4</v>
      </c>
      <c r="BM37" s="3"/>
      <c r="BN37" s="77"/>
      <c r="BO37" s="8"/>
      <c r="BP37" s="34">
        <v>4</v>
      </c>
      <c r="BQ37" s="3"/>
      <c r="BR37" s="77"/>
      <c r="BV37" s="34">
        <v>4</v>
      </c>
      <c r="BW37" s="3"/>
      <c r="BX37" s="77"/>
      <c r="BY37" s="8"/>
      <c r="BZ37" s="34">
        <v>4</v>
      </c>
      <c r="CA37" s="3"/>
      <c r="CB37" s="77"/>
    </row>
    <row r="38" spans="2:86">
      <c r="B38" s="34">
        <v>5</v>
      </c>
      <c r="C38" s="252"/>
      <c r="D38" s="253"/>
      <c r="F38" s="34">
        <v>5</v>
      </c>
      <c r="G38" s="2"/>
      <c r="H38" s="205"/>
      <c r="J38" s="34">
        <v>5</v>
      </c>
      <c r="K38" s="252"/>
      <c r="L38" s="253"/>
      <c r="P38" s="34">
        <v>5</v>
      </c>
      <c r="Q38" s="2"/>
      <c r="R38" s="205"/>
      <c r="T38" s="34">
        <v>5</v>
      </c>
      <c r="U38" s="2"/>
      <c r="V38" s="205"/>
      <c r="X38" s="34">
        <v>5</v>
      </c>
      <c r="Y38" s="252"/>
      <c r="Z38" s="253"/>
      <c r="AC38" s="5"/>
      <c r="AG38" s="10"/>
      <c r="AH38" s="8"/>
      <c r="AJ38" s="8"/>
      <c r="AK38" s="10"/>
      <c r="AL38" s="8"/>
      <c r="AO38" s="10"/>
      <c r="AP38" s="8"/>
      <c r="AU38"/>
      <c r="AV38" s="8"/>
      <c r="AX38" s="8"/>
      <c r="AY38" s="10"/>
      <c r="AZ38" s="8"/>
      <c r="BC38"/>
      <c r="BD38" s="8"/>
      <c r="BH38" s="5"/>
      <c r="BL38" s="34">
        <v>5</v>
      </c>
      <c r="BM38" s="3"/>
      <c r="BN38" s="77"/>
      <c r="BO38" s="8"/>
      <c r="BP38" s="34">
        <v>5</v>
      </c>
      <c r="BQ38" s="3"/>
      <c r="BR38" s="77"/>
      <c r="BV38" s="34">
        <v>5</v>
      </c>
      <c r="BW38" s="3"/>
      <c r="BX38" s="77"/>
      <c r="BY38" s="8"/>
      <c r="BZ38" s="34">
        <v>5</v>
      </c>
      <c r="CA38" s="3"/>
      <c r="CB38" s="77"/>
    </row>
    <row r="39" spans="2:86">
      <c r="B39" s="34">
        <v>6</v>
      </c>
      <c r="C39" s="252"/>
      <c r="D39" s="253"/>
      <c r="F39" s="34">
        <v>6</v>
      </c>
      <c r="G39" s="2"/>
      <c r="H39" s="205"/>
      <c r="J39" s="34">
        <v>6</v>
      </c>
      <c r="K39" s="252"/>
      <c r="L39" s="253"/>
      <c r="P39" s="34">
        <v>6</v>
      </c>
      <c r="Q39" s="2"/>
      <c r="R39" s="205"/>
      <c r="T39" s="34">
        <v>6</v>
      </c>
      <c r="U39" s="2"/>
      <c r="V39" s="205"/>
      <c r="X39" s="34">
        <v>6</v>
      </c>
      <c r="Y39" s="252"/>
      <c r="Z39" s="253"/>
      <c r="AC39" s="5"/>
      <c r="AG39" s="10"/>
      <c r="AH39" s="8"/>
      <c r="AJ39" s="8"/>
      <c r="AK39" s="10"/>
      <c r="AL39" s="8"/>
      <c r="AO39" s="10"/>
      <c r="AP39" s="8"/>
      <c r="AU39"/>
      <c r="AV39" s="8"/>
      <c r="AX39" s="8"/>
      <c r="AY39" s="10"/>
      <c r="AZ39" s="8"/>
      <c r="BC39"/>
      <c r="BD39" s="8"/>
      <c r="BH39" s="5"/>
      <c r="BL39" s="34">
        <v>6</v>
      </c>
      <c r="BM39" s="3"/>
      <c r="BN39" s="77"/>
      <c r="BO39" s="8"/>
      <c r="BP39" s="34">
        <v>6</v>
      </c>
      <c r="BQ39" s="3"/>
      <c r="BR39" s="77"/>
      <c r="BV39" s="34">
        <v>6</v>
      </c>
      <c r="BW39" s="3"/>
      <c r="BX39" s="77"/>
      <c r="BY39" s="8"/>
      <c r="BZ39" s="34">
        <v>6</v>
      </c>
      <c r="CA39" s="3"/>
      <c r="CB39" s="77"/>
    </row>
    <row r="40" spans="2:86">
      <c r="B40" s="34">
        <v>7</v>
      </c>
      <c r="C40" s="252"/>
      <c r="D40" s="253"/>
      <c r="F40" s="34">
        <v>7</v>
      </c>
      <c r="G40" s="2"/>
      <c r="H40" s="205"/>
      <c r="J40" s="34">
        <v>7</v>
      </c>
      <c r="K40" s="252"/>
      <c r="L40" s="253"/>
      <c r="P40" s="34">
        <v>7</v>
      </c>
      <c r="Q40" s="2"/>
      <c r="R40" s="205"/>
      <c r="T40" s="34">
        <v>7</v>
      </c>
      <c r="U40" s="2"/>
      <c r="V40" s="205"/>
      <c r="X40" s="34">
        <v>7</v>
      </c>
      <c r="Y40" s="252"/>
      <c r="Z40" s="253"/>
      <c r="AC40" s="5"/>
      <c r="AG40" s="10"/>
      <c r="AH40" s="8"/>
      <c r="AJ40" s="8"/>
      <c r="AK40" s="10"/>
      <c r="AL40" s="8"/>
      <c r="AO40" s="10"/>
      <c r="AP40" s="8"/>
      <c r="AU40"/>
      <c r="AV40" s="8"/>
      <c r="AX40" s="8"/>
      <c r="AY40" s="10"/>
      <c r="AZ40" s="8"/>
      <c r="BC40"/>
      <c r="BD40" s="8"/>
      <c r="BH40" s="5"/>
      <c r="BL40" s="34">
        <v>7</v>
      </c>
      <c r="BM40" s="3"/>
      <c r="BN40" s="77"/>
      <c r="BO40" s="8"/>
      <c r="BP40" s="34">
        <v>7</v>
      </c>
      <c r="BQ40" s="3"/>
      <c r="BR40" s="77"/>
      <c r="BV40" s="34">
        <v>7</v>
      </c>
      <c r="BW40" s="3"/>
      <c r="BX40" s="77"/>
      <c r="BY40" s="8"/>
      <c r="BZ40" s="34">
        <v>7</v>
      </c>
      <c r="CA40" s="3"/>
      <c r="CB40" s="77"/>
    </row>
    <row r="41" spans="2:86">
      <c r="B41" s="34">
        <v>8</v>
      </c>
      <c r="C41" s="252"/>
      <c r="D41" s="253"/>
      <c r="F41" s="34">
        <v>8</v>
      </c>
      <c r="G41" s="2"/>
      <c r="H41" s="205"/>
      <c r="J41" s="34">
        <v>8</v>
      </c>
      <c r="K41" s="252"/>
      <c r="L41" s="253"/>
      <c r="P41" s="34">
        <v>8</v>
      </c>
      <c r="Q41" s="2"/>
      <c r="R41" s="205"/>
      <c r="T41" s="34">
        <v>8</v>
      </c>
      <c r="U41" s="2"/>
      <c r="V41" s="205"/>
      <c r="X41" s="34">
        <v>8</v>
      </c>
      <c r="Y41" s="252"/>
      <c r="Z41" s="253"/>
      <c r="AC41" s="5"/>
      <c r="AG41" s="10"/>
      <c r="AH41" s="8"/>
      <c r="AJ41" s="8"/>
      <c r="AK41" s="10"/>
      <c r="AL41" s="8"/>
      <c r="AO41" s="10"/>
      <c r="AP41" s="8"/>
      <c r="AU41"/>
      <c r="AV41" s="8"/>
      <c r="AX41" s="8"/>
      <c r="AY41" s="10"/>
      <c r="AZ41" s="8"/>
      <c r="BC41"/>
      <c r="BD41" s="8"/>
      <c r="BH41" s="5"/>
      <c r="BL41" s="34">
        <v>8</v>
      </c>
      <c r="BM41" s="3"/>
      <c r="BN41" s="77"/>
      <c r="BO41" s="8"/>
      <c r="BP41" s="34">
        <v>8</v>
      </c>
      <c r="BQ41" s="3"/>
      <c r="BR41" s="77"/>
      <c r="BV41" s="34">
        <v>8</v>
      </c>
      <c r="BW41" s="3"/>
      <c r="BX41" s="77"/>
      <c r="BY41" s="8"/>
      <c r="BZ41" s="34">
        <v>8</v>
      </c>
      <c r="CA41" s="3"/>
      <c r="CB41" s="77"/>
    </row>
    <row r="42" spans="2:86">
      <c r="B42" s="34">
        <v>9</v>
      </c>
      <c r="C42" s="252"/>
      <c r="D42" s="253"/>
      <c r="F42" s="34">
        <v>9</v>
      </c>
      <c r="G42" s="2"/>
      <c r="H42" s="205"/>
      <c r="J42" s="34">
        <v>9</v>
      </c>
      <c r="K42" s="252"/>
      <c r="L42" s="253"/>
      <c r="P42" s="34">
        <v>9</v>
      </c>
      <c r="Q42" s="2"/>
      <c r="R42" s="205"/>
      <c r="T42" s="34">
        <v>9</v>
      </c>
      <c r="U42" s="2"/>
      <c r="V42" s="205"/>
      <c r="X42" s="34">
        <v>9</v>
      </c>
      <c r="Y42" s="252"/>
      <c r="Z42" s="253"/>
      <c r="AC42" s="5"/>
      <c r="AG42" s="10"/>
      <c r="AH42" s="8"/>
      <c r="AJ42" s="8"/>
      <c r="AK42" s="10"/>
      <c r="AL42" s="8"/>
      <c r="AO42" s="10"/>
      <c r="AP42" s="8"/>
      <c r="AU42"/>
      <c r="AV42" s="8"/>
      <c r="AX42" s="8"/>
      <c r="AY42" s="10"/>
      <c r="AZ42" s="8"/>
      <c r="BC42"/>
      <c r="BD42" s="8"/>
      <c r="BH42" s="5"/>
      <c r="BL42" s="34">
        <v>9</v>
      </c>
      <c r="BM42" s="3"/>
      <c r="BN42" s="77"/>
      <c r="BO42" s="8"/>
      <c r="BP42" s="34">
        <v>9</v>
      </c>
      <c r="BQ42" s="3"/>
      <c r="BR42" s="77"/>
      <c r="BV42" s="34">
        <v>9</v>
      </c>
      <c r="BW42" s="3"/>
      <c r="BX42" s="77"/>
      <c r="BY42" s="8"/>
      <c r="BZ42" s="34">
        <v>9</v>
      </c>
      <c r="CA42" s="3"/>
      <c r="CB42" s="77"/>
    </row>
    <row r="43" spans="2:86">
      <c r="B43" s="34">
        <v>10</v>
      </c>
      <c r="C43" s="252"/>
      <c r="D43" s="253"/>
      <c r="F43" s="34">
        <v>10</v>
      </c>
      <c r="G43" s="2"/>
      <c r="H43" s="205"/>
      <c r="I43" s="1"/>
      <c r="J43" s="34">
        <v>10</v>
      </c>
      <c r="K43" s="252"/>
      <c r="L43" s="253"/>
      <c r="P43" s="34">
        <v>10</v>
      </c>
      <c r="Q43" s="2"/>
      <c r="R43" s="205"/>
      <c r="T43" s="34">
        <v>10</v>
      </c>
      <c r="U43" s="2"/>
      <c r="V43" s="205"/>
      <c r="X43" s="34">
        <v>10</v>
      </c>
      <c r="Y43" s="252"/>
      <c r="Z43" s="253"/>
      <c r="AC43" s="5"/>
      <c r="AG43" s="10"/>
      <c r="AH43" s="8"/>
      <c r="AJ43" s="8"/>
      <c r="AK43" s="10"/>
      <c r="AL43" s="8"/>
      <c r="AO43" s="10"/>
      <c r="AP43" s="8"/>
      <c r="AU43"/>
      <c r="AV43" s="8"/>
      <c r="AX43" s="8"/>
      <c r="AY43" s="10"/>
      <c r="AZ43" s="8"/>
      <c r="BC43"/>
      <c r="BD43" s="8"/>
      <c r="BH43" s="5"/>
      <c r="BL43" s="34">
        <v>10</v>
      </c>
      <c r="BM43" s="3"/>
      <c r="BN43" s="77"/>
      <c r="BO43" s="8"/>
      <c r="BP43" s="34">
        <v>10</v>
      </c>
      <c r="BQ43" s="3"/>
      <c r="BR43" s="77"/>
      <c r="BV43" s="34">
        <v>10</v>
      </c>
      <c r="BW43" s="3"/>
      <c r="BX43" s="77"/>
      <c r="BY43" s="8"/>
      <c r="BZ43" s="34">
        <v>10</v>
      </c>
      <c r="CA43" s="3"/>
      <c r="CB43" s="77"/>
    </row>
    <row r="44" spans="2:86">
      <c r="B44" s="34">
        <v>11</v>
      </c>
      <c r="C44" s="252"/>
      <c r="D44" s="253"/>
      <c r="F44" s="34">
        <v>11</v>
      </c>
      <c r="G44" s="2"/>
      <c r="H44" s="205"/>
      <c r="J44" s="34">
        <v>11</v>
      </c>
      <c r="K44" s="252"/>
      <c r="L44" s="253"/>
      <c r="P44" s="34">
        <v>11</v>
      </c>
      <c r="Q44" s="2"/>
      <c r="R44" s="205"/>
      <c r="T44" s="34">
        <v>11</v>
      </c>
      <c r="U44" s="2"/>
      <c r="V44" s="205"/>
      <c r="X44" s="34">
        <v>11</v>
      </c>
      <c r="Y44" s="252"/>
      <c r="Z44" s="253"/>
      <c r="AC44" s="5"/>
      <c r="AG44" s="10"/>
      <c r="AH44" s="8"/>
      <c r="AJ44" s="8"/>
      <c r="AK44" s="10"/>
      <c r="AL44" s="4"/>
      <c r="AO44" s="10"/>
      <c r="AP44" s="8"/>
      <c r="AU44"/>
      <c r="AV44" s="8"/>
      <c r="AX44" s="8"/>
      <c r="AY44" s="10"/>
      <c r="AZ44" s="8"/>
      <c r="BC44"/>
      <c r="BD44" s="8"/>
      <c r="BH44" s="5"/>
      <c r="BL44" s="34">
        <v>11</v>
      </c>
      <c r="BM44" s="3"/>
      <c r="BN44" s="4"/>
      <c r="BO44" s="8"/>
      <c r="BP44" s="34">
        <v>11</v>
      </c>
      <c r="BQ44" s="3"/>
      <c r="BR44" s="77"/>
      <c r="BV44" s="34">
        <v>11</v>
      </c>
      <c r="BW44" s="3"/>
      <c r="BX44" s="77"/>
      <c r="BY44" s="8"/>
      <c r="BZ44" s="34">
        <v>11</v>
      </c>
      <c r="CA44" s="3"/>
      <c r="CB44" s="77"/>
    </row>
    <row r="45" spans="2:86">
      <c r="B45" s="34">
        <v>12</v>
      </c>
      <c r="C45" s="252"/>
      <c r="D45" s="253"/>
      <c r="F45" s="34">
        <v>12</v>
      </c>
      <c r="G45" s="2"/>
      <c r="H45" s="205"/>
      <c r="J45" s="34">
        <v>12</v>
      </c>
      <c r="K45" s="252"/>
      <c r="L45" s="253"/>
      <c r="P45" s="34">
        <v>12</v>
      </c>
      <c r="Q45" s="2"/>
      <c r="R45" s="205"/>
      <c r="T45" s="34">
        <v>12</v>
      </c>
      <c r="U45" s="2"/>
      <c r="V45" s="205"/>
      <c r="X45" s="34">
        <v>12</v>
      </c>
      <c r="Y45" s="252"/>
      <c r="Z45" s="253"/>
      <c r="AC45" s="5"/>
      <c r="AG45" s="10"/>
      <c r="AH45" s="8"/>
      <c r="AJ45" s="8"/>
      <c r="AK45" s="10"/>
      <c r="AL45" s="8"/>
      <c r="AO45" s="10"/>
      <c r="AP45" s="8"/>
      <c r="AU45"/>
      <c r="AV45" s="8"/>
      <c r="AX45" s="8"/>
      <c r="AY45" s="10"/>
      <c r="AZ45" s="8"/>
      <c r="BC45"/>
      <c r="BD45" s="8"/>
      <c r="BH45" s="5"/>
      <c r="BL45" s="34">
        <v>12</v>
      </c>
      <c r="BM45" s="3"/>
      <c r="BN45" s="77"/>
      <c r="BO45" s="8"/>
      <c r="BP45" s="34">
        <v>12</v>
      </c>
      <c r="BQ45" s="3"/>
      <c r="BR45" s="77"/>
      <c r="BV45" s="34">
        <v>12</v>
      </c>
      <c r="BW45" s="3"/>
      <c r="BX45" s="77"/>
      <c r="BY45" s="8"/>
      <c r="BZ45" s="34">
        <v>12</v>
      </c>
      <c r="CA45" s="3"/>
      <c r="CB45" s="77"/>
    </row>
    <row r="46" spans="2:86">
      <c r="B46" s="34">
        <v>13</v>
      </c>
      <c r="C46" s="252"/>
      <c r="D46" s="253"/>
      <c r="F46" s="34">
        <v>13</v>
      </c>
      <c r="G46" s="2"/>
      <c r="H46" s="205"/>
      <c r="J46" s="34">
        <v>13</v>
      </c>
      <c r="K46" s="252"/>
      <c r="L46" s="253"/>
      <c r="P46" s="34">
        <v>13</v>
      </c>
      <c r="Q46" s="2"/>
      <c r="R46" s="205"/>
      <c r="T46" s="34">
        <v>13</v>
      </c>
      <c r="U46" s="2"/>
      <c r="V46" s="205"/>
      <c r="X46" s="34">
        <v>13</v>
      </c>
      <c r="Y46" s="252"/>
      <c r="Z46" s="253"/>
      <c r="AC46" s="5"/>
      <c r="AG46" s="10"/>
      <c r="AH46" s="8"/>
      <c r="AJ46" s="8"/>
      <c r="AK46" s="10"/>
      <c r="AL46" s="8"/>
      <c r="AO46" s="10"/>
      <c r="AP46" s="8"/>
      <c r="AU46"/>
      <c r="AV46" s="8"/>
      <c r="AX46" s="8"/>
      <c r="AY46" s="10"/>
      <c r="AZ46" s="8"/>
      <c r="BC46"/>
      <c r="BD46" s="8"/>
      <c r="BH46" s="5"/>
      <c r="BL46" s="34">
        <v>13</v>
      </c>
      <c r="BM46" s="3"/>
      <c r="BN46" s="77"/>
      <c r="BO46" s="8"/>
      <c r="BP46" s="34">
        <v>13</v>
      </c>
      <c r="BQ46" s="3"/>
      <c r="BR46" s="77"/>
      <c r="BV46" s="34">
        <v>13</v>
      </c>
      <c r="BW46" s="3"/>
      <c r="BX46" s="77"/>
      <c r="BY46" s="8"/>
      <c r="BZ46" s="34">
        <v>13</v>
      </c>
      <c r="CA46" s="3"/>
      <c r="CB46" s="77"/>
    </row>
    <row r="47" spans="2:86">
      <c r="B47" s="34">
        <v>14</v>
      </c>
      <c r="C47" s="252"/>
      <c r="D47" s="253"/>
      <c r="F47" s="34">
        <v>14</v>
      </c>
      <c r="G47" s="2"/>
      <c r="H47" s="205"/>
      <c r="J47" s="34">
        <v>14</v>
      </c>
      <c r="K47" s="252"/>
      <c r="L47" s="253"/>
      <c r="P47" s="34">
        <v>14</v>
      </c>
      <c r="Q47" s="2"/>
      <c r="R47" s="205"/>
      <c r="T47" s="34">
        <v>14</v>
      </c>
      <c r="U47" s="2"/>
      <c r="V47" s="205"/>
      <c r="X47" s="34">
        <v>14</v>
      </c>
      <c r="Y47" s="252"/>
      <c r="Z47" s="253"/>
      <c r="AC47" s="5"/>
      <c r="AG47" s="10"/>
      <c r="AH47" s="8"/>
      <c r="AJ47" s="8"/>
      <c r="AK47" s="10"/>
      <c r="AL47" s="8"/>
      <c r="AO47" s="10"/>
      <c r="AP47" s="8"/>
      <c r="AU47"/>
      <c r="AV47" s="8"/>
      <c r="AX47" s="8"/>
      <c r="AY47" s="10"/>
      <c r="AZ47" s="8"/>
      <c r="BC47"/>
      <c r="BD47" s="8"/>
      <c r="BH47" s="5"/>
      <c r="BL47" s="34">
        <v>14</v>
      </c>
      <c r="BM47" s="3"/>
      <c r="BN47" s="77"/>
      <c r="BO47" s="8"/>
      <c r="BP47" s="34">
        <v>14</v>
      </c>
      <c r="BQ47" s="3"/>
      <c r="BR47" s="77"/>
      <c r="BV47" s="34">
        <v>14</v>
      </c>
      <c r="BW47" s="3"/>
      <c r="BX47" s="77"/>
      <c r="BY47" s="8"/>
      <c r="BZ47" s="34">
        <v>14</v>
      </c>
      <c r="CA47" s="3"/>
      <c r="CB47" s="77"/>
    </row>
    <row r="48" spans="2:86">
      <c r="B48" s="34">
        <v>15</v>
      </c>
      <c r="C48" s="252"/>
      <c r="D48" s="253"/>
      <c r="F48" s="34">
        <v>15</v>
      </c>
      <c r="G48" s="2"/>
      <c r="H48" s="205"/>
      <c r="J48" s="34">
        <v>15</v>
      </c>
      <c r="K48" s="252"/>
      <c r="L48" s="253"/>
      <c r="P48" s="34">
        <v>15</v>
      </c>
      <c r="Q48" s="2"/>
      <c r="R48" s="205"/>
      <c r="T48" s="34">
        <v>15</v>
      </c>
      <c r="U48" s="2"/>
      <c r="V48" s="205"/>
      <c r="X48" s="34">
        <v>15</v>
      </c>
      <c r="Y48" s="252"/>
      <c r="Z48" s="253"/>
      <c r="AC48" s="5"/>
      <c r="AG48" s="10"/>
      <c r="AH48" s="8"/>
      <c r="AJ48" s="8"/>
      <c r="AK48" s="10"/>
      <c r="AL48" s="8"/>
      <c r="AO48" s="10"/>
      <c r="AP48" s="8"/>
      <c r="AU48"/>
      <c r="AV48" s="8"/>
      <c r="AX48" s="8"/>
      <c r="AY48" s="10"/>
      <c r="AZ48" s="8"/>
      <c r="BC48"/>
      <c r="BD48" s="8"/>
      <c r="BH48" s="5"/>
      <c r="BL48" s="34">
        <v>15</v>
      </c>
      <c r="BM48" s="3"/>
      <c r="BN48" s="77"/>
      <c r="BO48" s="8"/>
      <c r="BP48" s="34">
        <v>15</v>
      </c>
      <c r="BQ48" s="3"/>
      <c r="BR48" s="77"/>
      <c r="BV48" s="34">
        <v>15</v>
      </c>
      <c r="BW48" s="3"/>
      <c r="BX48" s="77"/>
      <c r="BY48" s="8"/>
      <c r="BZ48" s="34">
        <v>15</v>
      </c>
      <c r="CA48" s="3"/>
      <c r="CB48" s="77"/>
    </row>
    <row r="49" spans="2:86">
      <c r="B49" s="34">
        <v>16</v>
      </c>
      <c r="C49" s="252"/>
      <c r="D49" s="253"/>
      <c r="F49" s="34">
        <v>16</v>
      </c>
      <c r="G49" s="2"/>
      <c r="H49" s="205"/>
      <c r="J49" s="34">
        <v>16</v>
      </c>
      <c r="K49" s="252"/>
      <c r="L49" s="253"/>
      <c r="P49" s="34">
        <v>16</v>
      </c>
      <c r="Q49" s="2"/>
      <c r="R49" s="205"/>
      <c r="T49" s="34">
        <v>16</v>
      </c>
      <c r="U49" s="3"/>
      <c r="V49" s="77"/>
      <c r="X49" s="34">
        <v>16</v>
      </c>
      <c r="Y49" s="252"/>
      <c r="Z49" s="253"/>
      <c r="AC49" s="5"/>
      <c r="AG49" s="10"/>
      <c r="AH49" s="8"/>
      <c r="AJ49" s="8"/>
      <c r="AK49" s="10"/>
      <c r="AL49" s="8"/>
      <c r="AO49" s="10"/>
      <c r="AP49" s="8"/>
      <c r="AU49"/>
      <c r="AV49" s="8"/>
      <c r="AX49" s="8"/>
      <c r="AY49" s="10"/>
      <c r="AZ49" s="8"/>
      <c r="BC49"/>
      <c r="BD49" s="8"/>
      <c r="BH49" s="5"/>
      <c r="BL49" s="34">
        <v>16</v>
      </c>
      <c r="BM49" s="3"/>
      <c r="BN49" s="77"/>
      <c r="BO49" s="8"/>
      <c r="BP49" s="34">
        <v>16</v>
      </c>
      <c r="BQ49" s="3"/>
      <c r="BR49" s="77"/>
      <c r="BV49" s="34">
        <v>16</v>
      </c>
      <c r="BW49" s="3"/>
      <c r="BX49" s="77"/>
      <c r="BY49" s="8"/>
      <c r="BZ49" s="34">
        <v>16</v>
      </c>
      <c r="CA49" s="3"/>
      <c r="CB49" s="77"/>
    </row>
    <row r="50" spans="2:86">
      <c r="B50" s="34">
        <v>17</v>
      </c>
      <c r="C50" s="252"/>
      <c r="D50" s="253"/>
      <c r="F50" s="34">
        <v>17</v>
      </c>
      <c r="G50" s="2"/>
      <c r="H50" s="205"/>
      <c r="J50" s="34">
        <v>17</v>
      </c>
      <c r="K50" s="252"/>
      <c r="L50" s="253"/>
      <c r="P50" s="34">
        <v>17</v>
      </c>
      <c r="Q50" s="2"/>
      <c r="R50" s="205"/>
      <c r="T50" s="34">
        <v>17</v>
      </c>
      <c r="U50" s="3"/>
      <c r="V50" s="77"/>
      <c r="X50" s="34">
        <v>17</v>
      </c>
      <c r="Y50" s="252"/>
      <c r="Z50" s="253"/>
      <c r="AC50" s="5"/>
      <c r="AG50" s="10"/>
      <c r="AH50" s="8"/>
      <c r="AJ50" s="8"/>
      <c r="AK50" s="10"/>
      <c r="AL50" s="8"/>
      <c r="AO50" s="10"/>
      <c r="AP50" s="8"/>
      <c r="AU50"/>
      <c r="AV50" s="8"/>
      <c r="AX50" s="8"/>
      <c r="AY50" s="10"/>
      <c r="AZ50" s="8"/>
      <c r="BC50"/>
      <c r="BD50" s="8"/>
      <c r="BH50" s="5"/>
      <c r="BL50" s="34">
        <v>17</v>
      </c>
      <c r="BM50" s="3"/>
      <c r="BN50" s="77"/>
      <c r="BO50" s="8"/>
      <c r="BP50" s="34">
        <v>17</v>
      </c>
      <c r="BQ50" s="3"/>
      <c r="BR50" s="77"/>
      <c r="BV50" s="34">
        <v>17</v>
      </c>
      <c r="BW50" s="3"/>
      <c r="BX50" s="77"/>
      <c r="BY50" s="8"/>
      <c r="BZ50" s="34">
        <v>17</v>
      </c>
      <c r="CA50" s="3"/>
      <c r="CB50" s="77"/>
    </row>
    <row r="51" spans="2:86">
      <c r="B51" s="34">
        <v>18</v>
      </c>
      <c r="C51" s="252"/>
      <c r="D51" s="253"/>
      <c r="F51" s="34">
        <v>18</v>
      </c>
      <c r="G51" s="2"/>
      <c r="H51" s="205"/>
      <c r="J51" s="34">
        <v>18</v>
      </c>
      <c r="K51" s="252"/>
      <c r="L51" s="253"/>
      <c r="P51" s="34">
        <v>18</v>
      </c>
      <c r="Q51" s="3"/>
      <c r="R51" s="77"/>
      <c r="T51" s="34">
        <v>18</v>
      </c>
      <c r="U51" s="3"/>
      <c r="V51" s="77"/>
      <c r="X51" s="34">
        <v>18</v>
      </c>
      <c r="Y51" s="3"/>
      <c r="Z51" s="77"/>
      <c r="AC51" s="5"/>
      <c r="AG51" s="10"/>
      <c r="AH51" s="8"/>
      <c r="AJ51" s="8"/>
      <c r="AK51" s="10"/>
      <c r="AL51" s="8"/>
      <c r="AO51" s="10"/>
      <c r="AP51" s="8"/>
      <c r="AU51"/>
      <c r="AV51" s="8"/>
      <c r="AX51" s="8"/>
      <c r="AY51" s="10"/>
      <c r="AZ51" s="8"/>
      <c r="BC51"/>
      <c r="BD51" s="8"/>
      <c r="BH51" s="5"/>
      <c r="BL51" s="34">
        <v>18</v>
      </c>
      <c r="BM51" s="3"/>
      <c r="BN51" s="77"/>
      <c r="BO51" s="8"/>
      <c r="BP51" s="34">
        <v>18</v>
      </c>
      <c r="BQ51" s="3"/>
      <c r="BR51" s="77"/>
      <c r="BV51" s="34">
        <v>18</v>
      </c>
      <c r="BW51" s="3"/>
      <c r="BX51" s="77"/>
      <c r="BY51" s="8"/>
      <c r="BZ51" s="34">
        <v>18</v>
      </c>
      <c r="CA51" s="3"/>
      <c r="CB51" s="77"/>
    </row>
    <row r="52" spans="2:86">
      <c r="B52" s="34">
        <v>19</v>
      </c>
      <c r="C52" s="2"/>
      <c r="D52" s="205"/>
      <c r="F52" s="34">
        <v>19</v>
      </c>
      <c r="G52" s="2"/>
      <c r="H52" s="205"/>
      <c r="J52" s="34">
        <v>19</v>
      </c>
      <c r="K52" s="252"/>
      <c r="L52" s="253"/>
      <c r="P52" s="34">
        <v>19</v>
      </c>
      <c r="Q52" s="3"/>
      <c r="R52" s="77"/>
      <c r="T52" s="34">
        <v>19</v>
      </c>
      <c r="U52" s="3"/>
      <c r="V52" s="77"/>
      <c r="X52" s="34">
        <v>19</v>
      </c>
      <c r="Y52" s="3"/>
      <c r="Z52" s="77"/>
      <c r="AC52" s="5"/>
      <c r="AG52" s="10"/>
      <c r="AH52" s="8"/>
      <c r="AJ52" s="8"/>
      <c r="AK52" s="10"/>
      <c r="AL52" s="8"/>
      <c r="AO52" s="10"/>
      <c r="AP52" s="8"/>
      <c r="AU52"/>
      <c r="AV52" s="8"/>
      <c r="AX52" s="8"/>
      <c r="AY52" s="10"/>
      <c r="AZ52" s="8"/>
      <c r="BC52"/>
      <c r="BD52" s="8"/>
      <c r="BH52" s="5"/>
      <c r="BL52" s="34">
        <v>19</v>
      </c>
      <c r="BM52" s="3"/>
      <c r="BN52" s="77"/>
      <c r="BO52" s="8"/>
      <c r="BP52" s="34">
        <v>19</v>
      </c>
      <c r="BQ52" s="3"/>
      <c r="BR52" s="4"/>
      <c r="BV52" s="34">
        <v>19</v>
      </c>
      <c r="BW52" s="3"/>
      <c r="BX52" s="77"/>
      <c r="BY52" s="8"/>
      <c r="BZ52" s="34">
        <v>19</v>
      </c>
      <c r="CA52" s="3"/>
      <c r="CB52" s="77"/>
    </row>
    <row r="53" spans="2:86">
      <c r="B53" s="34">
        <v>20</v>
      </c>
      <c r="C53" s="2"/>
      <c r="D53" s="205"/>
      <c r="F53" s="34">
        <v>20</v>
      </c>
      <c r="G53" s="2"/>
      <c r="H53" s="205"/>
      <c r="J53" s="34">
        <v>20</v>
      </c>
      <c r="K53" s="252"/>
      <c r="L53" s="253"/>
      <c r="P53" s="34">
        <v>20</v>
      </c>
      <c r="Q53" s="3"/>
      <c r="R53" s="77"/>
      <c r="T53" s="34">
        <v>20</v>
      </c>
      <c r="U53" s="3"/>
      <c r="V53" s="77"/>
      <c r="X53" s="34">
        <v>20</v>
      </c>
      <c r="Y53" s="3"/>
      <c r="Z53" s="77"/>
      <c r="AC53" s="5"/>
      <c r="AG53" s="10"/>
      <c r="AH53" s="8"/>
      <c r="AJ53" s="8"/>
      <c r="AK53" s="10"/>
      <c r="AL53" s="8"/>
      <c r="AO53" s="10"/>
      <c r="AP53" s="8"/>
      <c r="AU53"/>
      <c r="AV53" s="8"/>
      <c r="AX53" s="8"/>
      <c r="AY53" s="10"/>
      <c r="AZ53" s="8"/>
      <c r="BC53"/>
      <c r="BD53" s="8"/>
      <c r="BH53" s="5"/>
      <c r="BL53" s="34">
        <v>20</v>
      </c>
      <c r="BM53" s="3"/>
      <c r="BN53" s="77"/>
      <c r="BO53" s="8"/>
      <c r="BP53" s="34">
        <v>20</v>
      </c>
      <c r="BQ53" s="3"/>
      <c r="BR53" s="77"/>
      <c r="BV53" s="34">
        <v>20</v>
      </c>
      <c r="BW53" s="3"/>
      <c r="BX53" s="77"/>
      <c r="BY53" s="8"/>
      <c r="BZ53" s="34">
        <v>20</v>
      </c>
      <c r="CA53" s="3"/>
      <c r="CB53" s="77"/>
    </row>
    <row r="54" spans="2:86">
      <c r="B54" s="34">
        <v>21</v>
      </c>
      <c r="C54" s="2"/>
      <c r="D54" s="205"/>
      <c r="F54" s="34">
        <v>21</v>
      </c>
      <c r="G54" s="2"/>
      <c r="H54" s="205"/>
      <c r="J54" s="34">
        <v>21</v>
      </c>
      <c r="K54" s="2"/>
      <c r="L54" s="205"/>
      <c r="P54" s="34">
        <v>21</v>
      </c>
      <c r="Q54" s="3"/>
      <c r="R54" s="77"/>
      <c r="T54" s="34">
        <v>21</v>
      </c>
      <c r="U54" s="3"/>
      <c r="V54" s="77"/>
      <c r="X54" s="34">
        <v>21</v>
      </c>
      <c r="Y54" s="2"/>
      <c r="Z54" s="205"/>
      <c r="AC54" s="5"/>
      <c r="AG54" s="10"/>
      <c r="AH54" s="8"/>
      <c r="AJ54" s="8"/>
      <c r="AK54" s="10"/>
      <c r="AL54" s="8"/>
      <c r="AO54" s="10"/>
      <c r="AP54" s="8"/>
      <c r="AU54"/>
      <c r="AV54" s="8"/>
      <c r="AX54" s="8"/>
      <c r="AY54" s="10"/>
      <c r="AZ54" s="8"/>
      <c r="BC54"/>
      <c r="BD54" s="8"/>
      <c r="BH54" s="5"/>
      <c r="BL54" s="34">
        <v>21</v>
      </c>
      <c r="BM54" s="3"/>
      <c r="BN54" s="77"/>
      <c r="BO54" s="8"/>
      <c r="BP54" s="34">
        <v>21</v>
      </c>
      <c r="BQ54" s="3"/>
      <c r="BR54" s="77"/>
      <c r="BV54" s="34">
        <v>21</v>
      </c>
      <c r="BW54" s="3"/>
      <c r="BX54" s="4"/>
      <c r="BY54" s="8"/>
      <c r="BZ54" s="34">
        <v>21</v>
      </c>
      <c r="CA54" s="3"/>
      <c r="CB54" s="77"/>
    </row>
    <row r="55" spans="2:86">
      <c r="B55" s="34">
        <v>22</v>
      </c>
      <c r="C55" s="3"/>
      <c r="D55" s="77"/>
      <c r="F55" s="34">
        <v>22</v>
      </c>
      <c r="G55" s="3"/>
      <c r="H55" s="77"/>
      <c r="J55" s="34">
        <v>22</v>
      </c>
      <c r="K55" s="3"/>
      <c r="L55" s="77"/>
      <c r="P55" s="34">
        <v>22</v>
      </c>
      <c r="Q55" s="3"/>
      <c r="R55" s="77"/>
      <c r="T55" s="34">
        <v>22</v>
      </c>
      <c r="U55" s="3"/>
      <c r="V55" s="77"/>
      <c r="X55" s="34">
        <v>22</v>
      </c>
      <c r="Y55" s="3"/>
      <c r="Z55" s="77"/>
      <c r="AC55" s="5"/>
      <c r="AG55" s="10"/>
      <c r="AH55" s="8"/>
      <c r="AJ55" s="8"/>
      <c r="AK55" s="10"/>
      <c r="AL55" s="8"/>
      <c r="AO55" s="10"/>
      <c r="AP55" s="8"/>
      <c r="AU55"/>
      <c r="AV55" s="8"/>
      <c r="AX55" s="8"/>
      <c r="AY55" s="10"/>
      <c r="AZ55" s="8"/>
      <c r="BC55"/>
      <c r="BD55" s="8"/>
      <c r="BH55" s="5"/>
      <c r="BL55" s="34">
        <v>22</v>
      </c>
      <c r="BM55" s="3"/>
      <c r="BN55" s="4"/>
      <c r="BO55" s="8"/>
      <c r="BP55" s="34">
        <v>22</v>
      </c>
      <c r="BQ55" s="3"/>
      <c r="BR55" s="4"/>
      <c r="BV55" s="34">
        <v>22</v>
      </c>
      <c r="BW55" s="3"/>
      <c r="BX55" s="4"/>
      <c r="BY55" s="8"/>
      <c r="BZ55" s="34">
        <v>22</v>
      </c>
      <c r="CA55" s="3"/>
      <c r="CB55" s="4"/>
    </row>
    <row r="56" spans="2:86">
      <c r="B56" s="34">
        <v>23</v>
      </c>
      <c r="C56" s="3"/>
      <c r="D56" s="77"/>
      <c r="F56" s="34">
        <v>23</v>
      </c>
      <c r="G56" s="3"/>
      <c r="H56" s="77"/>
      <c r="J56" s="34">
        <v>23</v>
      </c>
      <c r="K56" s="3"/>
      <c r="L56" s="77"/>
      <c r="P56" s="34">
        <v>23</v>
      </c>
      <c r="Q56" s="3"/>
      <c r="R56" s="77"/>
      <c r="T56" s="34">
        <v>23</v>
      </c>
      <c r="U56" s="3"/>
      <c r="V56" s="77"/>
      <c r="X56" s="34">
        <v>23</v>
      </c>
      <c r="Y56" s="3"/>
      <c r="Z56" s="77"/>
      <c r="AC56" s="5"/>
      <c r="AG56" s="10"/>
      <c r="AH56" s="8"/>
      <c r="AJ56" s="8"/>
      <c r="AK56" s="10"/>
      <c r="AL56" s="8"/>
      <c r="AO56" s="10"/>
      <c r="AP56" s="8"/>
      <c r="AU56"/>
      <c r="AV56" s="8"/>
      <c r="AX56" s="8"/>
      <c r="AY56" s="10"/>
      <c r="AZ56" s="8"/>
      <c r="BC56"/>
      <c r="BD56" s="8"/>
      <c r="BH56" s="5"/>
      <c r="BL56" s="34">
        <v>23</v>
      </c>
      <c r="BM56" s="3"/>
      <c r="BN56" s="4"/>
      <c r="BO56" s="8"/>
      <c r="BP56" s="34">
        <v>23</v>
      </c>
      <c r="BQ56" s="3"/>
      <c r="BR56" s="4"/>
      <c r="BV56" s="34">
        <v>23</v>
      </c>
      <c r="BW56" s="3"/>
      <c r="BX56" s="4"/>
      <c r="BY56" s="8"/>
      <c r="BZ56" s="34">
        <v>23</v>
      </c>
      <c r="CA56" s="3"/>
      <c r="CB56" s="4"/>
    </row>
    <row r="57" spans="2:86">
      <c r="AC57" s="5"/>
      <c r="AU57"/>
      <c r="BC57"/>
      <c r="BH57" s="5"/>
    </row>
    <row r="58" spans="2:86">
      <c r="AC58" s="5"/>
      <c r="AU58"/>
      <c r="BC58"/>
      <c r="BH58" s="5"/>
    </row>
    <row r="59" spans="2:86">
      <c r="AC59" s="5"/>
      <c r="AU59"/>
      <c r="BC59"/>
      <c r="BH59" s="5"/>
    </row>
    <row r="60" spans="2:86" s="1" customFormat="1" ht="20.25">
      <c r="B60" s="54"/>
      <c r="C60" s="55">
        <f>'NRB 공장 내부 배치도'!C6</f>
        <v>0</v>
      </c>
      <c r="D60" s="199"/>
      <c r="F60" s="54"/>
      <c r="G60" s="55">
        <f>'NRB 공장 내부 배치도'!D6</f>
        <v>0</v>
      </c>
      <c r="H60" s="199"/>
      <c r="J60" s="54"/>
      <c r="K60" s="55">
        <f>'NRB 공장 내부 배치도'!E6</f>
        <v>0</v>
      </c>
      <c r="L60" s="199"/>
      <c r="P60" s="54"/>
      <c r="Q60" s="55">
        <f>'NRB 공장 내부 배치도'!G7</f>
        <v>0</v>
      </c>
      <c r="R60" s="199"/>
      <c r="T60" s="54"/>
      <c r="U60" s="86">
        <f>'NRB 공장 내부 배치도'!H7</f>
        <v>0</v>
      </c>
      <c r="V60" s="199"/>
      <c r="X60" s="54"/>
      <c r="Y60" s="55" t="str">
        <f>'NRB 공장 내부 배치도'!I7</f>
        <v>BH조립다이
403-8-12</v>
      </c>
      <c r="Z60" s="199"/>
      <c r="AC60" s="71"/>
      <c r="AG60" s="54"/>
      <c r="AH60" s="55">
        <f>'NRB 공장 내부 배치도'!L7</f>
        <v>0</v>
      </c>
      <c r="AI60" s="199"/>
      <c r="AK60" s="54"/>
      <c r="AL60" s="55">
        <f>'NRB 공장 내부 배치도'!M7</f>
        <v>0</v>
      </c>
      <c r="AM60" s="199"/>
      <c r="AO60" s="54"/>
      <c r="AP60" s="55">
        <f>'NRB 공장 내부 배치도'!N7</f>
        <v>0</v>
      </c>
      <c r="AQ60" s="199"/>
      <c r="AS60" s="4"/>
      <c r="AU60" s="54"/>
      <c r="AV60" s="55">
        <f>'NRB 공장 내부 배치도'!P7</f>
        <v>0</v>
      </c>
      <c r="AW60" s="199"/>
      <c r="AY60" s="54"/>
      <c r="AZ60" s="55">
        <f>'NRB 공장 내부 배치도'!Q7</f>
        <v>0</v>
      </c>
      <c r="BA60" s="199"/>
      <c r="BC60" s="54"/>
      <c r="BD60" s="55">
        <f>'NRB 공장 내부 배치도'!R7</f>
        <v>0</v>
      </c>
      <c r="BE60" s="199"/>
      <c r="BF60" s="204"/>
      <c r="BH60" s="71"/>
      <c r="BL60" s="54"/>
      <c r="BM60" s="55">
        <f>'NRB 공장 내부 배치도'!U7</f>
        <v>0</v>
      </c>
      <c r="BN60" s="56"/>
      <c r="BP60" s="54"/>
      <c r="BQ60" s="55">
        <f>'NRB 공장 내부 배치도'!V7</f>
        <v>0</v>
      </c>
      <c r="BR60" s="56"/>
      <c r="BV60" s="54"/>
      <c r="BW60" s="55">
        <f>'NRB 공장 내부 배치도'!X7</f>
        <v>0</v>
      </c>
      <c r="BX60" s="56"/>
      <c r="BZ60" s="87"/>
      <c r="CA60" s="55">
        <f>'NRB 공장 내부 배치도'!Y7</f>
        <v>0</v>
      </c>
      <c r="CB60" s="88"/>
      <c r="CF60" s="71"/>
      <c r="CG60" s="71"/>
      <c r="CH60" s="71"/>
    </row>
    <row r="61" spans="2:86">
      <c r="B61" s="34">
        <v>1</v>
      </c>
      <c r="C61" s="252"/>
      <c r="D61" s="253"/>
      <c r="F61" s="34">
        <v>1</v>
      </c>
      <c r="G61" s="2"/>
      <c r="H61" s="205"/>
      <c r="J61" s="34">
        <v>1</v>
      </c>
      <c r="K61" s="2"/>
      <c r="L61" s="205"/>
      <c r="N61" s="1"/>
      <c r="P61" s="34">
        <v>1</v>
      </c>
      <c r="Q61" s="2"/>
      <c r="R61" s="205"/>
      <c r="T61" s="34">
        <v>1</v>
      </c>
      <c r="U61" s="252"/>
      <c r="V61" s="253"/>
      <c r="X61" s="34">
        <v>1</v>
      </c>
      <c r="Y61" s="252"/>
      <c r="Z61" s="253"/>
      <c r="AC61" s="5"/>
      <c r="AG61" s="34">
        <v>1</v>
      </c>
      <c r="AH61" s="139"/>
      <c r="AI61" s="205"/>
      <c r="AK61" s="34">
        <v>1</v>
      </c>
      <c r="AL61" s="2"/>
      <c r="AM61" s="205"/>
      <c r="AO61" s="34">
        <v>1</v>
      </c>
      <c r="AP61" s="2"/>
      <c r="AQ61" s="205"/>
      <c r="AU61" s="34">
        <v>1</v>
      </c>
      <c r="AV61" s="3"/>
      <c r="AW61" s="77"/>
      <c r="AY61" s="34">
        <v>1</v>
      </c>
      <c r="AZ61" s="3"/>
      <c r="BA61" s="77"/>
      <c r="BC61" s="34">
        <v>1</v>
      </c>
      <c r="BD61" s="3"/>
      <c r="BE61" s="77"/>
      <c r="BH61" s="5"/>
      <c r="BL61" s="34">
        <v>1</v>
      </c>
      <c r="BM61" s="3"/>
      <c r="BN61" s="77"/>
      <c r="BP61" s="34">
        <v>1</v>
      </c>
      <c r="BQ61" s="3"/>
      <c r="BR61" s="77"/>
      <c r="BV61" s="34">
        <v>1</v>
      </c>
      <c r="BW61" s="3"/>
      <c r="BX61" s="77"/>
      <c r="BZ61" s="34">
        <v>1</v>
      </c>
      <c r="CA61" s="3"/>
      <c r="CB61" s="77"/>
    </row>
    <row r="62" spans="2:86">
      <c r="B62" s="34">
        <v>2</v>
      </c>
      <c r="C62" s="252"/>
      <c r="D62" s="253"/>
      <c r="F62" s="34">
        <v>2</v>
      </c>
      <c r="G62" s="2"/>
      <c r="H62" s="205"/>
      <c r="J62" s="34">
        <v>2</v>
      </c>
      <c r="K62" s="2"/>
      <c r="L62" s="205"/>
      <c r="N62" s="1"/>
      <c r="P62" s="34">
        <v>2</v>
      </c>
      <c r="Q62" s="2"/>
      <c r="R62" s="205"/>
      <c r="T62" s="34">
        <v>2</v>
      </c>
      <c r="U62" s="252"/>
      <c r="V62" s="253"/>
      <c r="X62" s="34">
        <v>2</v>
      </c>
      <c r="Y62" s="252"/>
      <c r="Z62" s="253"/>
      <c r="AC62" s="5"/>
      <c r="AG62" s="34">
        <v>2</v>
      </c>
      <c r="AH62" s="2"/>
      <c r="AI62" s="205"/>
      <c r="AK62" s="34">
        <v>2</v>
      </c>
      <c r="AL62" s="2"/>
      <c r="AM62" s="205"/>
      <c r="AO62" s="34">
        <v>2</v>
      </c>
      <c r="AP62" s="2"/>
      <c r="AQ62" s="205"/>
      <c r="AU62" s="34">
        <v>2</v>
      </c>
      <c r="AV62" s="3"/>
      <c r="AW62" s="77"/>
      <c r="AY62" s="34">
        <v>2</v>
      </c>
      <c r="AZ62" s="3"/>
      <c r="BA62" s="77"/>
      <c r="BC62" s="34">
        <v>2</v>
      </c>
      <c r="BD62" s="3"/>
      <c r="BE62" s="77"/>
      <c r="BH62" s="5"/>
      <c r="BL62" s="34">
        <v>2</v>
      </c>
      <c r="BM62" s="3"/>
      <c r="BN62" s="77"/>
      <c r="BP62" s="34">
        <v>2</v>
      </c>
      <c r="BQ62" s="3"/>
      <c r="BR62" s="77"/>
      <c r="BV62" s="34">
        <v>2</v>
      </c>
      <c r="BW62" s="3"/>
      <c r="BX62" s="77"/>
      <c r="BZ62" s="34">
        <v>2</v>
      </c>
      <c r="CA62" s="3"/>
      <c r="CB62" s="77"/>
    </row>
    <row r="63" spans="2:86">
      <c r="B63" s="34">
        <v>3</v>
      </c>
      <c r="C63" s="252"/>
      <c r="D63" s="253"/>
      <c r="F63" s="34">
        <v>3</v>
      </c>
      <c r="G63" s="2"/>
      <c r="H63" s="205"/>
      <c r="J63" s="34">
        <v>3</v>
      </c>
      <c r="K63" s="2"/>
      <c r="L63" s="205"/>
      <c r="N63" s="1"/>
      <c r="P63" s="34">
        <v>3</v>
      </c>
      <c r="Q63" s="2"/>
      <c r="R63" s="205"/>
      <c r="T63" s="34">
        <v>3</v>
      </c>
      <c r="U63" s="252"/>
      <c r="V63" s="253"/>
      <c r="X63" s="34">
        <v>3</v>
      </c>
      <c r="Y63" s="252"/>
      <c r="Z63" s="253"/>
      <c r="AC63" s="5"/>
      <c r="AG63" s="34">
        <v>3</v>
      </c>
      <c r="AH63" s="2"/>
      <c r="AI63" s="205"/>
      <c r="AK63" s="34">
        <v>3</v>
      </c>
      <c r="AL63" s="2"/>
      <c r="AM63" s="205"/>
      <c r="AO63" s="34">
        <v>3</v>
      </c>
      <c r="AP63" s="2"/>
      <c r="AQ63" s="205"/>
      <c r="AU63" s="34">
        <v>3</v>
      </c>
      <c r="AV63" s="3"/>
      <c r="AW63" s="77"/>
      <c r="AY63" s="34">
        <v>3</v>
      </c>
      <c r="AZ63" s="3"/>
      <c r="BA63" s="77"/>
      <c r="BC63" s="34">
        <v>3</v>
      </c>
      <c r="BD63" s="3"/>
      <c r="BE63" s="77"/>
      <c r="BH63" s="5"/>
      <c r="BL63" s="34">
        <v>3</v>
      </c>
      <c r="BM63" s="3"/>
      <c r="BN63" s="77"/>
      <c r="BP63" s="34">
        <v>3</v>
      </c>
      <c r="BQ63" s="3"/>
      <c r="BR63" s="77"/>
      <c r="BV63" s="34">
        <v>3</v>
      </c>
      <c r="BW63" s="3"/>
      <c r="BX63" s="77"/>
      <c r="BZ63" s="34">
        <v>3</v>
      </c>
      <c r="CA63" s="3"/>
      <c r="CB63" s="77"/>
    </row>
    <row r="64" spans="2:86">
      <c r="B64" s="34">
        <v>4</v>
      </c>
      <c r="C64" s="252"/>
      <c r="D64" s="253"/>
      <c r="F64" s="34">
        <v>4</v>
      </c>
      <c r="G64" s="2"/>
      <c r="H64" s="205"/>
      <c r="J64" s="34">
        <v>4</v>
      </c>
      <c r="K64" s="2"/>
      <c r="L64" s="205"/>
      <c r="N64" s="1"/>
      <c r="P64" s="34">
        <v>4</v>
      </c>
      <c r="Q64" s="2"/>
      <c r="R64" s="205"/>
      <c r="T64" s="34">
        <v>4</v>
      </c>
      <c r="U64" s="252"/>
      <c r="V64" s="253"/>
      <c r="X64" s="34">
        <v>4</v>
      </c>
      <c r="Y64" s="252"/>
      <c r="Z64" s="253"/>
      <c r="AC64" s="5"/>
      <c r="AG64" s="34">
        <v>4</v>
      </c>
      <c r="AH64" s="2"/>
      <c r="AI64" s="205"/>
      <c r="AK64" s="34">
        <v>4</v>
      </c>
      <c r="AL64" s="2"/>
      <c r="AM64" s="205"/>
      <c r="AO64" s="34">
        <v>4</v>
      </c>
      <c r="AP64" s="2"/>
      <c r="AQ64" s="205"/>
      <c r="AU64" s="34">
        <v>4</v>
      </c>
      <c r="AV64" s="3"/>
      <c r="AW64" s="77"/>
      <c r="AY64" s="34">
        <v>4</v>
      </c>
      <c r="AZ64" s="3"/>
      <c r="BA64" s="77"/>
      <c r="BC64" s="34">
        <v>4</v>
      </c>
      <c r="BD64" s="3"/>
      <c r="BE64" s="77"/>
      <c r="BH64" s="5"/>
      <c r="BL64" s="34">
        <v>4</v>
      </c>
      <c r="BM64" s="3"/>
      <c r="BN64" s="77"/>
      <c r="BP64" s="34">
        <v>4</v>
      </c>
      <c r="BQ64" s="3"/>
      <c r="BR64" s="77"/>
      <c r="BV64" s="34">
        <v>4</v>
      </c>
      <c r="BW64" s="3"/>
      <c r="BX64" s="77"/>
      <c r="BZ64" s="34">
        <v>4</v>
      </c>
      <c r="CA64" s="3"/>
      <c r="CB64" s="77"/>
    </row>
    <row r="65" spans="2:80">
      <c r="B65" s="34">
        <v>5</v>
      </c>
      <c r="C65" s="252"/>
      <c r="D65" s="253"/>
      <c r="F65" s="34">
        <v>5</v>
      </c>
      <c r="G65" s="2"/>
      <c r="H65" s="205"/>
      <c r="J65" s="34">
        <v>5</v>
      </c>
      <c r="K65" s="2"/>
      <c r="L65" s="205"/>
      <c r="N65" s="1"/>
      <c r="P65" s="34">
        <v>5</v>
      </c>
      <c r="Q65" s="2"/>
      <c r="R65" s="205"/>
      <c r="T65" s="34">
        <v>5</v>
      </c>
      <c r="U65" s="252"/>
      <c r="V65" s="253"/>
      <c r="X65" s="34">
        <v>5</v>
      </c>
      <c r="Y65" s="252"/>
      <c r="Z65" s="253"/>
      <c r="AC65" s="5"/>
      <c r="AG65" s="34">
        <v>5</v>
      </c>
      <c r="AH65" s="2"/>
      <c r="AI65" s="205"/>
      <c r="AK65" s="34">
        <v>5</v>
      </c>
      <c r="AL65" s="2"/>
      <c r="AM65" s="205"/>
      <c r="AO65" s="34">
        <v>5</v>
      </c>
      <c r="AP65" s="2"/>
      <c r="AQ65" s="205"/>
      <c r="AU65" s="34">
        <v>5</v>
      </c>
      <c r="AV65" s="3"/>
      <c r="AW65" s="77"/>
      <c r="AY65" s="34">
        <v>5</v>
      </c>
      <c r="AZ65" s="3"/>
      <c r="BA65" s="77"/>
      <c r="BC65" s="34">
        <v>5</v>
      </c>
      <c r="BD65" s="3"/>
      <c r="BE65" s="77"/>
      <c r="BH65" s="5"/>
      <c r="BL65" s="34">
        <v>5</v>
      </c>
      <c r="BM65" s="3"/>
      <c r="BN65" s="77"/>
      <c r="BP65" s="34">
        <v>5</v>
      </c>
      <c r="BQ65" s="3"/>
      <c r="BR65" s="77"/>
      <c r="BV65" s="34">
        <v>5</v>
      </c>
      <c r="BW65" s="3"/>
      <c r="BX65" s="77"/>
      <c r="BZ65" s="34">
        <v>5</v>
      </c>
      <c r="CA65" s="3"/>
      <c r="CB65" s="77"/>
    </row>
    <row r="66" spans="2:80">
      <c r="B66" s="34">
        <v>6</v>
      </c>
      <c r="C66" s="252"/>
      <c r="D66" s="253"/>
      <c r="F66" s="34">
        <v>6</v>
      </c>
      <c r="G66" s="2"/>
      <c r="H66" s="205"/>
      <c r="J66" s="34">
        <v>6</v>
      </c>
      <c r="K66" s="2"/>
      <c r="L66" s="205"/>
      <c r="N66" s="1"/>
      <c r="P66" s="34">
        <v>6</v>
      </c>
      <c r="Q66" s="2"/>
      <c r="R66" s="205"/>
      <c r="T66" s="34">
        <v>6</v>
      </c>
      <c r="U66" s="252"/>
      <c r="V66" s="253"/>
      <c r="X66" s="34">
        <v>6</v>
      </c>
      <c r="Y66" s="252"/>
      <c r="Z66" s="253"/>
      <c r="AC66" s="5"/>
      <c r="AG66" s="34">
        <v>6</v>
      </c>
      <c r="AH66" s="2"/>
      <c r="AI66" s="205"/>
      <c r="AK66" s="34">
        <v>6</v>
      </c>
      <c r="AL66" s="2"/>
      <c r="AM66" s="205"/>
      <c r="AO66" s="34">
        <v>6</v>
      </c>
      <c r="AP66" s="2"/>
      <c r="AQ66" s="205"/>
      <c r="AU66" s="34">
        <v>6</v>
      </c>
      <c r="AV66" s="3"/>
      <c r="AW66" s="77"/>
      <c r="AY66" s="34">
        <v>6</v>
      </c>
      <c r="AZ66" s="3"/>
      <c r="BA66" s="77"/>
      <c r="BC66" s="34">
        <v>6</v>
      </c>
      <c r="BD66" s="3"/>
      <c r="BE66" s="77"/>
      <c r="BH66" s="5"/>
      <c r="BL66" s="34">
        <v>6</v>
      </c>
      <c r="BM66" s="3"/>
      <c r="BN66" s="77"/>
      <c r="BP66" s="34">
        <v>6</v>
      </c>
      <c r="BQ66" s="3"/>
      <c r="BR66" s="77"/>
      <c r="BV66" s="34">
        <v>6</v>
      </c>
      <c r="BW66" s="3"/>
      <c r="BX66" s="77"/>
      <c r="BZ66" s="34">
        <v>6</v>
      </c>
      <c r="CA66" s="3"/>
      <c r="CB66" s="77"/>
    </row>
    <row r="67" spans="2:80">
      <c r="B67" s="34">
        <v>7</v>
      </c>
      <c r="C67" s="252"/>
      <c r="D67" s="253"/>
      <c r="F67" s="34">
        <v>7</v>
      </c>
      <c r="G67" s="2"/>
      <c r="H67" s="205"/>
      <c r="J67" s="34">
        <v>7</v>
      </c>
      <c r="K67" s="2"/>
      <c r="L67" s="205"/>
      <c r="N67" s="1"/>
      <c r="P67" s="34">
        <v>7</v>
      </c>
      <c r="Q67" s="2"/>
      <c r="R67" s="205"/>
      <c r="T67" s="34">
        <v>7</v>
      </c>
      <c r="U67" s="252"/>
      <c r="V67" s="253"/>
      <c r="X67" s="34">
        <v>7</v>
      </c>
      <c r="Y67" s="252"/>
      <c r="Z67" s="253"/>
      <c r="AC67" s="5"/>
      <c r="AG67" s="34">
        <v>7</v>
      </c>
      <c r="AH67" s="2"/>
      <c r="AI67" s="205"/>
      <c r="AK67" s="34">
        <v>7</v>
      </c>
      <c r="AL67" s="2"/>
      <c r="AM67" s="205"/>
      <c r="AO67" s="34">
        <v>7</v>
      </c>
      <c r="AP67" s="2"/>
      <c r="AQ67" s="205"/>
      <c r="AU67" s="34">
        <v>7</v>
      </c>
      <c r="AV67" s="3"/>
      <c r="AW67" s="77"/>
      <c r="AY67" s="34">
        <v>7</v>
      </c>
      <c r="AZ67" s="3"/>
      <c r="BA67" s="77"/>
      <c r="BC67" s="34">
        <v>7</v>
      </c>
      <c r="BD67" s="3"/>
      <c r="BE67" s="77"/>
      <c r="BH67" s="5"/>
      <c r="BL67" s="34">
        <v>7</v>
      </c>
      <c r="BM67" s="3"/>
      <c r="BN67" s="77"/>
      <c r="BP67" s="34">
        <v>7</v>
      </c>
      <c r="BQ67" s="3"/>
      <c r="BR67" s="77"/>
      <c r="BV67" s="34">
        <v>7</v>
      </c>
      <c r="BW67" s="3"/>
      <c r="BX67" s="77"/>
      <c r="BZ67" s="34">
        <v>7</v>
      </c>
      <c r="CA67" s="3"/>
      <c r="CB67" s="77"/>
    </row>
    <row r="68" spans="2:80">
      <c r="B68" s="34">
        <v>8</v>
      </c>
      <c r="C68" s="252"/>
      <c r="D68" s="253"/>
      <c r="F68" s="34">
        <v>8</v>
      </c>
      <c r="G68" s="2"/>
      <c r="H68" s="205"/>
      <c r="J68" s="34">
        <v>8</v>
      </c>
      <c r="K68" s="2"/>
      <c r="L68" s="205"/>
      <c r="N68" s="1"/>
      <c r="P68" s="34">
        <v>8</v>
      </c>
      <c r="Q68" s="2"/>
      <c r="R68" s="205"/>
      <c r="T68" s="34">
        <v>8</v>
      </c>
      <c r="U68" s="252"/>
      <c r="V68" s="253"/>
      <c r="X68" s="34">
        <v>8</v>
      </c>
      <c r="Y68" s="252"/>
      <c r="Z68" s="253"/>
      <c r="AC68" s="5"/>
      <c r="AG68" s="34">
        <v>8</v>
      </c>
      <c r="AH68" s="2"/>
      <c r="AI68" s="205"/>
      <c r="AK68" s="34">
        <v>8</v>
      </c>
      <c r="AL68" s="2"/>
      <c r="AM68" s="205"/>
      <c r="AO68" s="34">
        <v>8</v>
      </c>
      <c r="AP68" s="2"/>
      <c r="AQ68" s="205"/>
      <c r="AU68" s="34">
        <v>8</v>
      </c>
      <c r="AV68" s="3"/>
      <c r="AW68" s="77"/>
      <c r="AY68" s="34">
        <v>8</v>
      </c>
      <c r="AZ68" s="3"/>
      <c r="BA68" s="77"/>
      <c r="BC68" s="34">
        <v>8</v>
      </c>
      <c r="BD68" s="3"/>
      <c r="BE68" s="77"/>
      <c r="BH68" s="5"/>
      <c r="BL68" s="34">
        <v>8</v>
      </c>
      <c r="BM68" s="3"/>
      <c r="BN68" s="77"/>
      <c r="BP68" s="34">
        <v>8</v>
      </c>
      <c r="BQ68" s="3"/>
      <c r="BR68" s="77"/>
      <c r="BV68" s="34">
        <v>8</v>
      </c>
      <c r="BW68" s="3"/>
      <c r="BX68" s="77"/>
      <c r="BZ68" s="34">
        <v>8</v>
      </c>
      <c r="CA68" s="3"/>
      <c r="CB68" s="77"/>
    </row>
    <row r="69" spans="2:80">
      <c r="B69" s="34">
        <v>9</v>
      </c>
      <c r="C69" s="252"/>
      <c r="D69" s="253"/>
      <c r="F69" s="34">
        <v>9</v>
      </c>
      <c r="G69" s="2"/>
      <c r="H69" s="205"/>
      <c r="J69" s="34">
        <v>9</v>
      </c>
      <c r="K69" s="2"/>
      <c r="L69" s="205"/>
      <c r="N69" s="1"/>
      <c r="P69" s="34">
        <v>9</v>
      </c>
      <c r="Q69" s="2"/>
      <c r="R69" s="205"/>
      <c r="T69" s="34">
        <v>9</v>
      </c>
      <c r="U69" s="252"/>
      <c r="V69" s="253"/>
      <c r="X69" s="34">
        <v>9</v>
      </c>
      <c r="Y69" s="252"/>
      <c r="Z69" s="253"/>
      <c r="AC69" s="5"/>
      <c r="AG69" s="34">
        <v>9</v>
      </c>
      <c r="AH69" s="2"/>
      <c r="AI69" s="205"/>
      <c r="AK69" s="34">
        <v>9</v>
      </c>
      <c r="AL69" s="2"/>
      <c r="AM69" s="205"/>
      <c r="AO69" s="34">
        <v>9</v>
      </c>
      <c r="AP69" s="2"/>
      <c r="AQ69" s="205"/>
      <c r="AU69" s="34">
        <v>9</v>
      </c>
      <c r="AV69" s="2"/>
      <c r="AW69" s="77"/>
      <c r="AY69" s="34">
        <v>9</v>
      </c>
      <c r="AZ69" s="3"/>
      <c r="BA69" s="77"/>
      <c r="BC69" s="34">
        <v>9</v>
      </c>
      <c r="BD69" s="3"/>
      <c r="BE69" s="77"/>
      <c r="BH69" s="5"/>
      <c r="BL69" s="34">
        <v>9</v>
      </c>
      <c r="BM69" s="3"/>
      <c r="BN69" s="77"/>
      <c r="BP69" s="34">
        <v>9</v>
      </c>
      <c r="BQ69" s="3"/>
      <c r="BR69" s="77"/>
      <c r="BV69" s="34">
        <v>9</v>
      </c>
      <c r="BW69" s="3"/>
      <c r="BX69" s="77"/>
      <c r="BZ69" s="34">
        <v>9</v>
      </c>
      <c r="CA69" s="3"/>
      <c r="CB69" s="77"/>
    </row>
    <row r="70" spans="2:80">
      <c r="B70" s="34">
        <v>10</v>
      </c>
      <c r="C70" s="252"/>
      <c r="D70" s="253"/>
      <c r="F70" s="34">
        <v>10</v>
      </c>
      <c r="G70" s="2"/>
      <c r="H70" s="205"/>
      <c r="J70" s="34">
        <v>10</v>
      </c>
      <c r="K70" s="2"/>
      <c r="L70" s="205"/>
      <c r="N70" s="1"/>
      <c r="P70" s="34">
        <v>10</v>
      </c>
      <c r="Q70" s="2"/>
      <c r="R70" s="205"/>
      <c r="T70" s="34">
        <v>10</v>
      </c>
      <c r="U70" s="252"/>
      <c r="V70" s="253"/>
      <c r="X70" s="34">
        <v>10</v>
      </c>
      <c r="Y70" s="252"/>
      <c r="Z70" s="253"/>
      <c r="AC70" s="5"/>
      <c r="AG70" s="34">
        <v>10</v>
      </c>
      <c r="AH70" s="2"/>
      <c r="AI70" s="205"/>
      <c r="AK70" s="34">
        <v>10</v>
      </c>
      <c r="AL70" s="2"/>
      <c r="AM70" s="205"/>
      <c r="AO70" s="34">
        <v>10</v>
      </c>
      <c r="AP70" s="2"/>
      <c r="AQ70" s="205"/>
      <c r="AU70" s="34">
        <v>10</v>
      </c>
      <c r="AV70" s="3"/>
      <c r="AW70" s="77"/>
      <c r="AY70" s="34">
        <v>10</v>
      </c>
      <c r="AZ70" s="3"/>
      <c r="BA70" s="77"/>
      <c r="BC70" s="34">
        <v>10</v>
      </c>
      <c r="BD70" s="3"/>
      <c r="BE70" s="77"/>
      <c r="BH70" s="5"/>
      <c r="BL70" s="34">
        <v>10</v>
      </c>
      <c r="BM70" s="3"/>
      <c r="BN70" s="77"/>
      <c r="BP70" s="34">
        <v>10</v>
      </c>
      <c r="BQ70" s="3"/>
      <c r="BR70" s="77"/>
      <c r="BV70" s="34">
        <v>10</v>
      </c>
      <c r="BW70" s="3"/>
      <c r="BX70" s="77"/>
      <c r="BZ70" s="34">
        <v>10</v>
      </c>
      <c r="CA70" s="3"/>
      <c r="CB70" s="77"/>
    </row>
    <row r="71" spans="2:80">
      <c r="B71" s="34">
        <v>11</v>
      </c>
      <c r="C71" s="252"/>
      <c r="D71" s="253"/>
      <c r="F71" s="34">
        <v>11</v>
      </c>
      <c r="G71" s="2"/>
      <c r="H71" s="205"/>
      <c r="J71" s="34">
        <v>11</v>
      </c>
      <c r="K71" s="2"/>
      <c r="L71" s="205"/>
      <c r="N71" s="1"/>
      <c r="P71" s="34">
        <v>11</v>
      </c>
      <c r="Q71" s="2"/>
      <c r="R71" s="205"/>
      <c r="T71" s="34">
        <v>11</v>
      </c>
      <c r="U71" s="252"/>
      <c r="V71" s="253"/>
      <c r="X71" s="34">
        <v>11</v>
      </c>
      <c r="Y71" s="252"/>
      <c r="Z71" s="253"/>
      <c r="AC71" s="5"/>
      <c r="AG71" s="34">
        <v>11</v>
      </c>
      <c r="AH71" s="2"/>
      <c r="AI71" s="205"/>
      <c r="AK71" s="34">
        <v>11</v>
      </c>
      <c r="AL71" s="2"/>
      <c r="AM71" s="205"/>
      <c r="AO71" s="34">
        <v>11</v>
      </c>
      <c r="AP71" s="2"/>
      <c r="AQ71" s="205"/>
      <c r="AU71" s="34">
        <v>11</v>
      </c>
      <c r="AV71" s="3"/>
      <c r="AW71" s="77"/>
      <c r="AY71" s="34">
        <v>11</v>
      </c>
      <c r="AZ71" s="3"/>
      <c r="BA71" s="77"/>
      <c r="BC71" s="34">
        <v>11</v>
      </c>
      <c r="BD71" s="3"/>
      <c r="BE71" s="77"/>
      <c r="BH71" s="5"/>
      <c r="BL71" s="34">
        <v>11</v>
      </c>
      <c r="BM71" s="3"/>
      <c r="BN71" s="77"/>
      <c r="BP71" s="34">
        <v>11</v>
      </c>
      <c r="BQ71" s="3"/>
      <c r="BR71" s="77"/>
      <c r="BV71" s="34">
        <v>11</v>
      </c>
      <c r="BW71" s="3"/>
      <c r="BX71" s="4"/>
      <c r="BZ71" s="34">
        <v>11</v>
      </c>
      <c r="CA71" s="3"/>
      <c r="CB71" s="77"/>
    </row>
    <row r="72" spans="2:80">
      <c r="B72" s="34">
        <v>12</v>
      </c>
      <c r="C72" s="252"/>
      <c r="D72" s="253"/>
      <c r="F72" s="34">
        <v>12</v>
      </c>
      <c r="G72" s="2"/>
      <c r="H72" s="205"/>
      <c r="J72" s="34">
        <v>12</v>
      </c>
      <c r="K72" s="2"/>
      <c r="L72" s="205"/>
      <c r="N72" s="1"/>
      <c r="P72" s="34">
        <v>12</v>
      </c>
      <c r="Q72" s="2"/>
      <c r="R72" s="205"/>
      <c r="T72" s="34">
        <v>12</v>
      </c>
      <c r="U72" s="252"/>
      <c r="V72" s="253"/>
      <c r="X72" s="34">
        <v>12</v>
      </c>
      <c r="Y72" s="252"/>
      <c r="Z72" s="253"/>
      <c r="AC72" s="5"/>
      <c r="AG72" s="34">
        <v>12</v>
      </c>
      <c r="AH72" s="2"/>
      <c r="AI72" s="205"/>
      <c r="AK72" s="34">
        <v>12</v>
      </c>
      <c r="AL72" s="2"/>
      <c r="AM72" s="205"/>
      <c r="AO72" s="34">
        <v>12</v>
      </c>
      <c r="AP72" s="2"/>
      <c r="AQ72" s="205"/>
      <c r="AU72" s="34">
        <v>12</v>
      </c>
      <c r="AV72" s="3"/>
      <c r="AW72" s="77"/>
      <c r="AY72" s="34">
        <v>12</v>
      </c>
      <c r="AZ72" s="3"/>
      <c r="BA72" s="77"/>
      <c r="BC72" s="34">
        <v>12</v>
      </c>
      <c r="BD72" s="3"/>
      <c r="BE72" s="77"/>
      <c r="BH72" s="5"/>
      <c r="BL72" s="34">
        <v>12</v>
      </c>
      <c r="BM72" s="3"/>
      <c r="BN72" s="77"/>
      <c r="BP72" s="34">
        <v>12</v>
      </c>
      <c r="BQ72" s="3"/>
      <c r="BR72" s="77"/>
      <c r="BV72" s="34">
        <v>12</v>
      </c>
      <c r="BW72" s="3"/>
      <c r="BX72" s="77"/>
      <c r="BZ72" s="34">
        <v>12</v>
      </c>
      <c r="CA72" s="3"/>
      <c r="CB72" s="77"/>
    </row>
    <row r="73" spans="2:80">
      <c r="B73" s="34">
        <v>13</v>
      </c>
      <c r="C73" s="252"/>
      <c r="D73" s="253"/>
      <c r="F73" s="34">
        <v>13</v>
      </c>
      <c r="G73" s="2"/>
      <c r="H73" s="205"/>
      <c r="J73" s="34">
        <v>13</v>
      </c>
      <c r="K73" s="2"/>
      <c r="L73" s="205"/>
      <c r="N73" s="1"/>
      <c r="P73" s="34">
        <v>13</v>
      </c>
      <c r="Q73" s="2"/>
      <c r="R73" s="205"/>
      <c r="T73" s="34">
        <v>13</v>
      </c>
      <c r="U73" s="252"/>
      <c r="V73" s="253"/>
      <c r="X73" s="34">
        <v>13</v>
      </c>
      <c r="Y73" s="252"/>
      <c r="Z73" s="253"/>
      <c r="AC73" s="5"/>
      <c r="AG73" s="34">
        <v>13</v>
      </c>
      <c r="AH73" s="2"/>
      <c r="AI73" s="205"/>
      <c r="AK73" s="34">
        <v>13</v>
      </c>
      <c r="AL73" s="2"/>
      <c r="AM73" s="205"/>
      <c r="AO73" s="34">
        <v>13</v>
      </c>
      <c r="AP73" s="2"/>
      <c r="AQ73" s="205"/>
      <c r="AU73" s="34">
        <v>13</v>
      </c>
      <c r="AV73" s="3"/>
      <c r="AW73" s="77"/>
      <c r="AY73" s="34">
        <v>13</v>
      </c>
      <c r="AZ73" s="3"/>
      <c r="BA73" s="77"/>
      <c r="BC73" s="34">
        <v>13</v>
      </c>
      <c r="BD73" s="3"/>
      <c r="BE73" s="77"/>
      <c r="BH73" s="5"/>
      <c r="BL73" s="34">
        <v>13</v>
      </c>
      <c r="BM73" s="3"/>
      <c r="BN73" s="77"/>
      <c r="BP73" s="34">
        <v>13</v>
      </c>
      <c r="BQ73" s="3"/>
      <c r="BR73" s="77"/>
      <c r="BV73" s="34">
        <v>13</v>
      </c>
      <c r="BW73" s="3"/>
      <c r="BX73" s="77"/>
      <c r="BZ73" s="34">
        <v>13</v>
      </c>
      <c r="CA73" s="3"/>
      <c r="CB73" s="77"/>
    </row>
    <row r="74" spans="2:80">
      <c r="B74" s="34">
        <v>14</v>
      </c>
      <c r="C74" s="252"/>
      <c r="D74" s="253"/>
      <c r="F74" s="34">
        <v>14</v>
      </c>
      <c r="G74" s="2"/>
      <c r="H74" s="205"/>
      <c r="J74" s="34">
        <v>14</v>
      </c>
      <c r="K74" s="2"/>
      <c r="L74" s="205"/>
      <c r="N74" s="1"/>
      <c r="P74" s="34">
        <v>14</v>
      </c>
      <c r="Q74" s="2"/>
      <c r="R74" s="205"/>
      <c r="T74" s="34">
        <v>14</v>
      </c>
      <c r="U74" s="252"/>
      <c r="V74" s="253"/>
      <c r="X74" s="34">
        <v>14</v>
      </c>
      <c r="Y74" s="252"/>
      <c r="Z74" s="253"/>
      <c r="AC74" s="5"/>
      <c r="AG74" s="34">
        <v>14</v>
      </c>
      <c r="AH74" s="2"/>
      <c r="AI74" s="205"/>
      <c r="AK74" s="34">
        <v>14</v>
      </c>
      <c r="AL74" s="2"/>
      <c r="AM74" s="205"/>
      <c r="AO74" s="34">
        <v>14</v>
      </c>
      <c r="AP74" s="2"/>
      <c r="AQ74" s="205"/>
      <c r="AU74" s="34">
        <v>14</v>
      </c>
      <c r="AV74" s="3"/>
      <c r="AW74" s="77"/>
      <c r="AY74" s="34">
        <v>14</v>
      </c>
      <c r="AZ74" s="3"/>
      <c r="BA74" s="77"/>
      <c r="BC74" s="34">
        <v>14</v>
      </c>
      <c r="BD74" s="3"/>
      <c r="BE74" s="77"/>
      <c r="BH74" s="5"/>
      <c r="BL74" s="34">
        <v>14</v>
      </c>
      <c r="BM74" s="3"/>
      <c r="BN74" s="77"/>
      <c r="BP74" s="34">
        <v>14</v>
      </c>
      <c r="BQ74" s="3"/>
      <c r="BR74" s="77"/>
      <c r="BV74" s="34">
        <v>14</v>
      </c>
      <c r="BW74" s="3"/>
      <c r="BX74" s="77"/>
      <c r="BZ74" s="34">
        <v>14</v>
      </c>
      <c r="CA74" s="3"/>
      <c r="CB74" s="77"/>
    </row>
    <row r="75" spans="2:80">
      <c r="B75" s="34">
        <v>15</v>
      </c>
      <c r="C75" s="252"/>
      <c r="D75" s="253"/>
      <c r="F75" s="34">
        <v>15</v>
      </c>
      <c r="G75" s="2"/>
      <c r="H75" s="205"/>
      <c r="J75" s="34">
        <v>15</v>
      </c>
      <c r="K75" s="2"/>
      <c r="L75" s="205"/>
      <c r="N75" s="1"/>
      <c r="P75" s="34">
        <v>15</v>
      </c>
      <c r="Q75" s="2"/>
      <c r="R75" s="205"/>
      <c r="T75" s="34">
        <v>15</v>
      </c>
      <c r="U75" s="252"/>
      <c r="V75" s="253"/>
      <c r="X75" s="34">
        <v>15</v>
      </c>
      <c r="Y75" s="252"/>
      <c r="Z75" s="253"/>
      <c r="AC75" s="5"/>
      <c r="AG75" s="34">
        <v>15</v>
      </c>
      <c r="AH75" s="2"/>
      <c r="AI75" s="205"/>
      <c r="AK75" s="34">
        <v>15</v>
      </c>
      <c r="AL75" s="3"/>
      <c r="AM75" s="77"/>
      <c r="AO75" s="34">
        <v>15</v>
      </c>
      <c r="AP75" s="2"/>
      <c r="AQ75" s="205"/>
      <c r="AU75" s="34">
        <v>15</v>
      </c>
      <c r="AV75" s="3"/>
      <c r="AW75" s="77"/>
      <c r="AY75" s="34">
        <v>15</v>
      </c>
      <c r="AZ75" s="3"/>
      <c r="BA75" s="77"/>
      <c r="BC75" s="34">
        <v>15</v>
      </c>
      <c r="BD75" s="3"/>
      <c r="BE75" s="77"/>
      <c r="BH75" s="5"/>
      <c r="BL75" s="34">
        <v>15</v>
      </c>
      <c r="BM75" s="3"/>
      <c r="BN75" s="77"/>
      <c r="BP75" s="34">
        <v>15</v>
      </c>
      <c r="BQ75" s="3"/>
      <c r="BR75" s="77"/>
      <c r="BV75" s="34">
        <v>15</v>
      </c>
      <c r="BW75" s="3"/>
      <c r="BX75" s="77"/>
      <c r="BZ75" s="34">
        <v>15</v>
      </c>
      <c r="CA75" s="3"/>
      <c r="CB75" s="77"/>
    </row>
    <row r="76" spans="2:80">
      <c r="B76" s="34">
        <v>16</v>
      </c>
      <c r="C76" s="252"/>
      <c r="D76" s="253"/>
      <c r="F76" s="34">
        <v>16</v>
      </c>
      <c r="G76" s="2"/>
      <c r="H76" s="205"/>
      <c r="J76" s="34">
        <v>16</v>
      </c>
      <c r="K76" s="2"/>
      <c r="L76" s="205"/>
      <c r="N76" s="1"/>
      <c r="P76" s="34">
        <v>16</v>
      </c>
      <c r="Q76" s="2"/>
      <c r="R76" s="205"/>
      <c r="T76" s="34">
        <v>16</v>
      </c>
      <c r="U76" s="252"/>
      <c r="V76" s="253"/>
      <c r="X76" s="34">
        <v>16</v>
      </c>
      <c r="Y76" s="252"/>
      <c r="Z76" s="253"/>
      <c r="AC76" s="5"/>
      <c r="AG76" s="34">
        <v>16</v>
      </c>
      <c r="AH76" s="2"/>
      <c r="AI76" s="205"/>
      <c r="AK76" s="34">
        <v>16</v>
      </c>
      <c r="AL76" s="3"/>
      <c r="AM76" s="77"/>
      <c r="AO76" s="34">
        <v>16</v>
      </c>
      <c r="AP76" s="2"/>
      <c r="AQ76" s="205"/>
      <c r="AU76" s="34">
        <v>16</v>
      </c>
      <c r="AV76" s="3"/>
      <c r="AW76" s="77"/>
      <c r="AY76" s="34">
        <v>16</v>
      </c>
      <c r="AZ76" s="3"/>
      <c r="BA76" s="77"/>
      <c r="BC76" s="34">
        <v>16</v>
      </c>
      <c r="BD76" s="3"/>
      <c r="BE76" s="77"/>
      <c r="BH76" s="5"/>
      <c r="BL76" s="34">
        <v>16</v>
      </c>
      <c r="BM76" s="3"/>
      <c r="BN76" s="77"/>
      <c r="BP76" s="34">
        <v>16</v>
      </c>
      <c r="BQ76" s="3"/>
      <c r="BR76" s="77"/>
      <c r="BV76" s="34">
        <v>16</v>
      </c>
      <c r="BW76" s="3"/>
      <c r="BX76" s="77"/>
      <c r="BZ76" s="34">
        <v>16</v>
      </c>
      <c r="CA76" s="3"/>
      <c r="CB76" s="77"/>
    </row>
    <row r="77" spans="2:80">
      <c r="B77" s="34">
        <v>17</v>
      </c>
      <c r="C77" s="252"/>
      <c r="D77" s="253"/>
      <c r="F77" s="34">
        <v>17</v>
      </c>
      <c r="G77" s="2"/>
      <c r="H77" s="205"/>
      <c r="J77" s="34">
        <v>17</v>
      </c>
      <c r="K77" s="2"/>
      <c r="L77" s="205"/>
      <c r="N77" s="1"/>
      <c r="P77" s="34">
        <v>17</v>
      </c>
      <c r="Q77" s="2"/>
      <c r="R77" s="205"/>
      <c r="T77" s="34">
        <v>17</v>
      </c>
      <c r="U77" s="252"/>
      <c r="V77" s="253"/>
      <c r="X77" s="34">
        <v>17</v>
      </c>
      <c r="Y77" s="252"/>
      <c r="Z77" s="253"/>
      <c r="AC77" s="5"/>
      <c r="AG77" s="34">
        <v>17</v>
      </c>
      <c r="AH77" s="3"/>
      <c r="AI77" s="77"/>
      <c r="AK77" s="34">
        <v>17</v>
      </c>
      <c r="AL77" s="3"/>
      <c r="AM77" s="77"/>
      <c r="AO77" s="34">
        <v>17</v>
      </c>
      <c r="AP77" s="3"/>
      <c r="AQ77" s="77"/>
      <c r="AU77" s="34">
        <v>17</v>
      </c>
      <c r="AV77" s="3"/>
      <c r="AW77" s="77"/>
      <c r="AY77" s="34">
        <v>17</v>
      </c>
      <c r="AZ77" s="3"/>
      <c r="BA77" s="77"/>
      <c r="BC77" s="34">
        <v>17</v>
      </c>
      <c r="BD77" s="3"/>
      <c r="BE77" s="77"/>
      <c r="BH77" s="5"/>
      <c r="BL77" s="34">
        <v>17</v>
      </c>
      <c r="BM77" s="3"/>
      <c r="BN77" s="77"/>
      <c r="BP77" s="34">
        <v>17</v>
      </c>
      <c r="BQ77" s="3"/>
      <c r="BR77" s="77"/>
      <c r="BV77" s="34">
        <v>17</v>
      </c>
      <c r="BW77" s="3"/>
      <c r="BX77" s="77"/>
      <c r="BZ77" s="34">
        <v>17</v>
      </c>
      <c r="CA77" s="3"/>
      <c r="CB77" s="77"/>
    </row>
    <row r="78" spans="2:80">
      <c r="B78" s="34">
        <v>18</v>
      </c>
      <c r="C78" s="2"/>
      <c r="D78" s="205"/>
      <c r="F78" s="34">
        <v>18</v>
      </c>
      <c r="G78" s="2"/>
      <c r="H78" s="205"/>
      <c r="J78" s="34">
        <v>18</v>
      </c>
      <c r="K78" s="2"/>
      <c r="L78" s="205"/>
      <c r="N78" s="1"/>
      <c r="P78" s="34">
        <v>18</v>
      </c>
      <c r="Q78" s="3"/>
      <c r="R78" s="77"/>
      <c r="T78" s="34">
        <v>18</v>
      </c>
      <c r="U78" s="3"/>
      <c r="V78" s="77"/>
      <c r="X78" s="34">
        <v>18</v>
      </c>
      <c r="Y78" s="3"/>
      <c r="Z78" s="77"/>
      <c r="AC78" s="5"/>
      <c r="AG78" s="34">
        <v>18</v>
      </c>
      <c r="AH78" s="3"/>
      <c r="AI78" s="77"/>
      <c r="AK78" s="34">
        <v>18</v>
      </c>
      <c r="AL78" s="3"/>
      <c r="AM78" s="77"/>
      <c r="AO78" s="34">
        <v>18</v>
      </c>
      <c r="AP78" s="3"/>
      <c r="AQ78" s="77"/>
      <c r="AU78" s="34">
        <v>18</v>
      </c>
      <c r="AV78" s="3"/>
      <c r="AW78" s="77"/>
      <c r="AY78" s="34">
        <v>18</v>
      </c>
      <c r="AZ78" s="3"/>
      <c r="BA78" s="77"/>
      <c r="BC78" s="34">
        <v>18</v>
      </c>
      <c r="BD78" s="3"/>
      <c r="BE78" s="77"/>
      <c r="BH78" s="5"/>
      <c r="BL78" s="34">
        <v>18</v>
      </c>
      <c r="BM78" s="3"/>
      <c r="BN78" s="77"/>
      <c r="BP78" s="34">
        <v>18</v>
      </c>
      <c r="BQ78" s="3"/>
      <c r="BR78" s="77"/>
      <c r="BV78" s="34">
        <v>18</v>
      </c>
      <c r="BW78" s="3"/>
      <c r="BX78" s="77"/>
      <c r="BZ78" s="34">
        <v>18</v>
      </c>
      <c r="CA78" s="3"/>
      <c r="CB78" s="77"/>
    </row>
    <row r="79" spans="2:80">
      <c r="B79" s="34">
        <v>19</v>
      </c>
      <c r="C79" s="2"/>
      <c r="D79" s="205"/>
      <c r="F79" s="34">
        <v>19</v>
      </c>
      <c r="G79" s="2"/>
      <c r="H79" s="205"/>
      <c r="J79" s="34">
        <v>19</v>
      </c>
      <c r="K79" s="2"/>
      <c r="L79" s="205"/>
      <c r="N79" s="1"/>
      <c r="P79" s="34">
        <v>19</v>
      </c>
      <c r="Q79" s="3"/>
      <c r="R79" s="77"/>
      <c r="T79" s="34">
        <v>19</v>
      </c>
      <c r="U79" s="3"/>
      <c r="V79" s="77"/>
      <c r="X79" s="34">
        <v>19</v>
      </c>
      <c r="Y79" s="3"/>
      <c r="Z79" s="77"/>
      <c r="AC79" s="5"/>
      <c r="AG79" s="34">
        <v>19</v>
      </c>
      <c r="AH79" s="3"/>
      <c r="AI79" s="77"/>
      <c r="AK79" s="34">
        <v>19</v>
      </c>
      <c r="AL79" s="3"/>
      <c r="AM79" s="77"/>
      <c r="AO79" s="34">
        <v>19</v>
      </c>
      <c r="AP79" s="3"/>
      <c r="AQ79" s="77"/>
      <c r="AU79" s="34">
        <v>19</v>
      </c>
      <c r="AV79" s="3"/>
      <c r="AW79" s="77"/>
      <c r="AY79" s="34">
        <v>19</v>
      </c>
      <c r="AZ79" s="3"/>
      <c r="BA79" s="77"/>
      <c r="BC79" s="34">
        <v>19</v>
      </c>
      <c r="BD79" s="3"/>
      <c r="BE79" s="77"/>
      <c r="BH79" s="5"/>
      <c r="BL79" s="34">
        <v>19</v>
      </c>
      <c r="BM79" s="3"/>
      <c r="BN79" s="77"/>
      <c r="BP79" s="34">
        <v>19</v>
      </c>
      <c r="BQ79" s="3"/>
      <c r="BR79" s="4"/>
      <c r="BV79" s="34">
        <v>19</v>
      </c>
      <c r="BW79" s="3"/>
      <c r="BX79" s="4"/>
      <c r="BZ79" s="34">
        <v>19</v>
      </c>
      <c r="CA79" s="3"/>
      <c r="CB79" s="77"/>
    </row>
    <row r="80" spans="2:80">
      <c r="B80" s="34">
        <v>20</v>
      </c>
      <c r="C80" s="2"/>
      <c r="D80" s="205"/>
      <c r="F80" s="34">
        <v>20</v>
      </c>
      <c r="G80" s="2"/>
      <c r="H80" s="205"/>
      <c r="J80" s="34">
        <v>20</v>
      </c>
      <c r="K80" s="2"/>
      <c r="L80" s="205"/>
      <c r="N80" s="1"/>
      <c r="P80" s="34">
        <v>20</v>
      </c>
      <c r="Q80" s="3"/>
      <c r="R80" s="77"/>
      <c r="T80" s="34">
        <v>20</v>
      </c>
      <c r="U80" s="3"/>
      <c r="V80" s="77"/>
      <c r="X80" s="34">
        <v>20</v>
      </c>
      <c r="Y80" s="3"/>
      <c r="Z80" s="77"/>
      <c r="AC80" s="5"/>
      <c r="AG80" s="34">
        <v>20</v>
      </c>
      <c r="AH80" s="3"/>
      <c r="AI80" s="77"/>
      <c r="AK80" s="34">
        <v>20</v>
      </c>
      <c r="AL80" s="3"/>
      <c r="AM80" s="77"/>
      <c r="AO80" s="34">
        <v>20</v>
      </c>
      <c r="AP80" s="3"/>
      <c r="AQ80" s="77"/>
      <c r="AU80" s="34">
        <v>20</v>
      </c>
      <c r="AV80" s="3"/>
      <c r="AW80" s="77"/>
      <c r="AY80" s="34">
        <v>20</v>
      </c>
      <c r="AZ80" s="3"/>
      <c r="BA80" s="77"/>
      <c r="BC80" s="34">
        <v>20</v>
      </c>
      <c r="BD80" s="3"/>
      <c r="BE80" s="77"/>
      <c r="BH80" s="5"/>
      <c r="BL80" s="34">
        <v>20</v>
      </c>
      <c r="BM80" s="3"/>
      <c r="BN80" s="77"/>
      <c r="BP80" s="34">
        <v>20</v>
      </c>
      <c r="BQ80" s="3"/>
      <c r="BR80" s="77"/>
      <c r="BV80" s="34">
        <v>20</v>
      </c>
      <c r="BW80" s="3"/>
      <c r="BX80" s="77"/>
      <c r="BZ80" s="34">
        <v>20</v>
      </c>
      <c r="CA80" s="3"/>
      <c r="CB80" s="77"/>
    </row>
    <row r="81" spans="2:86">
      <c r="B81" s="34">
        <v>21</v>
      </c>
      <c r="C81" s="2"/>
      <c r="D81" s="205"/>
      <c r="F81" s="34">
        <v>21</v>
      </c>
      <c r="G81" s="2"/>
      <c r="H81" s="205"/>
      <c r="J81" s="34">
        <v>21</v>
      </c>
      <c r="K81" s="2"/>
      <c r="L81" s="205"/>
      <c r="N81" s="1"/>
      <c r="P81" s="34">
        <v>21</v>
      </c>
      <c r="Q81" s="3"/>
      <c r="R81" s="77"/>
      <c r="T81" s="34">
        <v>21</v>
      </c>
      <c r="U81" s="2"/>
      <c r="V81" s="205"/>
      <c r="X81" s="34">
        <v>21</v>
      </c>
      <c r="Y81" s="2"/>
      <c r="Z81" s="205"/>
      <c r="AC81" s="5"/>
      <c r="AG81" s="34">
        <v>21</v>
      </c>
      <c r="AH81" s="3"/>
      <c r="AI81" s="77"/>
      <c r="AK81" s="34">
        <v>21</v>
      </c>
      <c r="AL81" s="3"/>
      <c r="AM81" s="77"/>
      <c r="AO81" s="34">
        <v>21</v>
      </c>
      <c r="AP81" s="3"/>
      <c r="AQ81" s="77"/>
      <c r="AU81" s="34">
        <v>21</v>
      </c>
      <c r="AV81" s="3"/>
      <c r="AW81" s="77"/>
      <c r="AY81" s="34">
        <v>21</v>
      </c>
      <c r="AZ81" s="3"/>
      <c r="BA81" s="77"/>
      <c r="BC81" s="34">
        <v>21</v>
      </c>
      <c r="BD81" s="3"/>
      <c r="BE81" s="77"/>
      <c r="BH81" s="5"/>
      <c r="BL81" s="34">
        <v>21</v>
      </c>
      <c r="BM81" s="3"/>
      <c r="BN81" s="77"/>
      <c r="BP81" s="34">
        <v>21</v>
      </c>
      <c r="BQ81" s="3"/>
      <c r="BR81" s="77"/>
      <c r="BV81" s="34">
        <v>21</v>
      </c>
      <c r="BW81" s="3"/>
      <c r="BX81" s="4"/>
      <c r="BZ81" s="34">
        <v>21</v>
      </c>
      <c r="CA81" s="3"/>
      <c r="CB81" s="77"/>
    </row>
    <row r="82" spans="2:86">
      <c r="B82" s="34">
        <v>22</v>
      </c>
      <c r="C82" s="3"/>
      <c r="D82" s="77"/>
      <c r="F82" s="34">
        <v>22</v>
      </c>
      <c r="G82" s="3"/>
      <c r="H82" s="77"/>
      <c r="J82" s="34">
        <v>22</v>
      </c>
      <c r="K82" s="3"/>
      <c r="L82" s="77"/>
      <c r="N82" s="1"/>
      <c r="P82" s="34">
        <v>22</v>
      </c>
      <c r="Q82" s="3"/>
      <c r="R82" s="77"/>
      <c r="T82" s="34">
        <v>22</v>
      </c>
      <c r="U82" s="3"/>
      <c r="V82" s="205"/>
      <c r="X82" s="34">
        <v>22</v>
      </c>
      <c r="Y82" s="3"/>
      <c r="Z82" s="77"/>
      <c r="AC82" s="5"/>
      <c r="AG82" s="34">
        <v>22</v>
      </c>
      <c r="AH82" s="3"/>
      <c r="AI82" s="77"/>
      <c r="AK82" s="34">
        <v>22</v>
      </c>
      <c r="AL82" s="3"/>
      <c r="AM82" s="77"/>
      <c r="AO82" s="34">
        <v>22</v>
      </c>
      <c r="AP82" s="3"/>
      <c r="AQ82" s="77"/>
      <c r="AU82" s="34">
        <v>22</v>
      </c>
      <c r="AV82" s="3"/>
      <c r="AW82" s="77"/>
      <c r="AY82" s="34">
        <v>22</v>
      </c>
      <c r="AZ82" s="3"/>
      <c r="BA82" s="77"/>
      <c r="BC82" s="34">
        <v>22</v>
      </c>
      <c r="BD82" s="3"/>
      <c r="BE82" s="77"/>
      <c r="BH82" s="5"/>
      <c r="BL82" s="34">
        <v>22</v>
      </c>
      <c r="BM82" s="3"/>
      <c r="BN82" s="4"/>
      <c r="BP82" s="34">
        <v>22</v>
      </c>
      <c r="BQ82" s="3"/>
      <c r="BR82" s="4"/>
      <c r="BV82" s="34">
        <v>22</v>
      </c>
      <c r="BW82" s="3"/>
      <c r="BX82" s="4"/>
      <c r="BZ82" s="34">
        <v>22</v>
      </c>
      <c r="CA82" s="3"/>
      <c r="CB82" s="4"/>
    </row>
    <row r="83" spans="2:86">
      <c r="B83" s="34">
        <v>23</v>
      </c>
      <c r="C83" s="3"/>
      <c r="D83" s="77"/>
      <c r="F83" s="34">
        <v>23</v>
      </c>
      <c r="G83" s="3"/>
      <c r="H83" s="77"/>
      <c r="J83" s="34">
        <v>23</v>
      </c>
      <c r="K83" s="3"/>
      <c r="L83" s="77"/>
      <c r="N83" s="1"/>
      <c r="P83" s="34">
        <v>23</v>
      </c>
      <c r="Q83" s="3"/>
      <c r="R83" s="77"/>
      <c r="T83" s="34">
        <v>23</v>
      </c>
      <c r="U83" s="3"/>
      <c r="V83" s="77"/>
      <c r="X83" s="34">
        <v>23</v>
      </c>
      <c r="Y83" s="3"/>
      <c r="Z83" s="77"/>
      <c r="AC83" s="5"/>
      <c r="AG83" s="34">
        <v>23</v>
      </c>
      <c r="AH83" s="3"/>
      <c r="AI83" s="77"/>
      <c r="AK83" s="34">
        <v>23</v>
      </c>
      <c r="AL83" s="3"/>
      <c r="AM83" s="77"/>
      <c r="AO83" s="34">
        <v>23</v>
      </c>
      <c r="AP83" s="3"/>
      <c r="AQ83" s="77"/>
      <c r="AU83" s="34">
        <v>23</v>
      </c>
      <c r="AV83" s="3"/>
      <c r="AW83" s="77"/>
      <c r="AY83" s="34">
        <v>23</v>
      </c>
      <c r="AZ83" s="3"/>
      <c r="BA83" s="77"/>
      <c r="BC83" s="34">
        <v>23</v>
      </c>
      <c r="BD83" s="3"/>
      <c r="BE83" s="77"/>
      <c r="BH83" s="5"/>
      <c r="BL83" s="34">
        <v>23</v>
      </c>
      <c r="BM83" s="3"/>
      <c r="BN83" s="4"/>
      <c r="BP83" s="34">
        <v>23</v>
      </c>
      <c r="BQ83" s="3"/>
      <c r="BR83" s="4"/>
      <c r="BV83" s="34">
        <v>23</v>
      </c>
      <c r="BW83" s="3"/>
      <c r="BX83" s="4"/>
      <c r="BZ83" s="34">
        <v>23</v>
      </c>
      <c r="CA83" s="3"/>
      <c r="CB83" s="4"/>
    </row>
    <row r="84" spans="2:86">
      <c r="AC84" s="5"/>
      <c r="AG84" s="10"/>
      <c r="AH84" s="8"/>
      <c r="AK84" s="10"/>
      <c r="AL84" s="8"/>
      <c r="AO84" s="10"/>
      <c r="AP84" s="8"/>
      <c r="AU84"/>
      <c r="BC84"/>
      <c r="BH84" s="5"/>
    </row>
    <row r="85" spans="2:86">
      <c r="AC85" s="5"/>
      <c r="AG85" s="10"/>
      <c r="AH85" s="8"/>
      <c r="AK85" s="10"/>
      <c r="AL85" s="8"/>
      <c r="AO85" s="10"/>
      <c r="AP85" s="8"/>
      <c r="AU85"/>
      <c r="BC85"/>
      <c r="BH85" s="5"/>
    </row>
    <row r="86" spans="2:86">
      <c r="AC86" s="5"/>
      <c r="AU86"/>
      <c r="BC86"/>
      <c r="BH86" s="5"/>
    </row>
    <row r="87" spans="2:86" s="1" customFormat="1" ht="20.25">
      <c r="B87" s="54"/>
      <c r="C87" s="55">
        <f>'NRB 공장 내부 배치도'!C7</f>
        <v>0</v>
      </c>
      <c r="D87" s="199"/>
      <c r="F87" s="54"/>
      <c r="G87" s="55">
        <f>'NRB 공장 내부 배치도'!D7</f>
        <v>0</v>
      </c>
      <c r="H87" s="199"/>
      <c r="J87" s="54"/>
      <c r="K87" s="55">
        <f>'NRB 공장 내부 배치도'!E7</f>
        <v>0</v>
      </c>
      <c r="L87" s="199"/>
      <c r="P87" s="54"/>
      <c r="Q87" s="55">
        <f>'NRB 공장 내부 배치도'!G8</f>
        <v>0</v>
      </c>
      <c r="R87" s="199"/>
      <c r="T87" s="54"/>
      <c r="U87" s="55" t="e">
        <f>'NRB 공장 내부 배치도'!#REF!</f>
        <v>#REF!</v>
      </c>
      <c r="V87" s="199"/>
      <c r="X87" s="54"/>
      <c r="Y87" s="55">
        <f>'NRB 공장 내부 배치도'!H8</f>
        <v>0</v>
      </c>
      <c r="Z87" s="199"/>
      <c r="AC87" s="71"/>
      <c r="AG87" s="54"/>
      <c r="AH87" s="55">
        <f>'NRB 공장 내부 배치도'!L8</f>
        <v>0</v>
      </c>
      <c r="AI87" s="199"/>
      <c r="AK87" s="54"/>
      <c r="AL87" s="55">
        <f>'NRB 공장 내부 배치도'!M8</f>
        <v>0</v>
      </c>
      <c r="AM87" s="199"/>
      <c r="AO87" s="54"/>
      <c r="AP87" s="55">
        <f>'NRB 공장 내부 배치도'!N8</f>
        <v>0</v>
      </c>
      <c r="AQ87" s="199"/>
      <c r="AU87" s="54"/>
      <c r="AV87" s="55">
        <f>'NRB 공장 내부 배치도'!P8</f>
        <v>0</v>
      </c>
      <c r="AW87" s="199"/>
      <c r="AY87" s="11"/>
      <c r="AZ87" s="55">
        <f>'NRB 공장 내부 배치도'!Q8</f>
        <v>0</v>
      </c>
      <c r="BA87" s="207"/>
      <c r="BC87" s="54"/>
      <c r="BD87" s="55">
        <f>'NRB 공장 내부 배치도'!R8</f>
        <v>0</v>
      </c>
      <c r="BE87" s="199"/>
      <c r="BF87" s="204"/>
      <c r="BH87" s="71"/>
      <c r="BL87" s="54"/>
      <c r="BM87" s="55">
        <f>'NRB 공장 내부 배치도'!U8</f>
        <v>0</v>
      </c>
      <c r="BN87" s="56"/>
      <c r="BP87" s="54"/>
      <c r="BQ87" s="55">
        <f>'NRB 공장 내부 배치도'!V8</f>
        <v>0</v>
      </c>
      <c r="BR87" s="56"/>
      <c r="BV87" s="54"/>
      <c r="BW87" s="55">
        <f>'NRB 공장 내부 배치도'!X8</f>
        <v>0</v>
      </c>
      <c r="BX87" s="56"/>
      <c r="BZ87" s="54"/>
      <c r="CA87" s="55">
        <f>'NRB 공장 내부 배치도'!Y8</f>
        <v>0</v>
      </c>
      <c r="CB87" s="56"/>
      <c r="CF87" s="71"/>
      <c r="CG87" s="71"/>
      <c r="CH87" s="71"/>
    </row>
    <row r="88" spans="2:86">
      <c r="B88" s="34">
        <v>1</v>
      </c>
      <c r="C88" s="2"/>
      <c r="D88" s="205"/>
      <c r="F88" s="34">
        <v>1</v>
      </c>
      <c r="G88" s="2"/>
      <c r="H88" s="205"/>
      <c r="J88" s="34">
        <v>1</v>
      </c>
      <c r="K88" s="2"/>
      <c r="L88" s="205"/>
      <c r="P88" s="34">
        <v>1</v>
      </c>
      <c r="Q88" s="2"/>
      <c r="R88" s="205"/>
      <c r="T88" s="34">
        <v>1</v>
      </c>
      <c r="U88" s="2"/>
      <c r="V88" s="205"/>
      <c r="X88" s="34">
        <v>1</v>
      </c>
      <c r="Y88" s="2"/>
      <c r="Z88" s="205"/>
      <c r="AC88" s="5"/>
      <c r="AG88" s="34">
        <v>1</v>
      </c>
      <c r="AH88" s="2"/>
      <c r="AI88" s="205"/>
      <c r="AK88" s="34">
        <v>1</v>
      </c>
      <c r="AL88" s="2"/>
      <c r="AM88" s="205"/>
      <c r="AO88" s="34">
        <v>1</v>
      </c>
      <c r="AP88" s="2"/>
      <c r="AQ88" s="205"/>
      <c r="AU88" s="34">
        <v>1</v>
      </c>
      <c r="AV88" s="2"/>
      <c r="AW88" s="205"/>
      <c r="AY88" s="34">
        <v>1</v>
      </c>
      <c r="AZ88" s="2"/>
      <c r="BA88" s="205"/>
      <c r="BC88" s="34">
        <v>1</v>
      </c>
      <c r="BD88" s="2"/>
      <c r="BE88" s="205"/>
      <c r="BH88" s="5"/>
      <c r="BL88" s="34">
        <v>1</v>
      </c>
      <c r="BM88" s="3"/>
      <c r="BN88" s="77"/>
      <c r="BP88" s="34">
        <v>1</v>
      </c>
      <c r="BQ88" s="3"/>
      <c r="BR88" s="77"/>
      <c r="BV88" s="34">
        <v>1</v>
      </c>
      <c r="BW88" s="3"/>
      <c r="BX88" s="77"/>
      <c r="BZ88" s="34">
        <v>1</v>
      </c>
      <c r="CA88" s="3"/>
      <c r="CB88" s="77"/>
    </row>
    <row r="89" spans="2:86">
      <c r="B89" s="34">
        <v>2</v>
      </c>
      <c r="C89" s="2"/>
      <c r="D89" s="205"/>
      <c r="F89" s="34">
        <v>2</v>
      </c>
      <c r="G89" s="2"/>
      <c r="H89" s="205"/>
      <c r="J89" s="34">
        <v>2</v>
      </c>
      <c r="K89" s="2"/>
      <c r="L89" s="205"/>
      <c r="P89" s="34">
        <v>2</v>
      </c>
      <c r="Q89" s="2"/>
      <c r="R89" s="205"/>
      <c r="T89" s="34">
        <v>2</v>
      </c>
      <c r="U89" s="2"/>
      <c r="V89" s="205"/>
      <c r="X89" s="34">
        <v>2</v>
      </c>
      <c r="Y89" s="2"/>
      <c r="Z89" s="205"/>
      <c r="AC89" s="5"/>
      <c r="AG89" s="35">
        <v>2</v>
      </c>
      <c r="AH89" s="2"/>
      <c r="AI89" s="205"/>
      <c r="AK89" s="35">
        <v>2</v>
      </c>
      <c r="AL89" s="139"/>
      <c r="AM89" s="205"/>
      <c r="AO89" s="35">
        <v>2</v>
      </c>
      <c r="AP89" s="2"/>
      <c r="AQ89" s="205"/>
      <c r="AU89" s="34">
        <v>2</v>
      </c>
      <c r="AV89" s="2"/>
      <c r="AW89" s="205"/>
      <c r="AY89" s="34">
        <v>2</v>
      </c>
      <c r="AZ89" s="2"/>
      <c r="BA89" s="205"/>
      <c r="BC89" s="34">
        <v>2</v>
      </c>
      <c r="BD89" s="2"/>
      <c r="BE89" s="205"/>
      <c r="BH89" s="5"/>
      <c r="BL89" s="34">
        <v>2</v>
      </c>
      <c r="BM89" s="3"/>
      <c r="BN89" s="77"/>
      <c r="BP89" s="34">
        <v>2</v>
      </c>
      <c r="BQ89" s="3"/>
      <c r="BR89" s="77"/>
      <c r="BV89" s="34">
        <v>2</v>
      </c>
      <c r="BW89" s="3"/>
      <c r="BX89" s="77"/>
      <c r="BZ89" s="34">
        <v>2</v>
      </c>
      <c r="CA89" s="3"/>
      <c r="CB89" s="77"/>
    </row>
    <row r="90" spans="2:86">
      <c r="B90" s="34">
        <v>3</v>
      </c>
      <c r="C90" s="2"/>
      <c r="D90" s="205"/>
      <c r="F90" s="34">
        <v>3</v>
      </c>
      <c r="G90" s="2"/>
      <c r="H90" s="205"/>
      <c r="J90" s="34">
        <v>3</v>
      </c>
      <c r="K90" s="2"/>
      <c r="L90" s="205"/>
      <c r="P90" s="34">
        <v>3</v>
      </c>
      <c r="Q90" s="2"/>
      <c r="R90" s="205"/>
      <c r="T90" s="34">
        <v>3</v>
      </c>
      <c r="U90" s="2"/>
      <c r="V90" s="205"/>
      <c r="X90" s="34">
        <v>3</v>
      </c>
      <c r="Y90" s="2"/>
      <c r="Z90" s="205"/>
      <c r="AC90" s="5"/>
      <c r="AG90" s="35">
        <v>3</v>
      </c>
      <c r="AH90" s="2"/>
      <c r="AI90" s="205"/>
      <c r="AK90" s="35">
        <v>3</v>
      </c>
      <c r="AL90" s="2"/>
      <c r="AM90" s="205"/>
      <c r="AO90" s="35">
        <v>3</v>
      </c>
      <c r="AP90" s="2"/>
      <c r="AQ90" s="205"/>
      <c r="AU90" s="34">
        <v>3</v>
      </c>
      <c r="AV90" s="2"/>
      <c r="AW90" s="205"/>
      <c r="AY90" s="34">
        <v>3</v>
      </c>
      <c r="AZ90" s="2"/>
      <c r="BA90" s="205"/>
      <c r="BC90" s="34">
        <v>3</v>
      </c>
      <c r="BD90" s="2"/>
      <c r="BE90" s="205"/>
      <c r="BH90" s="5"/>
      <c r="BL90" s="34">
        <v>3</v>
      </c>
      <c r="BM90" s="3"/>
      <c r="BN90" s="77"/>
      <c r="BP90" s="34">
        <v>3</v>
      </c>
      <c r="BQ90" s="3"/>
      <c r="BR90" s="77"/>
      <c r="BV90" s="34">
        <v>3</v>
      </c>
      <c r="BW90" s="3"/>
      <c r="BX90" s="77"/>
      <c r="BZ90" s="34">
        <v>3</v>
      </c>
      <c r="CA90" s="3"/>
      <c r="CB90" s="77"/>
    </row>
    <row r="91" spans="2:86">
      <c r="B91" s="34">
        <v>4</v>
      </c>
      <c r="C91" s="2"/>
      <c r="D91" s="205"/>
      <c r="F91" s="34">
        <v>4</v>
      </c>
      <c r="G91" s="2"/>
      <c r="H91" s="205"/>
      <c r="J91" s="34">
        <v>4</v>
      </c>
      <c r="K91" s="2"/>
      <c r="L91" s="205"/>
      <c r="P91" s="34">
        <v>4</v>
      </c>
      <c r="Q91" s="2"/>
      <c r="R91" s="205"/>
      <c r="T91" s="34">
        <v>4</v>
      </c>
      <c r="U91" s="2"/>
      <c r="V91" s="205"/>
      <c r="X91" s="34">
        <v>4</v>
      </c>
      <c r="Y91" s="2"/>
      <c r="Z91" s="205"/>
      <c r="AC91" s="5"/>
      <c r="AG91" s="35">
        <v>4</v>
      </c>
      <c r="AH91" s="2"/>
      <c r="AI91" s="205"/>
      <c r="AK91" s="35">
        <v>4</v>
      </c>
      <c r="AL91" s="2"/>
      <c r="AM91" s="205"/>
      <c r="AO91" s="35">
        <v>4</v>
      </c>
      <c r="AP91" s="2"/>
      <c r="AQ91" s="205"/>
      <c r="AU91" s="34">
        <v>4</v>
      </c>
      <c r="AV91" s="2"/>
      <c r="AW91" s="205"/>
      <c r="AY91" s="34">
        <v>4</v>
      </c>
      <c r="AZ91" s="2"/>
      <c r="BA91" s="205"/>
      <c r="BC91" s="34">
        <v>4</v>
      </c>
      <c r="BD91" s="2"/>
      <c r="BE91" s="205"/>
      <c r="BH91" s="5"/>
      <c r="BL91" s="34">
        <v>4</v>
      </c>
      <c r="BM91" s="3"/>
      <c r="BN91" s="77"/>
      <c r="BP91" s="34">
        <v>4</v>
      </c>
      <c r="BQ91" s="3"/>
      <c r="BR91" s="77"/>
      <c r="BV91" s="34">
        <v>4</v>
      </c>
      <c r="BW91" s="3"/>
      <c r="BX91" s="77"/>
      <c r="BZ91" s="34">
        <v>4</v>
      </c>
      <c r="CA91" s="3"/>
      <c r="CB91" s="77"/>
    </row>
    <row r="92" spans="2:86">
      <c r="B92" s="34">
        <v>5</v>
      </c>
      <c r="C92" s="2"/>
      <c r="D92" s="205"/>
      <c r="F92" s="34">
        <v>5</v>
      </c>
      <c r="G92" s="2"/>
      <c r="H92" s="205"/>
      <c r="J92" s="34">
        <v>5</v>
      </c>
      <c r="K92" s="2"/>
      <c r="L92" s="205"/>
      <c r="P92" s="34">
        <v>5</v>
      </c>
      <c r="Q92" s="2"/>
      <c r="R92" s="205"/>
      <c r="T92" s="34">
        <v>5</v>
      </c>
      <c r="U92" s="2"/>
      <c r="V92" s="205"/>
      <c r="X92" s="34">
        <v>5</v>
      </c>
      <c r="Y92" s="2"/>
      <c r="Z92" s="205"/>
      <c r="AC92" s="5"/>
      <c r="AG92" s="35">
        <v>5</v>
      </c>
      <c r="AH92" s="2"/>
      <c r="AI92" s="205"/>
      <c r="AK92" s="35">
        <v>5</v>
      </c>
      <c r="AL92" s="2"/>
      <c r="AM92" s="205"/>
      <c r="AO92" s="35">
        <v>5</v>
      </c>
      <c r="AP92" s="2"/>
      <c r="AQ92" s="205"/>
      <c r="AU92" s="34">
        <v>5</v>
      </c>
      <c r="AV92" s="2"/>
      <c r="AW92" s="205"/>
      <c r="AY92" s="34">
        <v>5</v>
      </c>
      <c r="AZ92" s="2"/>
      <c r="BA92" s="205"/>
      <c r="BC92" s="34">
        <v>5</v>
      </c>
      <c r="BD92" s="2"/>
      <c r="BE92" s="205"/>
      <c r="BH92" s="5"/>
      <c r="BL92" s="34">
        <v>5</v>
      </c>
      <c r="BM92" s="3"/>
      <c r="BN92" s="77"/>
      <c r="BP92" s="34">
        <v>5</v>
      </c>
      <c r="BQ92" s="3"/>
      <c r="BR92" s="77"/>
      <c r="BV92" s="34">
        <v>5</v>
      </c>
      <c r="BW92" s="3"/>
      <c r="BX92" s="77"/>
      <c r="BZ92" s="34">
        <v>5</v>
      </c>
      <c r="CA92" s="3"/>
      <c r="CB92" s="77"/>
    </row>
    <row r="93" spans="2:86">
      <c r="B93" s="34">
        <v>6</v>
      </c>
      <c r="C93" s="2"/>
      <c r="D93" s="205"/>
      <c r="F93" s="34">
        <v>6</v>
      </c>
      <c r="G93" s="2"/>
      <c r="H93" s="205"/>
      <c r="J93" s="34">
        <v>6</v>
      </c>
      <c r="K93" s="2"/>
      <c r="L93" s="205"/>
      <c r="P93" s="34">
        <v>6</v>
      </c>
      <c r="Q93" s="2"/>
      <c r="R93" s="205"/>
      <c r="T93" s="34">
        <v>6</v>
      </c>
      <c r="U93" s="2"/>
      <c r="V93" s="205"/>
      <c r="X93" s="34">
        <v>6</v>
      </c>
      <c r="Y93" s="2"/>
      <c r="Z93" s="205"/>
      <c r="AC93" s="5"/>
      <c r="AG93" s="35">
        <v>6</v>
      </c>
      <c r="AH93" s="2"/>
      <c r="AI93" s="205"/>
      <c r="AK93" s="35">
        <v>6</v>
      </c>
      <c r="AL93" s="2"/>
      <c r="AM93" s="205"/>
      <c r="AO93" s="35">
        <v>6</v>
      </c>
      <c r="AP93" s="2"/>
      <c r="AQ93" s="205"/>
      <c r="AU93" s="34">
        <v>6</v>
      </c>
      <c r="AV93" s="2"/>
      <c r="AW93" s="205"/>
      <c r="AY93" s="34">
        <v>6</v>
      </c>
      <c r="AZ93" s="2"/>
      <c r="BA93" s="205"/>
      <c r="BC93" s="34">
        <v>6</v>
      </c>
      <c r="BD93" s="2"/>
      <c r="BE93" s="205"/>
      <c r="BH93" s="5"/>
      <c r="BL93" s="34">
        <v>6</v>
      </c>
      <c r="BM93" s="3"/>
      <c r="BN93" s="77"/>
      <c r="BP93" s="34">
        <v>6</v>
      </c>
      <c r="BQ93" s="3"/>
      <c r="BR93" s="77"/>
      <c r="BV93" s="34">
        <v>6</v>
      </c>
      <c r="BW93" s="3"/>
      <c r="BX93" s="77"/>
      <c r="BZ93" s="34">
        <v>6</v>
      </c>
      <c r="CA93" s="3"/>
      <c r="CB93" s="77"/>
    </row>
    <row r="94" spans="2:86">
      <c r="B94" s="34">
        <v>7</v>
      </c>
      <c r="C94" s="2"/>
      <c r="D94" s="205"/>
      <c r="F94" s="34">
        <v>7</v>
      </c>
      <c r="G94" s="2"/>
      <c r="H94" s="205"/>
      <c r="J94" s="34">
        <v>7</v>
      </c>
      <c r="K94" s="139"/>
      <c r="L94" s="205"/>
      <c r="P94" s="34">
        <v>7</v>
      </c>
      <c r="Q94" s="2"/>
      <c r="R94" s="205"/>
      <c r="T94" s="34">
        <v>7</v>
      </c>
      <c r="U94" s="2"/>
      <c r="V94" s="205"/>
      <c r="X94" s="34">
        <v>7</v>
      </c>
      <c r="Y94" s="2"/>
      <c r="Z94" s="205"/>
      <c r="AC94" s="5"/>
      <c r="AG94" s="35">
        <v>7</v>
      </c>
      <c r="AH94" s="2"/>
      <c r="AI94" s="205"/>
      <c r="AK94" s="35">
        <v>7</v>
      </c>
      <c r="AL94" s="2"/>
      <c r="AM94" s="205"/>
      <c r="AO94" s="35">
        <v>7</v>
      </c>
      <c r="AP94" s="2"/>
      <c r="AQ94" s="205"/>
      <c r="AU94" s="34">
        <v>7</v>
      </c>
      <c r="AV94" s="2"/>
      <c r="AW94" s="205"/>
      <c r="AY94" s="34">
        <v>7</v>
      </c>
      <c r="AZ94" s="2"/>
      <c r="BA94" s="205"/>
      <c r="BC94" s="34">
        <v>7</v>
      </c>
      <c r="BD94" s="2"/>
      <c r="BE94" s="205"/>
      <c r="BH94" s="5"/>
      <c r="BL94" s="34">
        <v>7</v>
      </c>
      <c r="BM94" s="3"/>
      <c r="BN94" s="77"/>
      <c r="BP94" s="34">
        <v>7</v>
      </c>
      <c r="BQ94" s="3"/>
      <c r="BR94" s="77"/>
      <c r="BV94" s="34">
        <v>7</v>
      </c>
      <c r="BW94" s="3"/>
      <c r="BX94" s="77"/>
      <c r="BZ94" s="34">
        <v>7</v>
      </c>
      <c r="CA94" s="3"/>
      <c r="CB94" s="77"/>
    </row>
    <row r="95" spans="2:86">
      <c r="B95" s="34">
        <v>8</v>
      </c>
      <c r="C95" s="2"/>
      <c r="D95" s="205"/>
      <c r="F95" s="34">
        <v>8</v>
      </c>
      <c r="G95" s="2"/>
      <c r="H95" s="205"/>
      <c r="J95" s="34">
        <v>8</v>
      </c>
      <c r="K95" s="2"/>
      <c r="L95" s="205"/>
      <c r="P95" s="34">
        <v>8</v>
      </c>
      <c r="Q95" s="2"/>
      <c r="R95" s="205"/>
      <c r="T95" s="34">
        <v>8</v>
      </c>
      <c r="U95" s="2"/>
      <c r="V95" s="205"/>
      <c r="X95" s="34">
        <v>8</v>
      </c>
      <c r="Y95" s="2"/>
      <c r="Z95" s="205"/>
      <c r="AC95" s="5"/>
      <c r="AG95" s="35">
        <v>8</v>
      </c>
      <c r="AH95" s="139"/>
      <c r="AI95" s="205"/>
      <c r="AK95" s="35">
        <v>8</v>
      </c>
      <c r="AL95" s="2"/>
      <c r="AM95" s="205"/>
      <c r="AO95" s="35">
        <v>8</v>
      </c>
      <c r="AP95" s="2"/>
      <c r="AQ95" s="205"/>
      <c r="AU95" s="34">
        <v>8</v>
      </c>
      <c r="AV95" s="2"/>
      <c r="AW95" s="205"/>
      <c r="AY95" s="34">
        <v>8</v>
      </c>
      <c r="AZ95" s="2"/>
      <c r="BA95" s="205"/>
      <c r="BC95" s="34">
        <v>8</v>
      </c>
      <c r="BD95" s="2"/>
      <c r="BE95" s="205"/>
      <c r="BH95" s="5"/>
      <c r="BL95" s="34">
        <v>8</v>
      </c>
      <c r="BM95" s="3"/>
      <c r="BN95" s="77"/>
      <c r="BP95" s="34">
        <v>8</v>
      </c>
      <c r="BQ95" s="3"/>
      <c r="BR95" s="77"/>
      <c r="BV95" s="34">
        <v>8</v>
      </c>
      <c r="BW95" s="3"/>
      <c r="BX95" s="77"/>
      <c r="BZ95" s="34">
        <v>8</v>
      </c>
      <c r="CA95" s="3"/>
      <c r="CB95" s="77"/>
    </row>
    <row r="96" spans="2:86">
      <c r="B96" s="34">
        <v>9</v>
      </c>
      <c r="C96" s="2"/>
      <c r="D96" s="205"/>
      <c r="F96" s="34">
        <v>9</v>
      </c>
      <c r="G96" s="2"/>
      <c r="H96" s="205"/>
      <c r="J96" s="34">
        <v>9</v>
      </c>
      <c r="K96" s="2"/>
      <c r="L96" s="205"/>
      <c r="P96" s="34">
        <v>9</v>
      </c>
      <c r="Q96" s="2"/>
      <c r="R96" s="205"/>
      <c r="T96" s="34">
        <v>9</v>
      </c>
      <c r="U96" s="2"/>
      <c r="V96" s="205"/>
      <c r="X96" s="34">
        <v>9</v>
      </c>
      <c r="Y96" s="2"/>
      <c r="Z96" s="205"/>
      <c r="AC96" s="5"/>
      <c r="AG96" s="35">
        <v>9</v>
      </c>
      <c r="AH96" s="2"/>
      <c r="AI96" s="205"/>
      <c r="AK96" s="35">
        <v>9</v>
      </c>
      <c r="AL96" s="2"/>
      <c r="AM96" s="205"/>
      <c r="AO96" s="35">
        <v>9</v>
      </c>
      <c r="AP96" s="2"/>
      <c r="AQ96" s="205"/>
      <c r="AU96" s="34">
        <v>9</v>
      </c>
      <c r="AV96" s="2"/>
      <c r="AW96" s="205"/>
      <c r="AY96" s="34">
        <v>9</v>
      </c>
      <c r="AZ96" s="2"/>
      <c r="BA96" s="205"/>
      <c r="BC96" s="34">
        <v>9</v>
      </c>
      <c r="BD96" s="2"/>
      <c r="BE96" s="205"/>
      <c r="BH96" s="5"/>
      <c r="BL96" s="34">
        <v>9</v>
      </c>
      <c r="BM96" s="3"/>
      <c r="BN96" s="77"/>
      <c r="BP96" s="34">
        <v>9</v>
      </c>
      <c r="BQ96" s="3"/>
      <c r="BR96" s="77"/>
      <c r="BV96" s="34">
        <v>9</v>
      </c>
      <c r="BW96" s="3"/>
      <c r="BX96" s="77"/>
      <c r="BZ96" s="34">
        <v>9</v>
      </c>
      <c r="CA96" s="3"/>
      <c r="CB96" s="77"/>
    </row>
    <row r="97" spans="2:81">
      <c r="B97" s="34">
        <v>10</v>
      </c>
      <c r="C97" s="2"/>
      <c r="D97" s="205"/>
      <c r="F97" s="34">
        <v>10</v>
      </c>
      <c r="G97" s="2"/>
      <c r="H97" s="205"/>
      <c r="J97" s="34">
        <v>10</v>
      </c>
      <c r="K97" s="2"/>
      <c r="L97" s="205"/>
      <c r="P97" s="34">
        <v>10</v>
      </c>
      <c r="Q97" s="2"/>
      <c r="R97" s="205"/>
      <c r="T97" s="34">
        <v>10</v>
      </c>
      <c r="U97" s="2"/>
      <c r="V97" s="205"/>
      <c r="X97" s="34">
        <v>10</v>
      </c>
      <c r="Y97" s="2"/>
      <c r="Z97" s="205"/>
      <c r="AC97" s="5"/>
      <c r="AG97" s="35">
        <v>10</v>
      </c>
      <c r="AH97" s="2"/>
      <c r="AI97" s="205"/>
      <c r="AK97" s="35">
        <v>10</v>
      </c>
      <c r="AL97" s="2"/>
      <c r="AM97" s="205"/>
      <c r="AO97" s="35">
        <v>10</v>
      </c>
      <c r="AP97" s="2"/>
      <c r="AQ97" s="205"/>
      <c r="AU97" s="34">
        <v>10</v>
      </c>
      <c r="AV97" s="2"/>
      <c r="AW97" s="205"/>
      <c r="AY97" s="34">
        <v>10</v>
      </c>
      <c r="AZ97" s="2"/>
      <c r="BA97" s="205"/>
      <c r="BC97" s="34">
        <v>10</v>
      </c>
      <c r="BD97" s="2"/>
      <c r="BE97" s="205"/>
      <c r="BH97" s="5"/>
      <c r="BL97" s="34">
        <v>10</v>
      </c>
      <c r="BM97" s="3"/>
      <c r="BN97" s="77"/>
      <c r="BP97" s="34">
        <v>10</v>
      </c>
      <c r="BQ97" s="3"/>
      <c r="BR97" s="77"/>
      <c r="BV97" s="34">
        <v>10</v>
      </c>
      <c r="BW97" s="3"/>
      <c r="BX97" s="77"/>
      <c r="BZ97" s="34">
        <v>10</v>
      </c>
      <c r="CA97" s="3"/>
      <c r="CB97" s="77"/>
    </row>
    <row r="98" spans="2:81">
      <c r="B98" s="34">
        <v>11</v>
      </c>
      <c r="C98" s="2"/>
      <c r="D98" s="205"/>
      <c r="F98" s="34">
        <v>11</v>
      </c>
      <c r="G98" s="2"/>
      <c r="H98" s="205"/>
      <c r="J98" s="34">
        <v>11</v>
      </c>
      <c r="K98" s="2"/>
      <c r="L98" s="205"/>
      <c r="P98" s="34">
        <v>11</v>
      </c>
      <c r="Q98" s="2"/>
      <c r="R98" s="205"/>
      <c r="T98" s="34">
        <v>11</v>
      </c>
      <c r="U98" s="2"/>
      <c r="V98" s="205"/>
      <c r="X98" s="34">
        <v>11</v>
      </c>
      <c r="Y98" s="2"/>
      <c r="Z98" s="205"/>
      <c r="AC98" s="5"/>
      <c r="AG98" s="35">
        <v>11</v>
      </c>
      <c r="AH98" s="2"/>
      <c r="AI98" s="205"/>
      <c r="AK98" s="35">
        <v>11</v>
      </c>
      <c r="AL98" s="2"/>
      <c r="AM98" s="205"/>
      <c r="AO98" s="35">
        <v>11</v>
      </c>
      <c r="AP98" s="2"/>
      <c r="AQ98" s="205"/>
      <c r="AU98" s="34">
        <v>11</v>
      </c>
      <c r="AV98" s="2"/>
      <c r="AW98" s="205"/>
      <c r="AY98" s="34">
        <v>11</v>
      </c>
      <c r="AZ98" s="2"/>
      <c r="BA98" s="205"/>
      <c r="BC98" s="34">
        <v>11</v>
      </c>
      <c r="BD98" s="2"/>
      <c r="BE98" s="205"/>
      <c r="BH98" s="5"/>
      <c r="BL98" s="34">
        <v>11</v>
      </c>
      <c r="BM98" s="3"/>
      <c r="BN98" s="4"/>
      <c r="BP98" s="34">
        <v>11</v>
      </c>
      <c r="BQ98" s="3"/>
      <c r="BR98" s="77"/>
      <c r="BV98" s="34">
        <v>11</v>
      </c>
      <c r="BW98" s="3"/>
      <c r="BX98" s="4"/>
      <c r="BZ98" s="34">
        <v>11</v>
      </c>
      <c r="CA98" s="3"/>
      <c r="CB98" s="77"/>
    </row>
    <row r="99" spans="2:81">
      <c r="B99" s="34">
        <v>12</v>
      </c>
      <c r="C99" s="2"/>
      <c r="D99" s="205"/>
      <c r="F99" s="34">
        <v>12</v>
      </c>
      <c r="G99" s="2"/>
      <c r="H99" s="205"/>
      <c r="J99" s="34">
        <v>12</v>
      </c>
      <c r="K99" s="2"/>
      <c r="L99" s="205"/>
      <c r="P99" s="34">
        <v>12</v>
      </c>
      <c r="Q99" s="2"/>
      <c r="R99" s="205"/>
      <c r="T99" s="34">
        <v>12</v>
      </c>
      <c r="U99" s="2"/>
      <c r="V99" s="205"/>
      <c r="X99" s="34">
        <v>12</v>
      </c>
      <c r="Y99" s="2"/>
      <c r="Z99" s="205"/>
      <c r="AC99" s="5"/>
      <c r="AG99" s="35">
        <v>12</v>
      </c>
      <c r="AH99" s="2"/>
      <c r="AI99" s="205"/>
      <c r="AK99" s="35">
        <v>12</v>
      </c>
      <c r="AL99" s="2"/>
      <c r="AM99" s="205"/>
      <c r="AO99" s="35">
        <v>12</v>
      </c>
      <c r="AP99" s="2"/>
      <c r="AQ99" s="205"/>
      <c r="AU99" s="34">
        <v>12</v>
      </c>
      <c r="AV99" s="2"/>
      <c r="AW99" s="205"/>
      <c r="AY99" s="34">
        <v>12</v>
      </c>
      <c r="AZ99" s="2"/>
      <c r="BA99" s="205"/>
      <c r="BC99" s="34">
        <v>12</v>
      </c>
      <c r="BD99" s="2"/>
      <c r="BE99" s="205"/>
      <c r="BH99" s="5"/>
      <c r="BL99" s="34">
        <v>12</v>
      </c>
      <c r="BM99" s="3"/>
      <c r="BN99" s="77"/>
      <c r="BP99" s="34">
        <v>12</v>
      </c>
      <c r="BQ99" s="3"/>
      <c r="BR99" s="77"/>
      <c r="BV99" s="34">
        <v>12</v>
      </c>
      <c r="BW99" s="3"/>
      <c r="BX99" s="77"/>
      <c r="BZ99" s="34">
        <v>12</v>
      </c>
      <c r="CA99" s="3"/>
      <c r="CB99" s="77"/>
    </row>
    <row r="100" spans="2:81">
      <c r="B100" s="34">
        <v>13</v>
      </c>
      <c r="C100" s="2"/>
      <c r="D100" s="205"/>
      <c r="F100" s="34">
        <v>13</v>
      </c>
      <c r="G100" s="2"/>
      <c r="H100" s="205"/>
      <c r="J100" s="34">
        <v>13</v>
      </c>
      <c r="K100" s="2"/>
      <c r="L100" s="205"/>
      <c r="P100" s="34">
        <v>13</v>
      </c>
      <c r="Q100" s="2"/>
      <c r="R100" s="205"/>
      <c r="T100" s="34">
        <v>13</v>
      </c>
      <c r="U100" s="2"/>
      <c r="V100" s="205"/>
      <c r="X100" s="34">
        <v>13</v>
      </c>
      <c r="Y100" s="2"/>
      <c r="Z100" s="205"/>
      <c r="AC100" s="5"/>
      <c r="AG100" s="35">
        <v>13</v>
      </c>
      <c r="AH100" s="2"/>
      <c r="AI100" s="205"/>
      <c r="AK100" s="35">
        <v>13</v>
      </c>
      <c r="AL100" s="2"/>
      <c r="AM100" s="205"/>
      <c r="AO100" s="35">
        <v>13</v>
      </c>
      <c r="AP100" s="2"/>
      <c r="AQ100" s="205"/>
      <c r="AU100" s="34">
        <v>13</v>
      </c>
      <c r="AV100" s="2"/>
      <c r="AW100" s="205"/>
      <c r="AY100" s="34">
        <v>13</v>
      </c>
      <c r="AZ100" s="2"/>
      <c r="BA100" s="205"/>
      <c r="BC100" s="34">
        <v>13</v>
      </c>
      <c r="BD100" s="2"/>
      <c r="BE100" s="205"/>
      <c r="BH100" s="5"/>
      <c r="BL100" s="34">
        <v>13</v>
      </c>
      <c r="BM100" s="3"/>
      <c r="BN100" s="77"/>
      <c r="BP100" s="34">
        <v>13</v>
      </c>
      <c r="BQ100" s="3"/>
      <c r="BR100" s="77"/>
      <c r="BV100" s="34">
        <v>13</v>
      </c>
      <c r="BW100" s="3"/>
      <c r="BX100" s="77"/>
      <c r="BZ100" s="34">
        <v>13</v>
      </c>
      <c r="CA100" s="3"/>
      <c r="CB100" s="77"/>
    </row>
    <row r="101" spans="2:81">
      <c r="B101" s="34">
        <v>14</v>
      </c>
      <c r="C101" s="2"/>
      <c r="D101" s="205"/>
      <c r="F101" s="34">
        <v>14</v>
      </c>
      <c r="G101" s="2"/>
      <c r="H101" s="205"/>
      <c r="J101" s="34">
        <v>14</v>
      </c>
      <c r="K101" s="2"/>
      <c r="L101" s="205"/>
      <c r="P101" s="34">
        <v>14</v>
      </c>
      <c r="Q101" s="2"/>
      <c r="R101" s="205"/>
      <c r="T101" s="34">
        <v>14</v>
      </c>
      <c r="U101" s="2"/>
      <c r="V101" s="205"/>
      <c r="X101" s="34">
        <v>14</v>
      </c>
      <c r="Y101" s="2"/>
      <c r="Z101" s="205"/>
      <c r="AC101" s="5"/>
      <c r="AG101" s="35">
        <v>14</v>
      </c>
      <c r="AH101" s="2"/>
      <c r="AI101" s="205"/>
      <c r="AK101" s="35">
        <v>14</v>
      </c>
      <c r="AL101" s="2"/>
      <c r="AM101" s="205"/>
      <c r="AO101" s="35">
        <v>14</v>
      </c>
      <c r="AP101" s="2"/>
      <c r="AQ101" s="205"/>
      <c r="AU101" s="34">
        <v>14</v>
      </c>
      <c r="AV101" s="2"/>
      <c r="AW101" s="205"/>
      <c r="AY101" s="34">
        <v>14</v>
      </c>
      <c r="AZ101" s="2"/>
      <c r="BA101" s="205"/>
      <c r="BC101" s="34">
        <v>14</v>
      </c>
      <c r="BD101" s="2"/>
      <c r="BE101" s="205"/>
      <c r="BH101" s="5"/>
      <c r="BL101" s="34">
        <v>14</v>
      </c>
      <c r="BM101" s="3"/>
      <c r="BN101" s="77"/>
      <c r="BP101" s="34">
        <v>14</v>
      </c>
      <c r="BQ101" s="3"/>
      <c r="BR101" s="77"/>
      <c r="BV101" s="34">
        <v>14</v>
      </c>
      <c r="BW101" s="3"/>
      <c r="BX101" s="77"/>
      <c r="BZ101" s="34">
        <v>14</v>
      </c>
      <c r="CA101" s="3"/>
      <c r="CB101" s="77"/>
    </row>
    <row r="102" spans="2:81">
      <c r="B102" s="34">
        <v>15</v>
      </c>
      <c r="C102" s="2"/>
      <c r="D102" s="205"/>
      <c r="F102" s="34">
        <v>15</v>
      </c>
      <c r="G102" s="2"/>
      <c r="H102" s="205"/>
      <c r="J102" s="34">
        <v>15</v>
      </c>
      <c r="K102" s="2"/>
      <c r="L102" s="205"/>
      <c r="P102" s="34">
        <v>15</v>
      </c>
      <c r="Q102" s="2"/>
      <c r="R102" s="205"/>
      <c r="T102" s="34">
        <v>15</v>
      </c>
      <c r="U102" s="2"/>
      <c r="V102" s="205"/>
      <c r="X102" s="34">
        <v>15</v>
      </c>
      <c r="Y102" s="2"/>
      <c r="Z102" s="205"/>
      <c r="AC102" s="5"/>
      <c r="AG102" s="35">
        <v>15</v>
      </c>
      <c r="AH102" s="2"/>
      <c r="AI102" s="205"/>
      <c r="AK102" s="35">
        <v>15</v>
      </c>
      <c r="AL102" s="3"/>
      <c r="AM102" s="77"/>
      <c r="AO102" s="35">
        <v>15</v>
      </c>
      <c r="AP102" s="2"/>
      <c r="AQ102" s="205"/>
      <c r="AU102" s="34">
        <v>15</v>
      </c>
      <c r="AV102" s="3"/>
      <c r="AW102" s="77"/>
      <c r="AY102" s="34">
        <v>15</v>
      </c>
      <c r="AZ102" s="23"/>
      <c r="BA102" s="77"/>
      <c r="BC102" s="34">
        <v>15</v>
      </c>
      <c r="BD102" s="2"/>
      <c r="BE102" s="205"/>
      <c r="BH102" s="5"/>
      <c r="BL102" s="34">
        <v>15</v>
      </c>
      <c r="BM102" s="3"/>
      <c r="BN102" s="77"/>
      <c r="BP102" s="34">
        <v>15</v>
      </c>
      <c r="BQ102" s="3"/>
      <c r="BR102" s="77"/>
      <c r="BV102" s="34">
        <v>15</v>
      </c>
      <c r="BW102" s="3"/>
      <c r="BX102" s="77"/>
      <c r="BZ102" s="34">
        <v>15</v>
      </c>
      <c r="CA102" s="3"/>
      <c r="CB102" s="77"/>
    </row>
    <row r="103" spans="2:81">
      <c r="B103" s="34">
        <v>16</v>
      </c>
      <c r="C103" s="2"/>
      <c r="D103" s="205"/>
      <c r="F103" s="34">
        <v>16</v>
      </c>
      <c r="G103" s="2"/>
      <c r="H103" s="205"/>
      <c r="J103" s="34">
        <v>16</v>
      </c>
      <c r="K103" s="2"/>
      <c r="L103" s="205"/>
      <c r="P103" s="34">
        <v>16</v>
      </c>
      <c r="Q103" s="2"/>
      <c r="R103" s="205"/>
      <c r="T103" s="34">
        <v>16</v>
      </c>
      <c r="U103" s="2"/>
      <c r="V103" s="205"/>
      <c r="X103" s="34">
        <v>16</v>
      </c>
      <c r="Y103" s="2"/>
      <c r="Z103" s="205"/>
      <c r="AC103" s="5"/>
      <c r="AG103" s="35">
        <v>16</v>
      </c>
      <c r="AH103" s="2"/>
      <c r="AI103" s="205"/>
      <c r="AK103" s="35">
        <v>16</v>
      </c>
      <c r="AL103" s="3"/>
      <c r="AM103" s="77"/>
      <c r="AO103" s="35">
        <v>16</v>
      </c>
      <c r="AP103" s="2"/>
      <c r="AQ103" s="205"/>
      <c r="AU103" s="34">
        <v>16</v>
      </c>
      <c r="AV103" s="3"/>
      <c r="AW103" s="77"/>
      <c r="AY103" s="34">
        <v>16</v>
      </c>
      <c r="AZ103" s="23"/>
      <c r="BA103" s="77"/>
      <c r="BC103" s="34">
        <v>16</v>
      </c>
      <c r="BD103" s="3"/>
      <c r="BE103" s="77"/>
      <c r="BH103" s="5"/>
      <c r="BL103" s="34">
        <v>16</v>
      </c>
      <c r="BM103" s="3"/>
      <c r="BN103" s="77"/>
      <c r="BP103" s="34">
        <v>16</v>
      </c>
      <c r="BQ103" s="3"/>
      <c r="BR103" s="77"/>
      <c r="BV103" s="34">
        <v>16</v>
      </c>
      <c r="BW103" s="3"/>
      <c r="BX103" s="77"/>
      <c r="BZ103" s="34">
        <v>16</v>
      </c>
      <c r="CA103" s="3"/>
      <c r="CB103" s="77"/>
    </row>
    <row r="104" spans="2:81">
      <c r="B104" s="34">
        <v>17</v>
      </c>
      <c r="C104" s="2"/>
      <c r="D104" s="205"/>
      <c r="F104" s="34">
        <v>17</v>
      </c>
      <c r="G104" s="2"/>
      <c r="H104" s="205"/>
      <c r="J104" s="34">
        <v>17</v>
      </c>
      <c r="K104" s="2"/>
      <c r="L104" s="205"/>
      <c r="P104" s="34">
        <v>17</v>
      </c>
      <c r="Q104" s="2"/>
      <c r="R104" s="205"/>
      <c r="T104" s="34">
        <v>17</v>
      </c>
      <c r="U104" s="2"/>
      <c r="V104" s="205"/>
      <c r="X104" s="34">
        <v>17</v>
      </c>
      <c r="Y104" s="3"/>
      <c r="Z104" s="77"/>
      <c r="AC104" s="5"/>
      <c r="AG104" s="35">
        <v>17</v>
      </c>
      <c r="AH104" s="2"/>
      <c r="AI104" s="205"/>
      <c r="AK104" s="35">
        <v>17</v>
      </c>
      <c r="AL104" s="3"/>
      <c r="AM104" s="77"/>
      <c r="AO104" s="35">
        <v>17</v>
      </c>
      <c r="AP104" s="2"/>
      <c r="AQ104" s="205"/>
      <c r="AU104" s="34">
        <v>17</v>
      </c>
      <c r="AV104" s="3"/>
      <c r="AW104" s="77"/>
      <c r="AY104" s="34">
        <v>17</v>
      </c>
      <c r="AZ104" s="3"/>
      <c r="BA104" s="77"/>
      <c r="BC104" s="34">
        <v>17</v>
      </c>
      <c r="BD104" s="3"/>
      <c r="BE104" s="77"/>
      <c r="BH104" s="5"/>
      <c r="BL104" s="34">
        <v>17</v>
      </c>
      <c r="BM104" s="3"/>
      <c r="BN104" s="77"/>
      <c r="BP104" s="34">
        <v>17</v>
      </c>
      <c r="BQ104" s="3"/>
      <c r="BR104" s="77"/>
      <c r="BV104" s="34">
        <v>17</v>
      </c>
      <c r="BW104" s="3"/>
      <c r="BX104" s="77"/>
      <c r="BZ104" s="34">
        <v>17</v>
      </c>
      <c r="CA104" s="3"/>
      <c r="CB104" s="77"/>
    </row>
    <row r="105" spans="2:81">
      <c r="B105" s="34">
        <v>18</v>
      </c>
      <c r="C105" s="2"/>
      <c r="D105" s="205"/>
      <c r="F105" s="34">
        <v>18</v>
      </c>
      <c r="G105" s="2"/>
      <c r="H105" s="205"/>
      <c r="J105" s="34">
        <v>18</v>
      </c>
      <c r="K105" s="2"/>
      <c r="L105" s="205"/>
      <c r="P105" s="34">
        <v>18</v>
      </c>
      <c r="Q105" s="2"/>
      <c r="R105" s="205"/>
      <c r="T105" s="34">
        <v>18</v>
      </c>
      <c r="U105" s="209"/>
      <c r="V105" s="205"/>
      <c r="X105" s="34">
        <v>18</v>
      </c>
      <c r="Y105" s="3"/>
      <c r="Z105" s="77"/>
      <c r="AC105" s="5"/>
      <c r="AG105" s="35">
        <v>18</v>
      </c>
      <c r="AH105" s="2"/>
      <c r="AI105" s="205"/>
      <c r="AK105" s="35">
        <v>18</v>
      </c>
      <c r="AL105" s="3"/>
      <c r="AM105" s="77"/>
      <c r="AO105" s="35">
        <v>18</v>
      </c>
      <c r="AP105" s="2"/>
      <c r="AQ105" s="205"/>
      <c r="AU105" s="34">
        <v>18</v>
      </c>
      <c r="AV105" s="3"/>
      <c r="AW105" s="77"/>
      <c r="AY105" s="34">
        <v>18</v>
      </c>
      <c r="AZ105" s="3"/>
      <c r="BA105" s="77"/>
      <c r="BC105" s="34">
        <v>18</v>
      </c>
      <c r="BD105" s="3"/>
      <c r="BE105" s="77"/>
      <c r="BH105" s="5"/>
      <c r="BL105" s="34">
        <v>18</v>
      </c>
      <c r="BM105" s="3"/>
      <c r="BN105" s="77"/>
      <c r="BP105" s="34">
        <v>18</v>
      </c>
      <c r="BQ105" s="3"/>
      <c r="BR105" s="77"/>
      <c r="BV105" s="34">
        <v>18</v>
      </c>
      <c r="BW105" s="3"/>
      <c r="BX105" s="77"/>
      <c r="BZ105" s="34">
        <v>18</v>
      </c>
      <c r="CA105" s="3"/>
      <c r="CB105" s="77"/>
    </row>
    <row r="106" spans="2:81">
      <c r="B106" s="34">
        <v>19</v>
      </c>
      <c r="C106" s="2"/>
      <c r="D106" s="205"/>
      <c r="F106" s="34">
        <v>19</v>
      </c>
      <c r="G106" s="2"/>
      <c r="H106" s="205"/>
      <c r="J106" s="34">
        <v>19</v>
      </c>
      <c r="K106" s="2"/>
      <c r="L106" s="205"/>
      <c r="P106" s="34">
        <v>19</v>
      </c>
      <c r="Q106" s="2"/>
      <c r="R106" s="205"/>
      <c r="T106" s="34">
        <v>19</v>
      </c>
      <c r="U106" s="3"/>
      <c r="V106" s="77"/>
      <c r="X106" s="34">
        <v>19</v>
      </c>
      <c r="Y106" s="3"/>
      <c r="Z106" s="77"/>
      <c r="AC106" s="5"/>
      <c r="AG106" s="35">
        <v>19</v>
      </c>
      <c r="AH106" s="2"/>
      <c r="AI106" s="205"/>
      <c r="AK106" s="35">
        <v>19</v>
      </c>
      <c r="AL106" s="3"/>
      <c r="AM106" s="77"/>
      <c r="AO106" s="35">
        <v>19</v>
      </c>
      <c r="AP106" s="2"/>
      <c r="AQ106" s="205"/>
      <c r="AU106" s="34">
        <v>19</v>
      </c>
      <c r="AV106" s="3"/>
      <c r="AW106" s="77"/>
      <c r="AY106" s="34">
        <v>19</v>
      </c>
      <c r="AZ106" s="3"/>
      <c r="BA106" s="77"/>
      <c r="BC106" s="34">
        <v>19</v>
      </c>
      <c r="BD106" s="3"/>
      <c r="BE106" s="77"/>
      <c r="BH106" s="5"/>
      <c r="BL106" s="34">
        <v>19</v>
      </c>
      <c r="BM106" s="3"/>
      <c r="BN106" s="77"/>
      <c r="BP106" s="34">
        <v>19</v>
      </c>
      <c r="BQ106" s="3"/>
      <c r="BR106" s="4"/>
      <c r="BV106" s="34">
        <v>19</v>
      </c>
      <c r="BW106" s="3"/>
      <c r="BX106" s="77"/>
      <c r="BZ106" s="34">
        <v>19</v>
      </c>
      <c r="CA106" s="3"/>
      <c r="CB106" s="77"/>
    </row>
    <row r="107" spans="2:81">
      <c r="B107" s="34">
        <v>20</v>
      </c>
      <c r="C107" s="2"/>
      <c r="D107" s="205"/>
      <c r="F107" s="34">
        <v>20</v>
      </c>
      <c r="G107" s="2"/>
      <c r="H107" s="205"/>
      <c r="J107" s="34">
        <v>20</v>
      </c>
      <c r="K107" s="2"/>
      <c r="L107" s="205"/>
      <c r="P107" s="34">
        <v>20</v>
      </c>
      <c r="Q107" s="3"/>
      <c r="R107" s="77"/>
      <c r="T107" s="34">
        <v>20</v>
      </c>
      <c r="U107" s="3"/>
      <c r="V107" s="77"/>
      <c r="X107" s="34">
        <v>20</v>
      </c>
      <c r="Y107" s="3"/>
      <c r="Z107" s="77"/>
      <c r="AC107" s="5"/>
      <c r="AG107" s="35">
        <v>20</v>
      </c>
      <c r="AH107" s="2"/>
      <c r="AI107" s="205"/>
      <c r="AK107" s="35">
        <v>20</v>
      </c>
      <c r="AL107" s="3"/>
      <c r="AM107" s="77"/>
      <c r="AO107" s="35">
        <v>20</v>
      </c>
      <c r="AP107" s="2"/>
      <c r="AQ107" s="205"/>
      <c r="AU107" s="34">
        <v>20</v>
      </c>
      <c r="AV107" s="3"/>
      <c r="AW107" s="77"/>
      <c r="AY107" s="34">
        <v>20</v>
      </c>
      <c r="AZ107" s="3"/>
      <c r="BA107" s="77"/>
      <c r="BC107" s="34">
        <v>20</v>
      </c>
      <c r="BD107" s="3"/>
      <c r="BE107" s="77"/>
      <c r="BH107" s="5"/>
      <c r="BL107" s="34">
        <v>20</v>
      </c>
      <c r="BM107" s="3"/>
      <c r="BN107" s="77"/>
      <c r="BP107" s="34">
        <v>20</v>
      </c>
      <c r="BQ107" s="3"/>
      <c r="BR107" s="77"/>
      <c r="BV107" s="34">
        <v>20</v>
      </c>
      <c r="BW107" s="3"/>
      <c r="BX107" s="77"/>
      <c r="BZ107" s="34">
        <v>20</v>
      </c>
      <c r="CA107" s="3"/>
      <c r="CB107" s="77"/>
      <c r="CC107" t="s">
        <v>5</v>
      </c>
    </row>
    <row r="108" spans="2:81">
      <c r="B108" s="34">
        <v>21</v>
      </c>
      <c r="C108" s="2"/>
      <c r="D108" s="205"/>
      <c r="F108" s="34">
        <v>21</v>
      </c>
      <c r="G108" s="2"/>
      <c r="H108" s="205"/>
      <c r="J108" s="34">
        <v>21</v>
      </c>
      <c r="K108" s="2"/>
      <c r="L108" s="205"/>
      <c r="P108" s="34">
        <v>21</v>
      </c>
      <c r="Q108" s="3"/>
      <c r="R108" s="77"/>
      <c r="T108" s="34">
        <v>21</v>
      </c>
      <c r="U108" s="3"/>
      <c r="V108" s="77"/>
      <c r="X108" s="34">
        <v>21</v>
      </c>
      <c r="Y108" s="2"/>
      <c r="Z108" s="205"/>
      <c r="AC108" s="5"/>
      <c r="AG108" s="35">
        <v>21</v>
      </c>
      <c r="AH108" s="2"/>
      <c r="AI108" s="205"/>
      <c r="AK108" s="35">
        <v>21</v>
      </c>
      <c r="AL108" s="3"/>
      <c r="AM108" s="77"/>
      <c r="AO108" s="35">
        <v>21</v>
      </c>
      <c r="AP108" s="2"/>
      <c r="AQ108" s="205"/>
      <c r="AU108" s="34">
        <v>21</v>
      </c>
      <c r="AV108" s="3"/>
      <c r="AW108" s="77"/>
      <c r="AY108" s="34">
        <v>21</v>
      </c>
      <c r="AZ108" s="3"/>
      <c r="BA108" s="77"/>
      <c r="BC108" s="34">
        <v>21</v>
      </c>
      <c r="BD108" s="3"/>
      <c r="BE108" s="77"/>
      <c r="BH108" s="5"/>
      <c r="BL108" s="34">
        <v>21</v>
      </c>
      <c r="BM108" s="3"/>
      <c r="BN108" s="77"/>
      <c r="BP108" s="34">
        <v>21</v>
      </c>
      <c r="BQ108" s="3"/>
      <c r="BR108" s="77"/>
      <c r="BV108" s="34">
        <v>21</v>
      </c>
      <c r="BW108" s="3"/>
      <c r="BX108" s="77"/>
      <c r="BZ108" s="34">
        <v>21</v>
      </c>
      <c r="CA108" s="3"/>
      <c r="CB108" s="4"/>
    </row>
    <row r="109" spans="2:81">
      <c r="B109" s="34">
        <v>22</v>
      </c>
      <c r="C109" s="2"/>
      <c r="D109" s="205"/>
      <c r="F109" s="34">
        <v>22</v>
      </c>
      <c r="G109" s="3"/>
      <c r="H109" s="77"/>
      <c r="J109" s="34">
        <v>22</v>
      </c>
      <c r="K109" s="3"/>
      <c r="L109" s="77"/>
      <c r="P109" s="34">
        <v>22</v>
      </c>
      <c r="Q109" s="3"/>
      <c r="R109" s="77"/>
      <c r="T109" s="34">
        <v>22</v>
      </c>
      <c r="U109" s="3"/>
      <c r="V109" s="77"/>
      <c r="X109" s="34">
        <v>22</v>
      </c>
      <c r="Y109" s="3"/>
      <c r="Z109" s="77"/>
      <c r="AC109" s="5"/>
      <c r="AG109" s="35">
        <v>22</v>
      </c>
      <c r="AH109" s="2"/>
      <c r="AI109" s="205"/>
      <c r="AK109" s="35">
        <v>22</v>
      </c>
      <c r="AL109" s="3"/>
      <c r="AM109" s="77"/>
      <c r="AO109" s="35">
        <v>22</v>
      </c>
      <c r="AP109" s="2"/>
      <c r="AQ109" s="205"/>
      <c r="AU109" s="34">
        <v>22</v>
      </c>
      <c r="AV109" s="3"/>
      <c r="AW109" s="77"/>
      <c r="AY109" s="34">
        <v>22</v>
      </c>
      <c r="AZ109" s="3"/>
      <c r="BA109" s="77"/>
      <c r="BC109" s="34">
        <v>22</v>
      </c>
      <c r="BD109" s="3"/>
      <c r="BE109" s="77"/>
      <c r="BH109" s="5"/>
      <c r="BL109" s="34">
        <v>22</v>
      </c>
      <c r="BM109" s="3"/>
      <c r="BN109" s="4"/>
      <c r="BP109" s="34">
        <v>22</v>
      </c>
      <c r="BQ109" s="3"/>
      <c r="BR109" s="4"/>
      <c r="BV109" s="34">
        <v>22</v>
      </c>
      <c r="BW109" s="3"/>
      <c r="BX109" s="4"/>
      <c r="BZ109" s="34">
        <v>22</v>
      </c>
      <c r="CA109" s="3"/>
      <c r="CB109" s="4"/>
    </row>
    <row r="110" spans="2:81">
      <c r="B110" s="34">
        <v>23</v>
      </c>
      <c r="C110" s="3"/>
      <c r="D110" s="77"/>
      <c r="F110" s="34">
        <v>23</v>
      </c>
      <c r="G110" s="3"/>
      <c r="H110" s="77"/>
      <c r="J110" s="34">
        <v>23</v>
      </c>
      <c r="K110" s="3"/>
      <c r="L110" s="77"/>
      <c r="P110" s="34">
        <v>23</v>
      </c>
      <c r="Q110" s="3"/>
      <c r="R110" s="77"/>
      <c r="T110" s="34">
        <v>23</v>
      </c>
      <c r="U110" s="3"/>
      <c r="V110" s="77"/>
      <c r="X110" s="34">
        <v>23</v>
      </c>
      <c r="Y110" s="3"/>
      <c r="Z110" s="77"/>
      <c r="AC110" s="5"/>
      <c r="AG110" s="35">
        <v>23</v>
      </c>
      <c r="AH110" s="3"/>
      <c r="AI110" s="77"/>
      <c r="AK110" s="35">
        <v>23</v>
      </c>
      <c r="AL110" s="3"/>
      <c r="AM110" s="77"/>
      <c r="AO110" s="35">
        <v>23</v>
      </c>
      <c r="AP110" s="3"/>
      <c r="AQ110" s="77"/>
      <c r="AU110" s="34">
        <v>23</v>
      </c>
      <c r="AV110" s="3"/>
      <c r="AW110" s="77"/>
      <c r="AY110" s="34">
        <v>23</v>
      </c>
      <c r="AZ110" s="3"/>
      <c r="BA110" s="77"/>
      <c r="BC110" s="34">
        <v>23</v>
      </c>
      <c r="BD110" s="3"/>
      <c r="BE110" s="77"/>
      <c r="BH110" s="5"/>
      <c r="BL110" s="34">
        <v>23</v>
      </c>
      <c r="BM110" s="3"/>
      <c r="BN110" s="4"/>
      <c r="BP110" s="34">
        <v>23</v>
      </c>
      <c r="BQ110" s="3"/>
      <c r="BR110" s="4"/>
      <c r="BV110" s="34">
        <v>23</v>
      </c>
      <c r="BW110" s="3"/>
      <c r="BX110" s="4"/>
      <c r="BZ110" s="34">
        <v>23</v>
      </c>
      <c r="CA110" s="3"/>
      <c r="CB110" s="4"/>
    </row>
    <row r="111" spans="2:81">
      <c r="B111"/>
      <c r="AC111" s="5"/>
      <c r="AH111" s="8"/>
      <c r="AL111" s="8"/>
      <c r="AP111" s="8"/>
      <c r="AU111"/>
      <c r="AV111" s="8"/>
      <c r="AZ111" s="8"/>
      <c r="BC111"/>
      <c r="BD111" s="8"/>
      <c r="BH111" s="5"/>
    </row>
    <row r="112" spans="2:81">
      <c r="B112"/>
      <c r="AC112" s="5"/>
      <c r="AU112"/>
      <c r="AV112" s="8"/>
      <c r="AZ112" s="8"/>
      <c r="BC112"/>
      <c r="BD112" s="8"/>
      <c r="BH112" s="5"/>
    </row>
    <row r="113" spans="2:86">
      <c r="B113"/>
      <c r="AC113" s="5"/>
      <c r="AU113"/>
      <c r="BC113"/>
      <c r="BH113" s="5"/>
    </row>
    <row r="114" spans="2:86" s="1" customFormat="1" ht="20.25">
      <c r="B114" s="54"/>
      <c r="C114" s="55">
        <f>'NRB 공장 내부 배치도'!C9</f>
        <v>0</v>
      </c>
      <c r="D114" s="199"/>
      <c r="F114" s="54"/>
      <c r="G114" s="55">
        <f>'NRB 공장 내부 배치도'!D9</f>
        <v>0</v>
      </c>
      <c r="H114" s="199"/>
      <c r="J114" s="54"/>
      <c r="K114" s="55">
        <f>'NRB 공장 내부 배치도'!E9</f>
        <v>0</v>
      </c>
      <c r="L114" s="199"/>
      <c r="P114" s="54"/>
      <c r="Q114" s="55">
        <f>'NRB 공장 내부 배치도'!G9</f>
        <v>0</v>
      </c>
      <c r="R114" s="199"/>
      <c r="T114" s="54"/>
      <c r="U114" s="55" t="e">
        <f>'NRB 공장 내부 배치도'!#REF!</f>
        <v>#REF!</v>
      </c>
      <c r="V114" s="199"/>
      <c r="X114" s="54"/>
      <c r="Y114" s="55">
        <f>'NRB 공장 내부 배치도'!H9</f>
        <v>0</v>
      </c>
      <c r="Z114" s="199"/>
      <c r="AC114" s="71"/>
      <c r="AG114" s="54"/>
      <c r="AH114" s="55">
        <f>'NRB 공장 내부 배치도'!L9</f>
        <v>0</v>
      </c>
      <c r="AI114" s="199"/>
      <c r="AK114" s="54"/>
      <c r="AL114" s="55">
        <f>'NRB 공장 내부 배치도'!M9</f>
        <v>0</v>
      </c>
      <c r="AM114" s="199"/>
      <c r="AO114" s="54"/>
      <c r="AP114" s="55">
        <f>'NRB 공장 내부 배치도'!N9</f>
        <v>0</v>
      </c>
      <c r="AQ114" s="199"/>
      <c r="AU114" s="54"/>
      <c r="AV114" s="55">
        <f>'NRB 공장 내부 배치도'!P9</f>
        <v>0</v>
      </c>
      <c r="AW114" s="199"/>
      <c r="AY114" s="54"/>
      <c r="AZ114" s="55">
        <f>'NRB 공장 내부 배치도'!Q9</f>
        <v>0</v>
      </c>
      <c r="BA114" s="199"/>
      <c r="BC114" s="54"/>
      <c r="BD114" s="55">
        <f>'NRB 공장 내부 배치도'!R9</f>
        <v>0</v>
      </c>
      <c r="BE114" s="199"/>
      <c r="BF114" s="204"/>
      <c r="BH114" s="71"/>
      <c r="BL114" s="54"/>
      <c r="BM114" s="55">
        <f>'NRB 공장 내부 배치도'!U9</f>
        <v>0</v>
      </c>
      <c r="BN114" s="56"/>
      <c r="BP114" s="54"/>
      <c r="BQ114" s="55">
        <f>'NRB 공장 내부 배치도'!V9</f>
        <v>0</v>
      </c>
      <c r="BR114" s="56"/>
      <c r="BV114" s="87"/>
      <c r="BW114" s="55">
        <f>'NRB 공장 내부 배치도'!X9</f>
        <v>0</v>
      </c>
      <c r="BX114" s="88"/>
      <c r="BZ114" s="54"/>
      <c r="CA114" s="55">
        <f>'NRB 공장 내부 배치도'!Y9</f>
        <v>0</v>
      </c>
      <c r="CB114" s="56"/>
      <c r="CF114" s="71"/>
      <c r="CG114" s="71"/>
      <c r="CH114" s="71"/>
    </row>
    <row r="115" spans="2:86">
      <c r="B115" s="35">
        <v>1</v>
      </c>
      <c r="C115" s="109"/>
      <c r="D115" s="253"/>
      <c r="F115" s="34">
        <v>1</v>
      </c>
      <c r="G115" s="2"/>
      <c r="H115" s="253"/>
      <c r="J115" s="34">
        <v>1</v>
      </c>
      <c r="K115" s="2"/>
      <c r="L115" s="253"/>
      <c r="P115" s="34">
        <v>1</v>
      </c>
      <c r="Q115" s="2"/>
      <c r="R115" s="205"/>
      <c r="T115" s="35">
        <v>1</v>
      </c>
      <c r="U115" s="252"/>
      <c r="V115" s="253"/>
      <c r="W115" s="130"/>
      <c r="X115" s="34">
        <v>1</v>
      </c>
      <c r="Y115" s="252"/>
      <c r="Z115" s="253"/>
      <c r="AC115" s="5"/>
      <c r="AG115" s="34">
        <v>1</v>
      </c>
      <c r="AH115" s="2"/>
      <c r="AI115" s="205"/>
      <c r="AK115" s="34">
        <v>1</v>
      </c>
      <c r="AL115" s="2"/>
      <c r="AM115" s="205"/>
      <c r="AO115" s="34">
        <v>1</v>
      </c>
      <c r="AP115" s="2"/>
      <c r="AQ115" s="205"/>
      <c r="AU115" s="34">
        <v>1</v>
      </c>
      <c r="AV115" s="2"/>
      <c r="AW115" s="205"/>
      <c r="AY115" s="34">
        <v>1</v>
      </c>
      <c r="AZ115" s="2"/>
      <c r="BA115" s="205"/>
      <c r="BC115" s="34">
        <v>1</v>
      </c>
      <c r="BD115" s="2"/>
      <c r="BE115" s="205"/>
      <c r="BH115" s="5"/>
      <c r="BL115" s="34">
        <v>1</v>
      </c>
      <c r="BM115" s="3"/>
      <c r="BN115" s="77"/>
      <c r="BP115" s="34">
        <v>1</v>
      </c>
      <c r="BQ115" s="3"/>
      <c r="BR115" s="77"/>
      <c r="BV115" s="34">
        <v>1</v>
      </c>
      <c r="BW115" s="3"/>
      <c r="BX115" s="77"/>
      <c r="BZ115" s="34">
        <v>1</v>
      </c>
      <c r="CA115" s="3"/>
      <c r="CB115" s="77"/>
    </row>
    <row r="116" spans="2:86">
      <c r="B116" s="34">
        <v>2</v>
      </c>
      <c r="C116" s="109"/>
      <c r="D116" s="205"/>
      <c r="F116" s="34">
        <v>2</v>
      </c>
      <c r="G116" s="2"/>
      <c r="H116" s="205"/>
      <c r="J116" s="34">
        <v>2</v>
      </c>
      <c r="K116" s="2"/>
      <c r="L116" s="205"/>
      <c r="P116" s="34">
        <v>2</v>
      </c>
      <c r="Q116" s="2"/>
      <c r="R116" s="205"/>
      <c r="T116" s="34">
        <v>2</v>
      </c>
      <c r="U116" s="252"/>
      <c r="V116" s="253"/>
      <c r="W116" s="130"/>
      <c r="X116" s="34">
        <v>2</v>
      </c>
      <c r="Y116" s="252"/>
      <c r="Z116" s="253"/>
      <c r="AC116" s="5"/>
      <c r="AG116" s="35">
        <v>2</v>
      </c>
      <c r="AH116" s="2"/>
      <c r="AI116" s="205"/>
      <c r="AK116" s="34">
        <v>2</v>
      </c>
      <c r="AL116" s="2"/>
      <c r="AM116" s="205"/>
      <c r="AO116" s="35">
        <v>2</v>
      </c>
      <c r="AP116" s="2"/>
      <c r="AQ116" s="205"/>
      <c r="AU116" s="34">
        <v>2</v>
      </c>
      <c r="AV116" s="2"/>
      <c r="AW116" s="205"/>
      <c r="AY116" s="34">
        <v>2</v>
      </c>
      <c r="AZ116" s="2"/>
      <c r="BA116" s="205"/>
      <c r="BC116" s="34">
        <v>2</v>
      </c>
      <c r="BD116" s="2"/>
      <c r="BE116" s="205"/>
      <c r="BH116" s="5"/>
      <c r="BL116" s="34">
        <v>2</v>
      </c>
      <c r="BM116" s="3"/>
      <c r="BN116" s="77"/>
      <c r="BP116" s="34">
        <v>2</v>
      </c>
      <c r="BQ116" s="3"/>
      <c r="BR116" s="77"/>
      <c r="BV116" s="34">
        <v>2</v>
      </c>
      <c r="BW116" s="3"/>
      <c r="BX116" s="77"/>
      <c r="BZ116" s="34">
        <v>2</v>
      </c>
      <c r="CA116" s="3"/>
      <c r="CB116" s="77"/>
    </row>
    <row r="117" spans="2:86">
      <c r="B117" s="34">
        <v>3</v>
      </c>
      <c r="C117" s="109"/>
      <c r="D117" s="205"/>
      <c r="F117" s="34">
        <v>3</v>
      </c>
      <c r="G117" s="2"/>
      <c r="H117" s="205"/>
      <c r="J117" s="34">
        <v>3</v>
      </c>
      <c r="K117" s="2"/>
      <c r="L117" s="205"/>
      <c r="P117" s="34">
        <v>3</v>
      </c>
      <c r="Q117" s="2"/>
      <c r="R117" s="205"/>
      <c r="T117" s="34">
        <v>3</v>
      </c>
      <c r="U117" s="252"/>
      <c r="V117" s="253"/>
      <c r="W117" s="130"/>
      <c r="X117" s="34">
        <v>3</v>
      </c>
      <c r="Y117" s="252"/>
      <c r="Z117" s="253"/>
      <c r="AC117" s="5"/>
      <c r="AG117" s="35">
        <v>3</v>
      </c>
      <c r="AH117" s="2"/>
      <c r="AI117" s="205"/>
      <c r="AK117" s="34">
        <v>3</v>
      </c>
      <c r="AL117" s="2"/>
      <c r="AM117" s="205"/>
      <c r="AO117" s="35">
        <v>3</v>
      </c>
      <c r="AP117" s="2"/>
      <c r="AQ117" s="205"/>
      <c r="AU117" s="34">
        <v>3</v>
      </c>
      <c r="AV117" s="2"/>
      <c r="AW117" s="205"/>
      <c r="AY117" s="34">
        <v>3</v>
      </c>
      <c r="AZ117" s="2"/>
      <c r="BA117" s="205"/>
      <c r="BC117" s="34">
        <v>3</v>
      </c>
      <c r="BD117" s="2"/>
      <c r="BE117" s="205"/>
      <c r="BH117" s="5"/>
      <c r="BL117" s="34">
        <v>3</v>
      </c>
      <c r="BM117" s="3"/>
      <c r="BN117" s="77"/>
      <c r="BP117" s="34">
        <v>3</v>
      </c>
      <c r="BQ117" s="3"/>
      <c r="BR117" s="77"/>
      <c r="BV117" s="34">
        <v>3</v>
      </c>
      <c r="BW117" s="3"/>
      <c r="BX117" s="77"/>
      <c r="BZ117" s="34">
        <v>3</v>
      </c>
      <c r="CA117" s="3"/>
      <c r="CB117" s="77"/>
    </row>
    <row r="118" spans="2:86">
      <c r="B118" s="34">
        <v>4</v>
      </c>
      <c r="C118" s="109"/>
      <c r="D118" s="205"/>
      <c r="F118" s="34">
        <v>4</v>
      </c>
      <c r="G118" s="2"/>
      <c r="H118" s="205"/>
      <c r="J118" s="34">
        <v>4</v>
      </c>
      <c r="K118" s="2"/>
      <c r="L118" s="205"/>
      <c r="P118" s="34">
        <v>4</v>
      </c>
      <c r="Q118" s="2"/>
      <c r="R118" s="205"/>
      <c r="T118" s="34">
        <v>4</v>
      </c>
      <c r="U118" s="252"/>
      <c r="V118" s="253"/>
      <c r="W118" s="130"/>
      <c r="X118" s="34">
        <v>4</v>
      </c>
      <c r="Y118" s="252"/>
      <c r="Z118" s="253"/>
      <c r="AC118" s="5"/>
      <c r="AG118" s="35">
        <v>4</v>
      </c>
      <c r="AH118" s="2"/>
      <c r="AI118" s="205"/>
      <c r="AK118" s="34">
        <v>4</v>
      </c>
      <c r="AL118" s="2"/>
      <c r="AM118" s="205"/>
      <c r="AO118" s="35">
        <v>4</v>
      </c>
      <c r="AP118" s="2"/>
      <c r="AQ118" s="205"/>
      <c r="AU118" s="34">
        <v>4</v>
      </c>
      <c r="AV118" s="2"/>
      <c r="AW118" s="205"/>
      <c r="AY118" s="34">
        <v>4</v>
      </c>
      <c r="AZ118" s="2"/>
      <c r="BA118" s="205"/>
      <c r="BC118" s="34">
        <v>4</v>
      </c>
      <c r="BD118" s="2"/>
      <c r="BE118" s="205"/>
      <c r="BH118" s="5"/>
      <c r="BL118" s="34">
        <v>4</v>
      </c>
      <c r="BM118" s="3"/>
      <c r="BN118" s="77"/>
      <c r="BP118" s="34">
        <v>4</v>
      </c>
      <c r="BQ118" s="3"/>
      <c r="BR118" s="77"/>
      <c r="BV118" s="34">
        <v>4</v>
      </c>
      <c r="BW118" s="3"/>
      <c r="BX118" s="77"/>
      <c r="BZ118" s="34">
        <v>4</v>
      </c>
      <c r="CA118" s="3"/>
      <c r="CB118" s="77"/>
    </row>
    <row r="119" spans="2:86">
      <c r="B119" s="34">
        <v>5</v>
      </c>
      <c r="C119" s="109"/>
      <c r="D119" s="205"/>
      <c r="F119" s="34">
        <v>5</v>
      </c>
      <c r="G119" s="2"/>
      <c r="H119" s="205"/>
      <c r="J119" s="34">
        <v>5</v>
      </c>
      <c r="K119" s="2"/>
      <c r="L119" s="205"/>
      <c r="P119" s="34">
        <v>5</v>
      </c>
      <c r="Q119" s="2"/>
      <c r="R119" s="205"/>
      <c r="T119" s="34">
        <v>5</v>
      </c>
      <c r="U119" s="252"/>
      <c r="V119" s="253"/>
      <c r="W119" s="130"/>
      <c r="X119" s="34">
        <v>5</v>
      </c>
      <c r="Y119" s="252"/>
      <c r="Z119" s="253"/>
      <c r="AC119" s="5"/>
      <c r="AG119" s="35">
        <v>5</v>
      </c>
      <c r="AH119" s="2"/>
      <c r="AI119" s="205"/>
      <c r="AK119" s="34">
        <v>5</v>
      </c>
      <c r="AL119" s="2"/>
      <c r="AM119" s="205"/>
      <c r="AO119" s="35">
        <v>5</v>
      </c>
      <c r="AP119" s="2"/>
      <c r="AQ119" s="205"/>
      <c r="AU119" s="34">
        <v>5</v>
      </c>
      <c r="AV119" s="2"/>
      <c r="AW119" s="205"/>
      <c r="AY119" s="34">
        <v>5</v>
      </c>
      <c r="AZ119" s="2"/>
      <c r="BA119" s="205"/>
      <c r="BC119" s="34">
        <v>5</v>
      </c>
      <c r="BD119" s="2"/>
      <c r="BE119" s="205"/>
      <c r="BH119" s="5"/>
      <c r="BL119" s="34">
        <v>5</v>
      </c>
      <c r="BM119" s="3"/>
      <c r="BN119" s="77"/>
      <c r="BP119" s="34">
        <v>5</v>
      </c>
      <c r="BQ119" s="3"/>
      <c r="BR119" s="77"/>
      <c r="BV119" s="34">
        <v>5</v>
      </c>
      <c r="BW119" s="3"/>
      <c r="BX119" s="77"/>
      <c r="BZ119" s="34">
        <v>5</v>
      </c>
      <c r="CA119" s="3"/>
      <c r="CB119" s="77"/>
    </row>
    <row r="120" spans="2:86">
      <c r="B120" s="34">
        <v>6</v>
      </c>
      <c r="C120" s="109"/>
      <c r="D120" s="205"/>
      <c r="F120" s="34">
        <v>6</v>
      </c>
      <c r="G120" s="2"/>
      <c r="H120" s="205"/>
      <c r="J120" s="34">
        <v>6</v>
      </c>
      <c r="K120" s="2"/>
      <c r="L120" s="205"/>
      <c r="P120" s="34">
        <v>6</v>
      </c>
      <c r="Q120" s="2"/>
      <c r="R120" s="205"/>
      <c r="T120" s="34">
        <v>6</v>
      </c>
      <c r="U120" s="252"/>
      <c r="V120" s="253"/>
      <c r="W120" s="130"/>
      <c r="X120" s="34">
        <v>6</v>
      </c>
      <c r="Y120" s="252"/>
      <c r="Z120" s="253"/>
      <c r="AC120" s="5"/>
      <c r="AG120" s="35">
        <v>6</v>
      </c>
      <c r="AH120" s="2"/>
      <c r="AI120" s="205"/>
      <c r="AK120" s="34">
        <v>6</v>
      </c>
      <c r="AL120" s="2"/>
      <c r="AM120" s="205"/>
      <c r="AO120" s="35">
        <v>6</v>
      </c>
      <c r="AP120" s="2"/>
      <c r="AQ120" s="205"/>
      <c r="AU120" s="34">
        <v>6</v>
      </c>
      <c r="AV120" s="2"/>
      <c r="AW120" s="205"/>
      <c r="AY120" s="34">
        <v>6</v>
      </c>
      <c r="AZ120" s="2"/>
      <c r="BA120" s="205"/>
      <c r="BC120" s="34">
        <v>6</v>
      </c>
      <c r="BD120" s="2"/>
      <c r="BE120" s="205"/>
      <c r="BH120" s="5"/>
      <c r="BL120" s="34">
        <v>6</v>
      </c>
      <c r="BM120" s="3"/>
      <c r="BN120" s="77"/>
      <c r="BP120" s="34">
        <v>6</v>
      </c>
      <c r="BQ120" s="3"/>
      <c r="BR120" s="77"/>
      <c r="BV120" s="34">
        <v>6</v>
      </c>
      <c r="BW120" s="3"/>
      <c r="BX120" s="77"/>
      <c r="BZ120" s="34">
        <v>6</v>
      </c>
      <c r="CA120" s="3"/>
      <c r="CB120" s="77"/>
    </row>
    <row r="121" spans="2:86">
      <c r="B121" s="34">
        <v>7</v>
      </c>
      <c r="C121" s="109"/>
      <c r="D121" s="205"/>
      <c r="F121" s="34">
        <v>7</v>
      </c>
      <c r="G121" s="2"/>
      <c r="H121" s="205"/>
      <c r="J121" s="34">
        <v>7</v>
      </c>
      <c r="K121" s="2"/>
      <c r="L121" s="205"/>
      <c r="P121" s="34">
        <v>7</v>
      </c>
      <c r="Q121" s="2"/>
      <c r="R121" s="205"/>
      <c r="T121" s="34">
        <v>7</v>
      </c>
      <c r="U121" s="252"/>
      <c r="V121" s="253"/>
      <c r="W121" s="130"/>
      <c r="X121" s="34">
        <v>7</v>
      </c>
      <c r="Y121" s="252"/>
      <c r="Z121" s="253"/>
      <c r="AC121" s="5"/>
      <c r="AG121" s="35">
        <v>7</v>
      </c>
      <c r="AH121" s="2"/>
      <c r="AI121" s="205"/>
      <c r="AK121" s="34">
        <v>7</v>
      </c>
      <c r="AL121" s="2"/>
      <c r="AM121" s="205"/>
      <c r="AO121" s="35">
        <v>7</v>
      </c>
      <c r="AP121" s="2"/>
      <c r="AQ121" s="205"/>
      <c r="AU121" s="34">
        <v>7</v>
      </c>
      <c r="AV121" s="2"/>
      <c r="AW121" s="205"/>
      <c r="AY121" s="34">
        <v>7</v>
      </c>
      <c r="AZ121" s="2"/>
      <c r="BA121" s="205"/>
      <c r="BC121" s="34">
        <v>7</v>
      </c>
      <c r="BD121" s="2"/>
      <c r="BE121" s="205"/>
      <c r="BH121" s="5"/>
      <c r="BL121" s="34">
        <v>7</v>
      </c>
      <c r="BM121" s="3"/>
      <c r="BN121" s="77"/>
      <c r="BP121" s="34">
        <v>7</v>
      </c>
      <c r="BQ121" s="3"/>
      <c r="BR121" s="77"/>
      <c r="BV121" s="34">
        <v>7</v>
      </c>
      <c r="BW121" s="3"/>
      <c r="BX121" s="77"/>
      <c r="BZ121" s="34">
        <v>7</v>
      </c>
      <c r="CA121" s="3"/>
      <c r="CB121" s="77"/>
    </row>
    <row r="122" spans="2:86">
      <c r="B122" s="34">
        <v>8</v>
      </c>
      <c r="C122" s="109"/>
      <c r="D122" s="205"/>
      <c r="F122" s="34">
        <v>8</v>
      </c>
      <c r="G122" s="2"/>
      <c r="H122" s="205"/>
      <c r="J122" s="34">
        <v>8</v>
      </c>
      <c r="K122" s="2"/>
      <c r="L122" s="205"/>
      <c r="P122" s="34">
        <v>8</v>
      </c>
      <c r="Q122" s="2"/>
      <c r="R122" s="205"/>
      <c r="T122" s="34">
        <v>8</v>
      </c>
      <c r="U122" s="252"/>
      <c r="V122" s="253"/>
      <c r="W122" s="130"/>
      <c r="X122" s="34">
        <v>8</v>
      </c>
      <c r="Y122" s="252"/>
      <c r="Z122" s="253"/>
      <c r="AC122" s="5"/>
      <c r="AG122" s="35">
        <v>8</v>
      </c>
      <c r="AH122" s="2"/>
      <c r="AI122" s="205"/>
      <c r="AK122" s="34">
        <v>8</v>
      </c>
      <c r="AL122" s="2"/>
      <c r="AM122" s="205"/>
      <c r="AO122" s="35">
        <v>8</v>
      </c>
      <c r="AP122" s="2"/>
      <c r="AQ122" s="205"/>
      <c r="AU122" s="34">
        <v>8</v>
      </c>
      <c r="AV122" s="2"/>
      <c r="AW122" s="205"/>
      <c r="AY122" s="34">
        <v>8</v>
      </c>
      <c r="AZ122" s="2"/>
      <c r="BA122" s="205"/>
      <c r="BC122" s="34">
        <v>8</v>
      </c>
      <c r="BD122" s="139"/>
      <c r="BE122" s="205"/>
      <c r="BH122" s="5"/>
      <c r="BL122" s="34">
        <v>8</v>
      </c>
      <c r="BM122" s="3"/>
      <c r="BN122" s="77"/>
      <c r="BP122" s="34">
        <v>8</v>
      </c>
      <c r="BQ122" s="3"/>
      <c r="BR122" s="77"/>
      <c r="BV122" s="34">
        <v>8</v>
      </c>
      <c r="BW122" s="3"/>
      <c r="BX122" s="77"/>
      <c r="BZ122" s="34">
        <v>8</v>
      </c>
      <c r="CA122" s="3"/>
      <c r="CB122" s="77"/>
    </row>
    <row r="123" spans="2:86">
      <c r="B123" s="34">
        <v>9</v>
      </c>
      <c r="C123" s="109"/>
      <c r="D123" s="205"/>
      <c r="F123" s="34">
        <v>9</v>
      </c>
      <c r="G123" s="2"/>
      <c r="H123" s="205"/>
      <c r="J123" s="34">
        <v>9</v>
      </c>
      <c r="K123" s="2"/>
      <c r="L123" s="205"/>
      <c r="P123" s="34">
        <v>9</v>
      </c>
      <c r="Q123" s="2"/>
      <c r="R123" s="205"/>
      <c r="T123" s="34">
        <v>9</v>
      </c>
      <c r="U123" s="252"/>
      <c r="V123" s="253"/>
      <c r="W123" s="130"/>
      <c r="X123" s="34">
        <v>9</v>
      </c>
      <c r="Y123" s="252"/>
      <c r="Z123" s="253"/>
      <c r="AC123" s="5"/>
      <c r="AG123" s="35">
        <v>9</v>
      </c>
      <c r="AH123" s="2"/>
      <c r="AI123" s="205"/>
      <c r="AK123" s="34">
        <v>9</v>
      </c>
      <c r="AL123" s="2"/>
      <c r="AM123" s="205"/>
      <c r="AO123" s="35">
        <v>9</v>
      </c>
      <c r="AP123" s="2"/>
      <c r="AQ123" s="205"/>
      <c r="AU123" s="34">
        <v>9</v>
      </c>
      <c r="AV123" s="2"/>
      <c r="AW123" s="205"/>
      <c r="AY123" s="34">
        <v>9</v>
      </c>
      <c r="AZ123" s="2"/>
      <c r="BA123" s="205"/>
      <c r="BC123" s="34">
        <v>9</v>
      </c>
      <c r="BD123" s="2"/>
      <c r="BE123" s="205"/>
      <c r="BH123" s="5"/>
      <c r="BL123" s="34">
        <v>9</v>
      </c>
      <c r="BM123" s="3"/>
      <c r="BN123" s="77"/>
      <c r="BP123" s="34">
        <v>9</v>
      </c>
      <c r="BQ123" s="3"/>
      <c r="BR123" s="77"/>
      <c r="BV123" s="34">
        <v>9</v>
      </c>
      <c r="BW123" s="3"/>
      <c r="BX123" s="77"/>
      <c r="BZ123" s="34">
        <v>9</v>
      </c>
      <c r="CA123" s="3"/>
      <c r="CB123" s="77"/>
    </row>
    <row r="124" spans="2:86">
      <c r="B124" s="34">
        <v>10</v>
      </c>
      <c r="C124" s="109"/>
      <c r="D124" s="205"/>
      <c r="F124" s="34">
        <v>10</v>
      </c>
      <c r="G124" s="2"/>
      <c r="H124" s="205"/>
      <c r="J124" s="34">
        <v>10</v>
      </c>
      <c r="K124" s="2"/>
      <c r="L124" s="205"/>
      <c r="P124" s="34">
        <v>10</v>
      </c>
      <c r="Q124" s="2"/>
      <c r="R124" s="205"/>
      <c r="T124" s="34">
        <v>10</v>
      </c>
      <c r="U124" s="252"/>
      <c r="V124" s="253"/>
      <c r="W124" s="130"/>
      <c r="X124" s="34">
        <v>10</v>
      </c>
      <c r="Y124" s="252"/>
      <c r="Z124" s="253"/>
      <c r="AC124" s="5"/>
      <c r="AG124" s="35">
        <v>10</v>
      </c>
      <c r="AH124" s="2"/>
      <c r="AI124" s="205"/>
      <c r="AK124" s="34">
        <v>10</v>
      </c>
      <c r="AL124" s="2"/>
      <c r="AM124" s="205"/>
      <c r="AO124" s="35">
        <v>10</v>
      </c>
      <c r="AP124" s="2"/>
      <c r="AQ124" s="205"/>
      <c r="AU124" s="34">
        <v>10</v>
      </c>
      <c r="AV124" s="2"/>
      <c r="AW124" s="205"/>
      <c r="AY124" s="34">
        <v>10</v>
      </c>
      <c r="AZ124" s="2"/>
      <c r="BA124" s="205"/>
      <c r="BC124" s="34">
        <v>10</v>
      </c>
      <c r="BD124" s="2"/>
      <c r="BE124" s="205"/>
      <c r="BH124" s="5"/>
      <c r="BL124" s="34">
        <v>10</v>
      </c>
      <c r="BM124" s="3"/>
      <c r="BN124" s="77"/>
      <c r="BP124" s="34">
        <v>10</v>
      </c>
      <c r="BQ124" s="3"/>
      <c r="BR124" s="77"/>
      <c r="BV124" s="34">
        <v>10</v>
      </c>
      <c r="BW124" s="3"/>
      <c r="BX124" s="77"/>
      <c r="BZ124" s="34">
        <v>10</v>
      </c>
      <c r="CA124" s="3"/>
      <c r="CB124" s="77"/>
    </row>
    <row r="125" spans="2:86">
      <c r="B125" s="34">
        <v>11</v>
      </c>
      <c r="C125" s="109"/>
      <c r="D125" s="205"/>
      <c r="F125" s="34">
        <v>11</v>
      </c>
      <c r="G125" s="2"/>
      <c r="H125" s="205"/>
      <c r="J125" s="34">
        <v>11</v>
      </c>
      <c r="K125" s="2"/>
      <c r="L125" s="205"/>
      <c r="M125" s="130"/>
      <c r="P125" s="34">
        <v>11</v>
      </c>
      <c r="Q125" s="2"/>
      <c r="R125" s="205"/>
      <c r="T125" s="34">
        <v>11</v>
      </c>
      <c r="U125" s="252"/>
      <c r="V125" s="253"/>
      <c r="W125" s="130"/>
      <c r="X125" s="34">
        <v>11</v>
      </c>
      <c r="Y125" s="252"/>
      <c r="Z125" s="253"/>
      <c r="AC125" s="5"/>
      <c r="AG125" s="35">
        <v>11</v>
      </c>
      <c r="AH125" s="2"/>
      <c r="AI125" s="205"/>
      <c r="AK125" s="34">
        <v>11</v>
      </c>
      <c r="AL125" s="2"/>
      <c r="AM125" s="205"/>
      <c r="AO125" s="35">
        <v>11</v>
      </c>
      <c r="AP125" s="2"/>
      <c r="AQ125" s="205"/>
      <c r="AU125" s="34">
        <v>11</v>
      </c>
      <c r="AV125" s="2"/>
      <c r="AW125" s="205"/>
      <c r="AY125" s="34">
        <v>11</v>
      </c>
      <c r="AZ125" s="2"/>
      <c r="BA125" s="205"/>
      <c r="BC125" s="34">
        <v>11</v>
      </c>
      <c r="BD125" s="2"/>
      <c r="BE125" s="205"/>
      <c r="BH125" s="5"/>
      <c r="BL125" s="34">
        <v>11</v>
      </c>
      <c r="BM125" s="3"/>
      <c r="BN125" s="77"/>
      <c r="BP125" s="34">
        <v>11</v>
      </c>
      <c r="BQ125" s="3"/>
      <c r="BR125" s="77"/>
      <c r="BV125" s="34">
        <v>11</v>
      </c>
      <c r="BW125" s="3"/>
      <c r="BX125" s="77"/>
      <c r="BZ125" s="34">
        <v>11</v>
      </c>
      <c r="CA125" s="3"/>
      <c r="CB125" s="77"/>
    </row>
    <row r="126" spans="2:86">
      <c r="B126" s="34">
        <v>12</v>
      </c>
      <c r="C126" s="109"/>
      <c r="D126" s="205"/>
      <c r="F126" s="34">
        <v>12</v>
      </c>
      <c r="G126" s="2"/>
      <c r="H126" s="205"/>
      <c r="J126" s="34">
        <v>12</v>
      </c>
      <c r="K126" s="2"/>
      <c r="L126" s="205"/>
      <c r="P126" s="34">
        <v>12</v>
      </c>
      <c r="Q126" s="2"/>
      <c r="R126" s="205"/>
      <c r="T126" s="34">
        <v>12</v>
      </c>
      <c r="U126" s="252"/>
      <c r="V126" s="253"/>
      <c r="W126" s="130"/>
      <c r="X126" s="34">
        <v>12</v>
      </c>
      <c r="Y126" s="252"/>
      <c r="Z126" s="253"/>
      <c r="AC126" s="5"/>
      <c r="AG126" s="35">
        <v>12</v>
      </c>
      <c r="AH126" s="2"/>
      <c r="AI126" s="205"/>
      <c r="AK126" s="34">
        <v>12</v>
      </c>
      <c r="AL126" s="2"/>
      <c r="AM126" s="205"/>
      <c r="AO126" s="35">
        <v>12</v>
      </c>
      <c r="AP126" s="2"/>
      <c r="AQ126" s="205"/>
      <c r="AU126" s="34">
        <v>12</v>
      </c>
      <c r="AV126" s="2"/>
      <c r="AW126" s="205"/>
      <c r="AY126" s="34">
        <v>12</v>
      </c>
      <c r="AZ126" s="2"/>
      <c r="BA126" s="205"/>
      <c r="BC126" s="34">
        <v>12</v>
      </c>
      <c r="BD126" s="2"/>
      <c r="BE126" s="205"/>
      <c r="BH126" s="5"/>
      <c r="BL126" s="34">
        <v>12</v>
      </c>
      <c r="BM126" s="3"/>
      <c r="BN126" s="77"/>
      <c r="BP126" s="34">
        <v>12</v>
      </c>
      <c r="BQ126" s="3"/>
      <c r="BR126" s="77"/>
      <c r="BV126" s="34">
        <v>12</v>
      </c>
      <c r="BW126" s="3"/>
      <c r="BX126" s="77"/>
      <c r="BZ126" s="34">
        <v>12</v>
      </c>
      <c r="CA126" s="3"/>
      <c r="CB126" s="77"/>
    </row>
    <row r="127" spans="2:86">
      <c r="B127" s="34">
        <v>13</v>
      </c>
      <c r="C127" s="109"/>
      <c r="D127" s="205"/>
      <c r="F127" s="34">
        <v>13</v>
      </c>
      <c r="G127" s="2"/>
      <c r="H127" s="205"/>
      <c r="J127" s="34">
        <v>13</v>
      </c>
      <c r="K127" s="2"/>
      <c r="L127" s="205"/>
      <c r="P127" s="34">
        <v>13</v>
      </c>
      <c r="Q127" s="2"/>
      <c r="R127" s="205"/>
      <c r="T127" s="34">
        <v>13</v>
      </c>
      <c r="U127" s="252"/>
      <c r="V127" s="253"/>
      <c r="W127" s="130"/>
      <c r="X127" s="34">
        <v>13</v>
      </c>
      <c r="Y127" s="252"/>
      <c r="Z127" s="253"/>
      <c r="AC127" s="5"/>
      <c r="AG127" s="35">
        <v>13</v>
      </c>
      <c r="AH127" s="2"/>
      <c r="AI127" s="205"/>
      <c r="AK127" s="34">
        <v>13</v>
      </c>
      <c r="AL127" s="2"/>
      <c r="AM127" s="205"/>
      <c r="AO127" s="35">
        <v>13</v>
      </c>
      <c r="AP127" s="2"/>
      <c r="AQ127" s="205"/>
      <c r="AU127" s="34">
        <v>13</v>
      </c>
      <c r="AV127" s="2"/>
      <c r="AW127" s="205"/>
      <c r="AY127" s="34">
        <v>13</v>
      </c>
      <c r="AZ127" s="2"/>
      <c r="BA127" s="205"/>
      <c r="BC127" s="34">
        <v>13</v>
      </c>
      <c r="BD127" s="2"/>
      <c r="BE127" s="205"/>
      <c r="BH127" s="5"/>
      <c r="BL127" s="34">
        <v>13</v>
      </c>
      <c r="BM127" s="3"/>
      <c r="BN127" s="77"/>
      <c r="BP127" s="34">
        <v>13</v>
      </c>
      <c r="BQ127" s="3"/>
      <c r="BR127" s="77"/>
      <c r="BV127" s="34">
        <v>13</v>
      </c>
      <c r="BW127" s="3"/>
      <c r="BX127" s="77"/>
      <c r="BZ127" s="34">
        <v>13</v>
      </c>
      <c r="CA127" s="3"/>
      <c r="CB127" s="77"/>
    </row>
    <row r="128" spans="2:86">
      <c r="B128" s="34">
        <v>14</v>
      </c>
      <c r="C128" s="109"/>
      <c r="D128" s="205"/>
      <c r="F128" s="34">
        <v>14</v>
      </c>
      <c r="G128" s="2"/>
      <c r="H128" s="205"/>
      <c r="J128" s="34">
        <v>14</v>
      </c>
      <c r="K128" s="2"/>
      <c r="L128" s="205"/>
      <c r="P128" s="34">
        <v>14</v>
      </c>
      <c r="Q128" s="2"/>
      <c r="R128" s="205"/>
      <c r="T128" s="34">
        <v>14</v>
      </c>
      <c r="U128" s="252"/>
      <c r="V128" s="253"/>
      <c r="W128" s="130"/>
      <c r="X128" s="34">
        <v>14</v>
      </c>
      <c r="Y128" s="252"/>
      <c r="Z128" s="253"/>
      <c r="AC128" s="5"/>
      <c r="AG128" s="35">
        <v>14</v>
      </c>
      <c r="AH128" s="2"/>
      <c r="AI128" s="205"/>
      <c r="AK128" s="34">
        <v>14</v>
      </c>
      <c r="AL128" s="2"/>
      <c r="AM128" s="77"/>
      <c r="AO128" s="35">
        <v>14</v>
      </c>
      <c r="AP128" s="2"/>
      <c r="AQ128" s="205"/>
      <c r="AU128" s="34">
        <v>14</v>
      </c>
      <c r="AV128" s="2"/>
      <c r="AW128" s="205"/>
      <c r="AY128" s="34">
        <v>14</v>
      </c>
      <c r="AZ128" s="2"/>
      <c r="BA128" s="205"/>
      <c r="BC128" s="34">
        <v>14</v>
      </c>
      <c r="BD128" s="2"/>
      <c r="BE128" s="205"/>
      <c r="BH128" s="5"/>
      <c r="BL128" s="34">
        <v>14</v>
      </c>
      <c r="BM128" s="3"/>
      <c r="BN128" s="77"/>
      <c r="BP128" s="34">
        <v>14</v>
      </c>
      <c r="BQ128" s="3"/>
      <c r="BR128" s="77"/>
      <c r="BV128" s="34">
        <v>14</v>
      </c>
      <c r="BW128" s="3"/>
      <c r="BX128" s="77"/>
      <c r="BZ128" s="34">
        <v>14</v>
      </c>
      <c r="CA128" s="3"/>
      <c r="CB128" s="77"/>
    </row>
    <row r="129" spans="2:91">
      <c r="B129" s="34">
        <v>15</v>
      </c>
      <c r="C129" s="27"/>
      <c r="D129" s="77"/>
      <c r="F129" s="34">
        <v>15</v>
      </c>
      <c r="G129" s="2"/>
      <c r="H129" s="205"/>
      <c r="J129" s="34">
        <v>15</v>
      </c>
      <c r="K129" s="2"/>
      <c r="L129" s="205"/>
      <c r="P129" s="34">
        <v>15</v>
      </c>
      <c r="Q129" s="2"/>
      <c r="R129" s="205"/>
      <c r="T129" s="34">
        <v>15</v>
      </c>
      <c r="U129" s="252"/>
      <c r="V129" s="253"/>
      <c r="X129" s="34">
        <v>15</v>
      </c>
      <c r="Y129" s="252"/>
      <c r="Z129" s="253"/>
      <c r="AC129" s="5"/>
      <c r="AG129" s="35">
        <v>15</v>
      </c>
      <c r="AH129" s="2"/>
      <c r="AI129" s="205"/>
      <c r="AK129" s="34">
        <v>15</v>
      </c>
      <c r="AL129" s="2"/>
      <c r="AM129" s="77"/>
      <c r="AO129" s="35">
        <v>15</v>
      </c>
      <c r="AP129" s="2"/>
      <c r="AQ129" s="205"/>
      <c r="AU129" s="34">
        <v>15</v>
      </c>
      <c r="AV129" s="3"/>
      <c r="AW129" s="77"/>
      <c r="AY129" s="34">
        <v>15</v>
      </c>
      <c r="AZ129" s="2"/>
      <c r="BA129" s="205"/>
      <c r="BC129" s="34">
        <v>15</v>
      </c>
      <c r="BD129" s="3"/>
      <c r="BE129" s="77"/>
      <c r="BH129" s="5"/>
      <c r="BL129" s="34">
        <v>15</v>
      </c>
      <c r="BM129" s="3"/>
      <c r="BN129" s="77"/>
      <c r="BP129" s="34">
        <v>15</v>
      </c>
      <c r="BQ129" s="3"/>
      <c r="BR129" s="77"/>
      <c r="BV129" s="34">
        <v>15</v>
      </c>
      <c r="BW129" s="3"/>
      <c r="BX129" s="77"/>
      <c r="BZ129" s="34">
        <v>15</v>
      </c>
      <c r="CA129" s="3"/>
      <c r="CB129" s="77"/>
    </row>
    <row r="130" spans="2:91">
      <c r="B130" s="34">
        <v>16</v>
      </c>
      <c r="C130" s="27"/>
      <c r="D130" s="77"/>
      <c r="F130" s="34">
        <v>16</v>
      </c>
      <c r="G130" s="2"/>
      <c r="H130" s="205"/>
      <c r="J130" s="34">
        <v>16</v>
      </c>
      <c r="K130" s="2"/>
      <c r="L130" s="205"/>
      <c r="P130" s="34">
        <v>16</v>
      </c>
      <c r="Q130" s="2"/>
      <c r="R130" s="205"/>
      <c r="T130" s="34">
        <v>16</v>
      </c>
      <c r="U130" s="252"/>
      <c r="V130" s="253"/>
      <c r="X130" s="34">
        <v>16</v>
      </c>
      <c r="Y130" s="252"/>
      <c r="Z130" s="253"/>
      <c r="AC130" s="5"/>
      <c r="AG130" s="35">
        <v>16</v>
      </c>
      <c r="AH130" s="2"/>
      <c r="AI130" s="205"/>
      <c r="AK130" s="34">
        <v>16</v>
      </c>
      <c r="AL130" s="2"/>
      <c r="AM130" s="77"/>
      <c r="AO130" s="35">
        <v>16</v>
      </c>
      <c r="AP130" s="2"/>
      <c r="AQ130" s="205"/>
      <c r="AU130" s="34">
        <v>16</v>
      </c>
      <c r="AV130" s="3"/>
      <c r="AW130" s="77"/>
      <c r="AY130" s="34">
        <v>16</v>
      </c>
      <c r="AZ130" s="2"/>
      <c r="BA130" s="205"/>
      <c r="BC130" s="34">
        <v>16</v>
      </c>
      <c r="BD130" s="3"/>
      <c r="BE130" s="77"/>
      <c r="BH130" s="5"/>
      <c r="BL130" s="34">
        <v>16</v>
      </c>
      <c r="BM130" s="3"/>
      <c r="BN130" s="77"/>
      <c r="BP130" s="34">
        <v>16</v>
      </c>
      <c r="BQ130" s="3"/>
      <c r="BR130" s="77"/>
      <c r="BV130" s="34">
        <v>16</v>
      </c>
      <c r="BW130" s="3"/>
      <c r="BX130" s="77"/>
      <c r="BZ130" s="34">
        <v>16</v>
      </c>
      <c r="CA130" s="3"/>
      <c r="CB130" s="77"/>
    </row>
    <row r="131" spans="2:91">
      <c r="B131" s="34">
        <v>17</v>
      </c>
      <c r="C131" s="27"/>
      <c r="D131" s="77"/>
      <c r="F131" s="34">
        <v>17</v>
      </c>
      <c r="G131" s="2"/>
      <c r="H131" s="205"/>
      <c r="J131" s="34">
        <v>17</v>
      </c>
      <c r="K131" s="3"/>
      <c r="L131" s="77"/>
      <c r="P131" s="34">
        <v>17</v>
      </c>
      <c r="Q131" s="2"/>
      <c r="R131" s="205"/>
      <c r="T131" s="34">
        <v>17</v>
      </c>
      <c r="U131" s="252"/>
      <c r="V131" s="253"/>
      <c r="X131" s="34">
        <v>17</v>
      </c>
      <c r="Y131" s="2"/>
      <c r="Z131" s="205"/>
      <c r="AC131" s="5"/>
      <c r="AG131" s="35">
        <v>17</v>
      </c>
      <c r="AH131" s="2"/>
      <c r="AI131" s="205"/>
      <c r="AK131" s="34">
        <v>17</v>
      </c>
      <c r="AL131" s="2"/>
      <c r="AM131" s="77"/>
      <c r="AO131" s="35">
        <v>17</v>
      </c>
      <c r="AP131" s="2"/>
      <c r="AQ131" s="205"/>
      <c r="AU131" s="34">
        <v>17</v>
      </c>
      <c r="AV131" s="3"/>
      <c r="AW131" s="77"/>
      <c r="AY131" s="34">
        <v>17</v>
      </c>
      <c r="AZ131" s="2"/>
      <c r="BA131" s="205"/>
      <c r="BC131" s="34">
        <v>17</v>
      </c>
      <c r="BD131" s="3"/>
      <c r="BE131" s="77"/>
      <c r="BH131" s="5"/>
      <c r="BL131" s="34">
        <v>17</v>
      </c>
      <c r="BM131" s="3"/>
      <c r="BN131" s="77"/>
      <c r="BP131" s="34">
        <v>17</v>
      </c>
      <c r="BQ131" s="3"/>
      <c r="BR131" s="77"/>
      <c r="BV131" s="34">
        <v>17</v>
      </c>
      <c r="BW131" s="3"/>
      <c r="BX131" s="77"/>
      <c r="BZ131" s="34">
        <v>17</v>
      </c>
      <c r="CA131" s="3"/>
      <c r="CB131" s="77"/>
    </row>
    <row r="132" spans="2:91">
      <c r="B132" s="34">
        <v>18</v>
      </c>
      <c r="C132" s="27"/>
      <c r="D132" s="77"/>
      <c r="F132" s="34">
        <v>18</v>
      </c>
      <c r="G132" s="2"/>
      <c r="H132" s="205"/>
      <c r="J132" s="34">
        <v>18</v>
      </c>
      <c r="K132" s="3"/>
      <c r="L132" s="77"/>
      <c r="P132" s="34">
        <v>18</v>
      </c>
      <c r="Q132" s="2"/>
      <c r="R132" s="205"/>
      <c r="T132" s="34">
        <v>18</v>
      </c>
      <c r="U132" s="252"/>
      <c r="V132" s="253"/>
      <c r="X132" s="34">
        <v>18</v>
      </c>
      <c r="Y132" s="3"/>
      <c r="Z132" s="77"/>
      <c r="AC132" s="5"/>
      <c r="AG132" s="35">
        <v>18</v>
      </c>
      <c r="AH132" s="2"/>
      <c r="AI132" s="205"/>
      <c r="AK132" s="34">
        <v>18</v>
      </c>
      <c r="AL132" s="2"/>
      <c r="AM132" s="77"/>
      <c r="AO132" s="35">
        <v>18</v>
      </c>
      <c r="AP132" s="2"/>
      <c r="AQ132" s="205"/>
      <c r="AU132" s="34">
        <v>18</v>
      </c>
      <c r="AV132" s="3"/>
      <c r="AW132" s="77"/>
      <c r="AY132" s="34">
        <v>18</v>
      </c>
      <c r="AZ132" s="3"/>
      <c r="BA132" s="77"/>
      <c r="BC132" s="34">
        <v>18</v>
      </c>
      <c r="BD132" s="3"/>
      <c r="BE132" s="77"/>
      <c r="BH132" s="5"/>
      <c r="BL132" s="34">
        <v>18</v>
      </c>
      <c r="BM132" s="3"/>
      <c r="BN132" s="77"/>
      <c r="BP132" s="34">
        <v>18</v>
      </c>
      <c r="BQ132" s="3"/>
      <c r="BR132" s="77"/>
      <c r="BV132" s="34">
        <v>18</v>
      </c>
      <c r="BW132" s="3"/>
      <c r="BX132" s="77"/>
      <c r="BZ132" s="34">
        <v>18</v>
      </c>
      <c r="CA132" s="3"/>
      <c r="CB132" s="77"/>
    </row>
    <row r="133" spans="2:91">
      <c r="B133" s="34">
        <v>19</v>
      </c>
      <c r="C133" s="27"/>
      <c r="D133" s="77"/>
      <c r="F133" s="34">
        <v>19</v>
      </c>
      <c r="G133" s="3"/>
      <c r="H133" s="77"/>
      <c r="J133" s="34">
        <v>19</v>
      </c>
      <c r="K133" s="3"/>
      <c r="L133" s="77"/>
      <c r="P133" s="34">
        <v>19</v>
      </c>
      <c r="Q133" s="2"/>
      <c r="R133" s="205"/>
      <c r="T133" s="34">
        <v>19</v>
      </c>
      <c r="U133" s="252"/>
      <c r="V133" s="253"/>
      <c r="X133" s="34">
        <v>19</v>
      </c>
      <c r="Y133" s="2"/>
      <c r="Z133" s="205"/>
      <c r="AC133" s="5"/>
      <c r="AG133" s="35">
        <v>19</v>
      </c>
      <c r="AH133" s="2"/>
      <c r="AI133" s="205"/>
      <c r="AK133" s="34">
        <v>19</v>
      </c>
      <c r="AL133" s="2"/>
      <c r="AM133" s="77"/>
      <c r="AO133" s="35">
        <v>19</v>
      </c>
      <c r="AP133" s="2"/>
      <c r="AQ133" s="205"/>
      <c r="AU133" s="34">
        <v>19</v>
      </c>
      <c r="AV133" s="3"/>
      <c r="AW133" s="77"/>
      <c r="AY133" s="34">
        <v>19</v>
      </c>
      <c r="AZ133" s="3"/>
      <c r="BA133" s="77"/>
      <c r="BC133" s="34">
        <v>19</v>
      </c>
      <c r="BD133" s="3"/>
      <c r="BE133" s="77"/>
      <c r="BH133" s="5"/>
      <c r="BL133" s="34">
        <v>19</v>
      </c>
      <c r="BM133" s="3"/>
      <c r="BN133" s="77"/>
      <c r="BP133" s="34">
        <v>19</v>
      </c>
      <c r="BQ133" s="3"/>
      <c r="BR133" s="4"/>
      <c r="BV133" s="34">
        <v>19</v>
      </c>
      <c r="BW133" s="3"/>
      <c r="BX133" s="77"/>
      <c r="BZ133" s="34">
        <v>19</v>
      </c>
      <c r="CA133" s="3"/>
      <c r="CB133" s="77"/>
    </row>
    <row r="134" spans="2:91">
      <c r="B134" s="34">
        <v>20</v>
      </c>
      <c r="C134" s="27"/>
      <c r="D134" s="77"/>
      <c r="F134" s="34">
        <v>20</v>
      </c>
      <c r="G134" s="3"/>
      <c r="H134" s="77"/>
      <c r="J134" s="34">
        <v>20</v>
      </c>
      <c r="K134" s="3"/>
      <c r="L134" s="77"/>
      <c r="P134" s="34">
        <v>20</v>
      </c>
      <c r="Q134" s="2"/>
      <c r="R134" s="205"/>
      <c r="T134" s="34">
        <v>20</v>
      </c>
      <c r="U134" s="2"/>
      <c r="V134" s="205"/>
      <c r="X134" s="34">
        <v>20</v>
      </c>
      <c r="Y134" s="2" t="s">
        <v>20</v>
      </c>
      <c r="Z134" s="205"/>
      <c r="AC134" s="5"/>
      <c r="AG134" s="35">
        <v>20</v>
      </c>
      <c r="AH134" s="2"/>
      <c r="AI134" s="205"/>
      <c r="AK134" s="34">
        <v>20</v>
      </c>
      <c r="AL134" s="2"/>
      <c r="AM134" s="77"/>
      <c r="AO134" s="35">
        <v>20</v>
      </c>
      <c r="AP134" s="2"/>
      <c r="AQ134" s="205"/>
      <c r="AU134" s="34">
        <v>20</v>
      </c>
      <c r="AV134" s="3"/>
      <c r="AW134" s="77"/>
      <c r="AY134" s="34">
        <v>20</v>
      </c>
      <c r="AZ134" s="3"/>
      <c r="BA134" s="77"/>
      <c r="BC134" s="34">
        <v>20</v>
      </c>
      <c r="BD134" s="3"/>
      <c r="BE134" s="77"/>
      <c r="BH134" s="5"/>
      <c r="BL134" s="34">
        <v>20</v>
      </c>
      <c r="BM134" s="3"/>
      <c r="BN134" s="77"/>
      <c r="BP134" s="34">
        <v>20</v>
      </c>
      <c r="BQ134" s="3"/>
      <c r="BR134" s="77"/>
      <c r="BV134" s="34">
        <v>20</v>
      </c>
      <c r="BW134" s="3"/>
      <c r="BX134" s="77"/>
      <c r="BZ134" s="34">
        <v>20</v>
      </c>
      <c r="CA134" s="3"/>
      <c r="CB134" s="77"/>
    </row>
    <row r="135" spans="2:91">
      <c r="B135" s="34">
        <v>21</v>
      </c>
      <c r="C135" s="27"/>
      <c r="D135" s="77"/>
      <c r="F135" s="34">
        <v>21</v>
      </c>
      <c r="G135" s="3"/>
      <c r="H135" s="77"/>
      <c r="J135" s="34">
        <v>21</v>
      </c>
      <c r="K135" s="3"/>
      <c r="L135" s="77"/>
      <c r="P135" s="34">
        <v>21</v>
      </c>
      <c r="Q135" s="2"/>
      <c r="R135" s="205"/>
      <c r="T135" s="34">
        <v>21</v>
      </c>
      <c r="U135" s="2"/>
      <c r="V135" s="205"/>
      <c r="X135" s="34">
        <v>21</v>
      </c>
      <c r="Y135" s="3"/>
      <c r="Z135" s="77"/>
      <c r="AC135" s="5"/>
      <c r="AG135" s="35">
        <v>21</v>
      </c>
      <c r="AH135" s="2"/>
      <c r="AI135" s="205"/>
      <c r="AK135" s="34">
        <v>21</v>
      </c>
      <c r="AL135" s="2"/>
      <c r="AM135" s="77"/>
      <c r="AO135" s="35">
        <v>21</v>
      </c>
      <c r="AP135" s="2"/>
      <c r="AQ135" s="205"/>
      <c r="AU135" s="34">
        <v>21</v>
      </c>
      <c r="AV135" s="3"/>
      <c r="AW135" s="77"/>
      <c r="AY135" s="34">
        <v>21</v>
      </c>
      <c r="AZ135" s="3"/>
      <c r="BA135" s="77"/>
      <c r="BC135" s="34">
        <v>21</v>
      </c>
      <c r="BD135" s="3"/>
      <c r="BE135" s="77"/>
      <c r="BH135" s="5"/>
      <c r="BL135" s="34">
        <v>21</v>
      </c>
      <c r="BM135" s="3"/>
      <c r="BN135" s="77"/>
      <c r="BP135" s="34">
        <v>21</v>
      </c>
      <c r="BQ135" s="3"/>
      <c r="BR135" s="77"/>
      <c r="BV135" s="34">
        <v>21</v>
      </c>
      <c r="BW135" s="3"/>
      <c r="BX135" s="4"/>
      <c r="BZ135" s="34">
        <v>21</v>
      </c>
      <c r="CA135" s="3"/>
      <c r="CB135" s="77"/>
    </row>
    <row r="136" spans="2:91">
      <c r="B136" s="34">
        <v>22</v>
      </c>
      <c r="C136" s="27"/>
      <c r="D136" s="77"/>
      <c r="F136" s="34">
        <v>22</v>
      </c>
      <c r="G136" s="3"/>
      <c r="H136" s="77"/>
      <c r="J136" s="34">
        <v>22</v>
      </c>
      <c r="K136" s="3"/>
      <c r="L136" s="77"/>
      <c r="P136" s="34">
        <v>22</v>
      </c>
      <c r="Q136" s="2"/>
      <c r="R136" s="205"/>
      <c r="T136" s="34">
        <v>22</v>
      </c>
      <c r="U136" s="2"/>
      <c r="V136" s="205"/>
      <c r="X136" s="34">
        <v>22</v>
      </c>
      <c r="Y136" s="3"/>
      <c r="Z136" s="77"/>
      <c r="AC136" s="5"/>
      <c r="AG136" s="35">
        <v>22</v>
      </c>
      <c r="AH136" s="2"/>
      <c r="AI136" s="205"/>
      <c r="AK136" s="34">
        <v>22</v>
      </c>
      <c r="AL136" s="3"/>
      <c r="AM136" s="77"/>
      <c r="AO136" s="35">
        <v>22</v>
      </c>
      <c r="AP136" s="2"/>
      <c r="AQ136" s="205"/>
      <c r="AU136" s="34">
        <v>22</v>
      </c>
      <c r="AV136" s="3"/>
      <c r="AW136" s="77"/>
      <c r="AY136" s="34">
        <v>22</v>
      </c>
      <c r="AZ136" s="3"/>
      <c r="BA136" s="77"/>
      <c r="BC136" s="34">
        <v>22</v>
      </c>
      <c r="BD136" s="3"/>
      <c r="BE136" s="77"/>
      <c r="BH136" s="5"/>
      <c r="BL136" s="34">
        <v>22</v>
      </c>
      <c r="BM136" s="3"/>
      <c r="BN136" s="4"/>
      <c r="BP136" s="34">
        <v>22</v>
      </c>
      <c r="BQ136" s="3"/>
      <c r="BR136" s="4"/>
      <c r="BV136" s="34">
        <v>22</v>
      </c>
      <c r="BW136" s="3"/>
      <c r="BX136" s="4"/>
      <c r="BZ136" s="34">
        <v>22</v>
      </c>
      <c r="CA136" s="3"/>
      <c r="CB136" s="4"/>
    </row>
    <row r="137" spans="2:91" ht="16.5" customHeight="1">
      <c r="B137" s="34">
        <v>23</v>
      </c>
      <c r="C137" s="27"/>
      <c r="D137" s="77"/>
      <c r="F137" s="34">
        <v>23</v>
      </c>
      <c r="G137" s="3"/>
      <c r="H137" s="77"/>
      <c r="J137" s="34">
        <v>23</v>
      </c>
      <c r="K137" s="3"/>
      <c r="L137" s="77"/>
      <c r="P137" s="34">
        <v>23</v>
      </c>
      <c r="Q137" s="3"/>
      <c r="R137" s="77"/>
      <c r="T137" s="34">
        <v>23</v>
      </c>
      <c r="U137" s="2"/>
      <c r="V137" s="205"/>
      <c r="X137" s="34">
        <v>23</v>
      </c>
      <c r="Y137" s="3"/>
      <c r="Z137" s="77"/>
      <c r="AC137" s="5"/>
      <c r="AG137" s="35">
        <v>23</v>
      </c>
      <c r="AH137" s="2"/>
      <c r="AI137" s="205"/>
      <c r="AK137" s="34">
        <v>23</v>
      </c>
      <c r="AL137" s="3"/>
      <c r="AM137" s="77"/>
      <c r="AO137" s="35">
        <v>23</v>
      </c>
      <c r="AP137" s="2"/>
      <c r="AQ137" s="205"/>
      <c r="AU137" s="34">
        <v>23</v>
      </c>
      <c r="AV137" s="3"/>
      <c r="AW137" s="77"/>
      <c r="AY137" s="34">
        <v>23</v>
      </c>
      <c r="AZ137" s="3"/>
      <c r="BA137" s="77"/>
      <c r="BC137" s="34">
        <v>23</v>
      </c>
      <c r="BD137" s="3"/>
      <c r="BE137" s="77"/>
      <c r="BH137" s="5"/>
      <c r="BL137" s="34">
        <v>23</v>
      </c>
      <c r="BM137" s="3"/>
      <c r="BN137" s="4"/>
      <c r="BP137" s="34">
        <v>23</v>
      </c>
      <c r="BQ137" s="3"/>
      <c r="BR137" s="4"/>
      <c r="BV137" s="34">
        <v>23</v>
      </c>
      <c r="BW137" s="3"/>
      <c r="BX137" s="4"/>
      <c r="BZ137" s="34">
        <v>23</v>
      </c>
      <c r="CA137" s="3"/>
      <c r="CB137" s="4"/>
      <c r="CL137" s="38"/>
      <c r="CM137" s="38"/>
    </row>
    <row r="138" spans="2:91" ht="16.5" customHeight="1">
      <c r="AC138" s="5"/>
      <c r="AG138" s="10"/>
      <c r="AH138" s="8"/>
      <c r="AK138" s="10"/>
      <c r="AL138" s="8"/>
      <c r="AO138" s="10"/>
      <c r="AP138" s="8"/>
      <c r="AU138"/>
      <c r="BC138"/>
      <c r="BH138" s="5"/>
      <c r="CL138" s="38"/>
      <c r="CM138" s="38"/>
    </row>
    <row r="139" spans="2:91">
      <c r="AC139" s="5"/>
      <c r="AG139" s="10"/>
      <c r="AH139" s="8"/>
      <c r="AK139" s="10"/>
      <c r="AL139" s="8"/>
      <c r="AO139" s="10"/>
      <c r="AP139" s="8"/>
      <c r="AU139"/>
      <c r="BC139"/>
      <c r="BH139" s="5"/>
      <c r="CL139" s="8"/>
      <c r="CM139" s="1"/>
    </row>
    <row r="140" spans="2:91">
      <c r="AC140" s="5"/>
      <c r="AG140" s="10"/>
      <c r="AH140" s="8"/>
      <c r="AK140" s="10"/>
      <c r="AL140" s="8"/>
      <c r="AO140" s="10"/>
      <c r="AP140" s="8"/>
      <c r="AU140"/>
      <c r="BC140"/>
      <c r="BH140" s="5"/>
      <c r="CL140" s="8"/>
      <c r="CM140" s="1"/>
    </row>
    <row r="141" spans="2:91" s="1" customFormat="1" ht="20.25">
      <c r="B141" s="54"/>
      <c r="C141" s="55">
        <f>'NRB 공장 내부 배치도'!C10</f>
        <v>0</v>
      </c>
      <c r="D141" s="199"/>
      <c r="F141" s="54"/>
      <c r="G141" s="55">
        <f>'NRB 공장 내부 배치도'!D10</f>
        <v>0</v>
      </c>
      <c r="H141" s="199"/>
      <c r="J141" s="54"/>
      <c r="K141" s="55">
        <f>'NRB 공장 내부 배치도'!E10</f>
        <v>0</v>
      </c>
      <c r="L141" s="201"/>
      <c r="P141" s="54"/>
      <c r="Q141" s="55">
        <f>'NRB 공장 내부 배치도'!G10</f>
        <v>0</v>
      </c>
      <c r="R141" s="199"/>
      <c r="T141" s="54"/>
      <c r="U141" s="55" t="e">
        <f>'NRB 공장 내부 배치도'!#REF!</f>
        <v>#REF!</v>
      </c>
      <c r="V141" s="199"/>
      <c r="X141" s="54"/>
      <c r="Y141" s="55">
        <f>'NRB 공장 내부 배치도'!H10</f>
        <v>0</v>
      </c>
      <c r="Z141" s="199"/>
      <c r="AC141" s="71"/>
      <c r="AG141" s="54"/>
      <c r="AH141" s="55">
        <f>'NRB 공장 내부 배치도'!L10</f>
        <v>0</v>
      </c>
      <c r="AI141" s="199"/>
      <c r="AK141" s="54"/>
      <c r="AL141" s="54">
        <f>'NRB 공장 내부 배치도'!M10</f>
        <v>0</v>
      </c>
      <c r="AM141" s="202"/>
      <c r="AO141" s="54"/>
      <c r="AP141" s="55">
        <f>'NRB 공장 내부 배치도'!N10</f>
        <v>0</v>
      </c>
      <c r="AQ141" s="199"/>
      <c r="AR141"/>
      <c r="AS141"/>
      <c r="AU141" s="54"/>
      <c r="AV141" s="55">
        <f>'NRB 공장 내부 배치도'!P10</f>
        <v>0</v>
      </c>
      <c r="AW141" s="199"/>
      <c r="AY141" s="54"/>
      <c r="AZ141" s="55">
        <f>'NRB 공장 내부 배치도'!Q10</f>
        <v>0</v>
      </c>
      <c r="BA141" s="199"/>
      <c r="BC141" s="54"/>
      <c r="BD141" s="55">
        <f>'NRB 공장 내부 배치도'!R10</f>
        <v>0</v>
      </c>
      <c r="BE141" s="199"/>
      <c r="BF141" s="204"/>
      <c r="BH141" s="71"/>
      <c r="BL141" s="54"/>
      <c r="BM141" s="55" t="e">
        <f>'NRB야외 야적장 제품배치도(구)'!#REF!</f>
        <v>#REF!</v>
      </c>
      <c r="BN141" s="56"/>
      <c r="BP141" s="54"/>
      <c r="BQ141" s="55" t="e">
        <f>'NRB야외 야적장 제품배치도(구)'!#REF!</f>
        <v>#REF!</v>
      </c>
      <c r="BR141" s="56"/>
      <c r="BV141" s="87"/>
      <c r="BW141" s="55">
        <f>'NRB 공장 내부 배치도'!X10</f>
        <v>0</v>
      </c>
      <c r="BX141" s="88"/>
      <c r="BZ141" s="54"/>
      <c r="CA141" s="55">
        <f>'NRB 공장 내부 배치도'!Y10</f>
        <v>0</v>
      </c>
      <c r="CB141" s="56"/>
      <c r="CF141" s="71"/>
      <c r="CG141" s="71"/>
      <c r="CH141" s="71"/>
      <c r="CL141" s="10"/>
    </row>
    <row r="142" spans="2:91">
      <c r="B142" s="34">
        <v>1</v>
      </c>
      <c r="C142" s="2"/>
      <c r="D142" s="205"/>
      <c r="F142" s="34">
        <v>1</v>
      </c>
      <c r="G142" s="139"/>
      <c r="H142" s="205"/>
      <c r="J142" s="34">
        <v>1</v>
      </c>
      <c r="K142" s="2"/>
      <c r="L142" s="253"/>
      <c r="P142" s="34">
        <v>1</v>
      </c>
      <c r="Q142" s="2"/>
      <c r="R142" s="205"/>
      <c r="T142" s="35">
        <v>1</v>
      </c>
      <c r="U142" s="252"/>
      <c r="V142" s="253"/>
      <c r="X142" s="34">
        <v>1</v>
      </c>
      <c r="Y142" s="252"/>
      <c r="Z142" s="253"/>
      <c r="AC142" s="5"/>
      <c r="AG142" s="34">
        <v>1</v>
      </c>
      <c r="AH142" s="2"/>
      <c r="AI142" s="205"/>
      <c r="AK142" s="34">
        <v>1</v>
      </c>
      <c r="AL142" s="2"/>
      <c r="AM142" s="205"/>
      <c r="AO142" s="34">
        <v>1</v>
      </c>
      <c r="AP142" s="2"/>
      <c r="AQ142" s="205"/>
      <c r="AU142" s="34">
        <v>1</v>
      </c>
      <c r="AV142" s="2"/>
      <c r="AW142" s="205"/>
      <c r="AY142" s="34">
        <v>1</v>
      </c>
      <c r="AZ142" s="2"/>
      <c r="BA142" s="205"/>
      <c r="BC142" s="34">
        <v>1</v>
      </c>
      <c r="BD142" s="2"/>
      <c r="BE142" s="205"/>
      <c r="BH142" s="5"/>
      <c r="BL142" s="34">
        <v>1</v>
      </c>
      <c r="BM142" s="3"/>
      <c r="BN142" s="77"/>
      <c r="BP142" s="34">
        <v>1</v>
      </c>
      <c r="BQ142" s="3"/>
      <c r="BR142" s="77"/>
      <c r="BV142" s="34">
        <v>1</v>
      </c>
      <c r="BW142" s="3"/>
      <c r="BX142" s="77"/>
      <c r="BZ142" s="34">
        <v>1</v>
      </c>
      <c r="CA142" s="3"/>
      <c r="CB142" s="77"/>
      <c r="CL142" s="8"/>
      <c r="CM142" s="1"/>
    </row>
    <row r="143" spans="2:91">
      <c r="B143" s="34">
        <v>2</v>
      </c>
      <c r="C143" s="2"/>
      <c r="D143" s="205"/>
      <c r="F143" s="34">
        <v>2</v>
      </c>
      <c r="G143" s="2"/>
      <c r="H143" s="205"/>
      <c r="J143" s="34">
        <v>2</v>
      </c>
      <c r="K143" s="2"/>
      <c r="L143" s="205"/>
      <c r="P143" s="34">
        <v>2</v>
      </c>
      <c r="Q143" s="2"/>
      <c r="R143" s="205"/>
      <c r="T143" s="34">
        <v>2</v>
      </c>
      <c r="U143" s="252"/>
      <c r="V143" s="253"/>
      <c r="X143" s="34">
        <v>2</v>
      </c>
      <c r="Y143" s="252"/>
      <c r="Z143" s="253"/>
      <c r="AC143" s="5"/>
      <c r="AG143" s="34">
        <v>2</v>
      </c>
      <c r="AH143" s="2"/>
      <c r="AI143" s="205"/>
      <c r="AK143" s="34">
        <v>2</v>
      </c>
      <c r="AL143" s="2"/>
      <c r="AM143" s="205"/>
      <c r="AO143" s="34">
        <v>2</v>
      </c>
      <c r="AP143" s="2"/>
      <c r="AQ143" s="205"/>
      <c r="AU143" s="34">
        <v>2</v>
      </c>
      <c r="AV143" s="2"/>
      <c r="AW143" s="205"/>
      <c r="AY143" s="34">
        <v>2</v>
      </c>
      <c r="AZ143" s="2"/>
      <c r="BA143" s="205"/>
      <c r="BC143" s="34">
        <v>2</v>
      </c>
      <c r="BD143" s="2"/>
      <c r="BE143" s="205"/>
      <c r="BH143" s="5"/>
      <c r="BL143" s="34">
        <v>2</v>
      </c>
      <c r="BM143" s="3"/>
      <c r="BN143" s="77"/>
      <c r="BP143" s="34">
        <v>2</v>
      </c>
      <c r="BQ143" s="3"/>
      <c r="BR143" s="77"/>
      <c r="BV143" s="34">
        <v>2</v>
      </c>
      <c r="BW143" s="3"/>
      <c r="BX143" s="77"/>
      <c r="BZ143" s="34">
        <v>2</v>
      </c>
      <c r="CA143" s="3"/>
      <c r="CB143" s="77"/>
      <c r="CL143" s="8"/>
      <c r="CM143" s="1"/>
    </row>
    <row r="144" spans="2:91">
      <c r="B144" s="34">
        <v>3</v>
      </c>
      <c r="C144" s="2"/>
      <c r="D144" s="205"/>
      <c r="F144" s="34">
        <v>3</v>
      </c>
      <c r="G144" s="2"/>
      <c r="H144" s="205"/>
      <c r="J144" s="34">
        <v>3</v>
      </c>
      <c r="K144" s="2"/>
      <c r="L144" s="205"/>
      <c r="P144" s="34">
        <v>3</v>
      </c>
      <c r="Q144" s="2"/>
      <c r="R144" s="216"/>
      <c r="T144" s="34">
        <v>3</v>
      </c>
      <c r="U144" s="252"/>
      <c r="V144" s="253"/>
      <c r="X144" s="34">
        <v>3</v>
      </c>
      <c r="Y144" s="252"/>
      <c r="Z144" s="253"/>
      <c r="AC144" s="5"/>
      <c r="AG144" s="34">
        <v>3</v>
      </c>
      <c r="AH144" s="2"/>
      <c r="AI144" s="205"/>
      <c r="AK144" s="34">
        <v>3</v>
      </c>
      <c r="AL144" s="2"/>
      <c r="AM144" s="205"/>
      <c r="AO144" s="34">
        <v>3</v>
      </c>
      <c r="AP144" s="2"/>
      <c r="AQ144" s="205"/>
      <c r="AU144" s="34">
        <v>3</v>
      </c>
      <c r="AV144" s="2"/>
      <c r="AW144" s="205"/>
      <c r="AY144" s="34">
        <v>3</v>
      </c>
      <c r="AZ144" s="2"/>
      <c r="BA144" s="205"/>
      <c r="BC144" s="34">
        <v>3</v>
      </c>
      <c r="BD144" s="2"/>
      <c r="BE144" s="205"/>
      <c r="BH144" s="5"/>
      <c r="BL144" s="34">
        <v>3</v>
      </c>
      <c r="BM144" s="3"/>
      <c r="BN144" s="77"/>
      <c r="BP144" s="34">
        <v>3</v>
      </c>
      <c r="BQ144" s="3"/>
      <c r="BR144" s="77"/>
      <c r="BV144" s="34">
        <v>3</v>
      </c>
      <c r="BW144" s="3"/>
      <c r="BX144" s="77"/>
      <c r="BZ144" s="34">
        <v>3</v>
      </c>
      <c r="CA144" s="3"/>
      <c r="CB144" s="77"/>
      <c r="CL144" s="8"/>
      <c r="CM144" s="1"/>
    </row>
    <row r="145" spans="2:91">
      <c r="B145" s="34">
        <v>4</v>
      </c>
      <c r="C145" s="2"/>
      <c r="D145" s="205"/>
      <c r="F145" s="34">
        <v>4</v>
      </c>
      <c r="G145" s="2"/>
      <c r="H145" s="205"/>
      <c r="J145" s="34">
        <v>4</v>
      </c>
      <c r="K145" s="2"/>
      <c r="L145" s="205"/>
      <c r="P145" s="34">
        <v>4</v>
      </c>
      <c r="Q145" s="2"/>
      <c r="R145" s="205"/>
      <c r="T145" s="34">
        <v>4</v>
      </c>
      <c r="U145" s="252"/>
      <c r="V145" s="253"/>
      <c r="X145" s="34">
        <v>4</v>
      </c>
      <c r="Y145" s="252"/>
      <c r="Z145" s="253"/>
      <c r="AC145" s="5"/>
      <c r="AG145" s="34">
        <v>4</v>
      </c>
      <c r="AH145" s="2"/>
      <c r="AI145" s="205"/>
      <c r="AK145" s="34">
        <v>4</v>
      </c>
      <c r="AL145" s="2"/>
      <c r="AM145" s="205"/>
      <c r="AO145" s="34">
        <v>4</v>
      </c>
      <c r="AP145" s="2"/>
      <c r="AQ145" s="205"/>
      <c r="AU145" s="34">
        <v>4</v>
      </c>
      <c r="AV145" s="2"/>
      <c r="AW145" s="205"/>
      <c r="AY145" s="34">
        <v>4</v>
      </c>
      <c r="AZ145" s="2"/>
      <c r="BA145" s="205"/>
      <c r="BC145" s="34">
        <v>4</v>
      </c>
      <c r="BD145" s="2"/>
      <c r="BE145" s="205"/>
      <c r="BH145" s="5"/>
      <c r="BL145" s="34">
        <v>4</v>
      </c>
      <c r="BM145" s="3"/>
      <c r="BN145" s="77"/>
      <c r="BP145" s="34">
        <v>4</v>
      </c>
      <c r="BQ145" s="3"/>
      <c r="BR145" s="77"/>
      <c r="BV145" s="34">
        <v>4</v>
      </c>
      <c r="BW145" s="3"/>
      <c r="BX145" s="77"/>
      <c r="BZ145" s="34">
        <v>4</v>
      </c>
      <c r="CA145" s="3"/>
      <c r="CB145" s="77"/>
      <c r="CL145" s="8"/>
      <c r="CM145" s="1"/>
    </row>
    <row r="146" spans="2:91">
      <c r="B146" s="34">
        <v>5</v>
      </c>
      <c r="C146" s="2"/>
      <c r="D146" s="205"/>
      <c r="E146" s="130"/>
      <c r="F146" s="34">
        <v>5</v>
      </c>
      <c r="G146" s="2"/>
      <c r="H146" s="205"/>
      <c r="J146" s="34">
        <v>5</v>
      </c>
      <c r="K146" s="2"/>
      <c r="L146" s="205"/>
      <c r="P146" s="34">
        <v>5</v>
      </c>
      <c r="Q146" s="2"/>
      <c r="R146" s="205"/>
      <c r="T146" s="34">
        <v>5</v>
      </c>
      <c r="U146" s="252"/>
      <c r="V146" s="253"/>
      <c r="X146" s="34">
        <v>5</v>
      </c>
      <c r="Y146" s="252"/>
      <c r="Z146" s="253"/>
      <c r="AC146" s="5"/>
      <c r="AG146" s="34">
        <v>5</v>
      </c>
      <c r="AH146" s="2"/>
      <c r="AI146" s="205"/>
      <c r="AK146" s="34">
        <v>5</v>
      </c>
      <c r="AL146" s="2"/>
      <c r="AM146" s="205"/>
      <c r="AO146" s="34">
        <v>5</v>
      </c>
      <c r="AP146" s="2"/>
      <c r="AQ146" s="205"/>
      <c r="AU146" s="34">
        <v>5</v>
      </c>
      <c r="AV146" s="2"/>
      <c r="AW146" s="205"/>
      <c r="AY146" s="34">
        <v>5</v>
      </c>
      <c r="AZ146" s="2"/>
      <c r="BA146" s="205"/>
      <c r="BC146" s="34">
        <v>5</v>
      </c>
      <c r="BD146" s="2"/>
      <c r="BE146" s="205"/>
      <c r="BH146" s="5"/>
      <c r="BL146" s="34">
        <v>5</v>
      </c>
      <c r="BM146" s="3"/>
      <c r="BN146" s="77"/>
      <c r="BP146" s="34">
        <v>5</v>
      </c>
      <c r="BQ146" s="3"/>
      <c r="BR146" s="77"/>
      <c r="BV146" s="34">
        <v>5</v>
      </c>
      <c r="BW146" s="3"/>
      <c r="BX146" s="77"/>
      <c r="BZ146" s="34">
        <v>5</v>
      </c>
      <c r="CA146" s="3"/>
      <c r="CB146" s="77"/>
      <c r="CL146" s="8"/>
      <c r="CM146" s="1"/>
    </row>
    <row r="147" spans="2:91">
      <c r="B147" s="34">
        <v>6</v>
      </c>
      <c r="C147" s="2"/>
      <c r="D147" s="205"/>
      <c r="F147" s="34">
        <v>6</v>
      </c>
      <c r="G147" s="2"/>
      <c r="H147" s="205"/>
      <c r="J147" s="34">
        <v>6</v>
      </c>
      <c r="K147" s="2"/>
      <c r="L147" s="205"/>
      <c r="P147" s="34">
        <v>6</v>
      </c>
      <c r="Q147" s="2"/>
      <c r="R147" s="205"/>
      <c r="T147" s="34">
        <v>6</v>
      </c>
      <c r="U147" s="252"/>
      <c r="V147" s="253"/>
      <c r="X147" s="34">
        <v>6</v>
      </c>
      <c r="Y147" s="252"/>
      <c r="Z147" s="253"/>
      <c r="AC147" s="5"/>
      <c r="AG147" s="34">
        <v>6</v>
      </c>
      <c r="AH147" s="2"/>
      <c r="AI147" s="205"/>
      <c r="AK147" s="34">
        <v>6</v>
      </c>
      <c r="AL147" s="2"/>
      <c r="AM147" s="205"/>
      <c r="AO147" s="34">
        <v>6</v>
      </c>
      <c r="AP147" s="2"/>
      <c r="AQ147" s="205"/>
      <c r="AU147" s="34">
        <v>6</v>
      </c>
      <c r="AV147" s="2"/>
      <c r="AW147" s="205"/>
      <c r="AY147" s="34">
        <v>6</v>
      </c>
      <c r="AZ147" s="2"/>
      <c r="BA147" s="205"/>
      <c r="BC147" s="34">
        <v>6</v>
      </c>
      <c r="BD147" s="2"/>
      <c r="BE147" s="205"/>
      <c r="BH147" s="5"/>
      <c r="BL147" s="34">
        <v>6</v>
      </c>
      <c r="BM147" s="3"/>
      <c r="BN147" s="77"/>
      <c r="BP147" s="34">
        <v>6</v>
      </c>
      <c r="BQ147" s="3"/>
      <c r="BR147" s="77"/>
      <c r="BV147" s="34">
        <v>6</v>
      </c>
      <c r="BW147" s="3"/>
      <c r="BX147" s="77"/>
      <c r="BZ147" s="34">
        <v>6</v>
      </c>
      <c r="CA147" s="3"/>
      <c r="CB147" s="77"/>
      <c r="CL147" s="8"/>
      <c r="CM147" s="1"/>
    </row>
    <row r="148" spans="2:91">
      <c r="B148" s="34">
        <v>7</v>
      </c>
      <c r="C148" s="2"/>
      <c r="D148" s="205"/>
      <c r="F148" s="34">
        <v>7</v>
      </c>
      <c r="G148" s="2"/>
      <c r="H148" s="205"/>
      <c r="J148" s="34">
        <v>7</v>
      </c>
      <c r="K148" s="2"/>
      <c r="L148" s="205"/>
      <c r="P148" s="34">
        <v>7</v>
      </c>
      <c r="Q148" s="2"/>
      <c r="R148" s="205"/>
      <c r="T148" s="34">
        <v>7</v>
      </c>
      <c r="U148" s="252"/>
      <c r="V148" s="253"/>
      <c r="X148" s="34">
        <v>7</v>
      </c>
      <c r="Y148" s="252"/>
      <c r="Z148" s="253"/>
      <c r="AC148" s="5"/>
      <c r="AG148" s="34">
        <v>7</v>
      </c>
      <c r="AH148" s="2"/>
      <c r="AI148" s="205"/>
      <c r="AK148" s="34">
        <v>7</v>
      </c>
      <c r="AL148" s="2"/>
      <c r="AM148" s="205"/>
      <c r="AO148" s="34">
        <v>7</v>
      </c>
      <c r="AP148" s="2"/>
      <c r="AQ148" s="205"/>
      <c r="AU148" s="34">
        <v>7</v>
      </c>
      <c r="AV148" s="2"/>
      <c r="AW148" s="205"/>
      <c r="AY148" s="34">
        <v>7</v>
      </c>
      <c r="AZ148" s="2"/>
      <c r="BA148" s="205"/>
      <c r="BC148" s="34">
        <v>7</v>
      </c>
      <c r="BD148" s="2"/>
      <c r="BE148" s="205"/>
      <c r="BH148" s="5"/>
      <c r="BL148" s="34">
        <v>7</v>
      </c>
      <c r="BM148" s="3"/>
      <c r="BN148" s="77"/>
      <c r="BP148" s="34">
        <v>7</v>
      </c>
      <c r="BQ148" s="3"/>
      <c r="BR148" s="77"/>
      <c r="BV148" s="34">
        <v>7</v>
      </c>
      <c r="BW148" s="3"/>
      <c r="BX148" s="77"/>
      <c r="BZ148" s="34">
        <v>7</v>
      </c>
      <c r="CA148" s="3"/>
      <c r="CB148" s="77"/>
      <c r="CL148" s="8"/>
      <c r="CM148" s="1"/>
    </row>
    <row r="149" spans="2:91">
      <c r="B149" s="34">
        <v>8</v>
      </c>
      <c r="C149" s="2"/>
      <c r="D149" s="205"/>
      <c r="F149" s="34">
        <v>8</v>
      </c>
      <c r="G149" s="2"/>
      <c r="H149" s="205"/>
      <c r="J149" s="34">
        <v>8</v>
      </c>
      <c r="K149" s="2"/>
      <c r="L149" s="205"/>
      <c r="P149" s="34">
        <v>8</v>
      </c>
      <c r="Q149" s="2"/>
      <c r="R149" s="205"/>
      <c r="T149" s="34">
        <v>8</v>
      </c>
      <c r="U149" s="252"/>
      <c r="V149" s="253"/>
      <c r="X149" s="34">
        <v>8</v>
      </c>
      <c r="Y149" s="252"/>
      <c r="Z149" s="253"/>
      <c r="AC149" s="5"/>
      <c r="AG149" s="34">
        <v>8</v>
      </c>
      <c r="AH149" s="2"/>
      <c r="AI149" s="205"/>
      <c r="AK149" s="34">
        <v>8</v>
      </c>
      <c r="AL149" s="2"/>
      <c r="AM149" s="205"/>
      <c r="AO149" s="34">
        <v>8</v>
      </c>
      <c r="AP149" s="2"/>
      <c r="AQ149" s="205"/>
      <c r="AU149" s="34">
        <v>8</v>
      </c>
      <c r="AV149" s="2"/>
      <c r="AW149" s="205"/>
      <c r="AY149" s="34">
        <v>8</v>
      </c>
      <c r="AZ149" s="2"/>
      <c r="BA149" s="205"/>
      <c r="BC149" s="34">
        <v>8</v>
      </c>
      <c r="BD149" s="2"/>
      <c r="BE149" s="205"/>
      <c r="BH149" s="5"/>
      <c r="BL149" s="34">
        <v>8</v>
      </c>
      <c r="BM149" s="3"/>
      <c r="BN149" s="77"/>
      <c r="BP149" s="34">
        <v>8</v>
      </c>
      <c r="BQ149" s="3"/>
      <c r="BR149" s="77"/>
      <c r="BV149" s="34">
        <v>8</v>
      </c>
      <c r="BW149" s="3"/>
      <c r="BX149" s="77"/>
      <c r="BZ149" s="34">
        <v>8</v>
      </c>
      <c r="CA149" s="3"/>
      <c r="CB149" s="77"/>
      <c r="CL149" s="8"/>
      <c r="CM149" s="1"/>
    </row>
    <row r="150" spans="2:91">
      <c r="B150" s="34">
        <v>9</v>
      </c>
      <c r="C150" s="2"/>
      <c r="D150" s="205"/>
      <c r="F150" s="34">
        <v>9</v>
      </c>
      <c r="G150" s="2"/>
      <c r="H150" s="205"/>
      <c r="J150" s="34">
        <v>9</v>
      </c>
      <c r="K150" s="2"/>
      <c r="L150" s="205"/>
      <c r="P150" s="34">
        <v>9</v>
      </c>
      <c r="Q150" s="2"/>
      <c r="R150" s="205"/>
      <c r="T150" s="34">
        <v>9</v>
      </c>
      <c r="U150" s="252"/>
      <c r="V150" s="253"/>
      <c r="X150" s="34">
        <v>9</v>
      </c>
      <c r="Y150" s="252"/>
      <c r="Z150" s="253"/>
      <c r="AC150" s="5"/>
      <c r="AG150" s="34">
        <v>9</v>
      </c>
      <c r="AH150" s="2"/>
      <c r="AI150" s="205"/>
      <c r="AK150" s="34">
        <v>9</v>
      </c>
      <c r="AL150" s="2"/>
      <c r="AM150" s="205"/>
      <c r="AO150" s="34">
        <v>9</v>
      </c>
      <c r="AP150" s="2"/>
      <c r="AQ150" s="205"/>
      <c r="AU150" s="34">
        <v>9</v>
      </c>
      <c r="AV150" s="2"/>
      <c r="AW150" s="205"/>
      <c r="AY150" s="34">
        <v>9</v>
      </c>
      <c r="AZ150" s="2"/>
      <c r="BA150" s="205"/>
      <c r="BC150" s="34">
        <v>9</v>
      </c>
      <c r="BD150" s="2"/>
      <c r="BE150" s="205"/>
      <c r="BH150" s="5"/>
      <c r="BL150" s="34">
        <v>9</v>
      </c>
      <c r="BM150" s="3"/>
      <c r="BN150" s="77"/>
      <c r="BP150" s="34">
        <v>9</v>
      </c>
      <c r="BQ150" s="3"/>
      <c r="BR150" s="77"/>
      <c r="BV150" s="34">
        <v>9</v>
      </c>
      <c r="BW150" s="3"/>
      <c r="BX150" s="77"/>
      <c r="BZ150" s="34">
        <v>9</v>
      </c>
      <c r="CA150" s="3"/>
      <c r="CB150" s="77"/>
      <c r="CL150" s="8"/>
      <c r="CM150" s="1"/>
    </row>
    <row r="151" spans="2:91">
      <c r="B151" s="34">
        <v>10</v>
      </c>
      <c r="C151" s="2"/>
      <c r="D151" s="205"/>
      <c r="F151" s="34">
        <v>10</v>
      </c>
      <c r="G151" s="2"/>
      <c r="H151" s="205"/>
      <c r="J151" s="34">
        <v>10</v>
      </c>
      <c r="K151" s="2"/>
      <c r="L151" s="205"/>
      <c r="P151" s="34">
        <v>10</v>
      </c>
      <c r="Q151" s="2"/>
      <c r="R151" s="205"/>
      <c r="T151" s="34">
        <v>10</v>
      </c>
      <c r="U151" s="252"/>
      <c r="V151" s="253"/>
      <c r="X151" s="34">
        <v>10</v>
      </c>
      <c r="Y151" s="252"/>
      <c r="Z151" s="253"/>
      <c r="AC151" s="5"/>
      <c r="AG151" s="34">
        <v>10</v>
      </c>
      <c r="AH151" s="2"/>
      <c r="AI151" s="205"/>
      <c r="AK151" s="34">
        <v>10</v>
      </c>
      <c r="AL151" s="2"/>
      <c r="AM151" s="205"/>
      <c r="AO151" s="34">
        <v>10</v>
      </c>
      <c r="AP151" s="2"/>
      <c r="AQ151" s="205"/>
      <c r="AU151" s="34">
        <v>10</v>
      </c>
      <c r="AV151" s="2"/>
      <c r="AW151" s="205"/>
      <c r="AY151" s="34">
        <v>10</v>
      </c>
      <c r="AZ151" s="2"/>
      <c r="BA151" s="205"/>
      <c r="BC151" s="34">
        <v>10</v>
      </c>
      <c r="BD151" s="2"/>
      <c r="BE151" s="205"/>
      <c r="BH151" s="5"/>
      <c r="BL151" s="34">
        <v>10</v>
      </c>
      <c r="BM151" s="3"/>
      <c r="BN151" s="77"/>
      <c r="BP151" s="34">
        <v>10</v>
      </c>
      <c r="BQ151" s="3"/>
      <c r="BR151" s="77"/>
      <c r="BV151" s="34">
        <v>10</v>
      </c>
      <c r="BW151" s="3"/>
      <c r="BX151" s="77"/>
      <c r="BZ151" s="34">
        <v>10</v>
      </c>
      <c r="CA151" s="3"/>
      <c r="CB151" s="77"/>
      <c r="CL151" s="8"/>
      <c r="CM151" s="1"/>
    </row>
    <row r="152" spans="2:91">
      <c r="B152" s="34">
        <v>11</v>
      </c>
      <c r="C152" s="2"/>
      <c r="D152" s="205"/>
      <c r="F152" s="34">
        <v>11</v>
      </c>
      <c r="G152" s="2"/>
      <c r="H152" s="205"/>
      <c r="J152" s="34">
        <v>11</v>
      </c>
      <c r="K152" s="2"/>
      <c r="L152" s="205"/>
      <c r="P152" s="34">
        <v>11</v>
      </c>
      <c r="Q152" s="2"/>
      <c r="R152" s="205"/>
      <c r="T152" s="34">
        <v>11</v>
      </c>
      <c r="U152" s="252"/>
      <c r="V152" s="253"/>
      <c r="X152" s="34">
        <v>11</v>
      </c>
      <c r="Y152" s="252"/>
      <c r="Z152" s="253"/>
      <c r="AC152" s="5"/>
      <c r="AG152" s="34">
        <v>11</v>
      </c>
      <c r="AH152" s="2"/>
      <c r="AI152" s="205"/>
      <c r="AK152" s="34">
        <v>11</v>
      </c>
      <c r="AL152" s="2"/>
      <c r="AM152" s="205"/>
      <c r="AO152" s="34">
        <v>11</v>
      </c>
      <c r="AP152" s="2"/>
      <c r="AQ152" s="205"/>
      <c r="AU152" s="34">
        <v>11</v>
      </c>
      <c r="AV152" s="2"/>
      <c r="AW152" s="205"/>
      <c r="AY152" s="34">
        <v>11</v>
      </c>
      <c r="AZ152" s="2"/>
      <c r="BA152" s="205"/>
      <c r="BC152" s="34">
        <v>11</v>
      </c>
      <c r="BD152" s="2"/>
      <c r="BE152" s="205"/>
      <c r="BH152" s="5"/>
      <c r="BL152" s="34">
        <v>11</v>
      </c>
      <c r="BM152" s="3"/>
      <c r="BN152" s="77"/>
      <c r="BP152" s="34">
        <v>11</v>
      </c>
      <c r="BQ152" s="3"/>
      <c r="BR152" s="77"/>
      <c r="BV152" s="34">
        <v>11</v>
      </c>
      <c r="BW152" s="3"/>
      <c r="BX152" s="4"/>
      <c r="BZ152" s="34">
        <v>11</v>
      </c>
      <c r="CA152" s="3"/>
      <c r="CB152" s="77"/>
      <c r="CL152" s="8"/>
      <c r="CM152" s="1"/>
    </row>
    <row r="153" spans="2:91">
      <c r="B153" s="34">
        <v>12</v>
      </c>
      <c r="C153" s="2"/>
      <c r="D153" s="205"/>
      <c r="F153" s="34">
        <v>12</v>
      </c>
      <c r="G153" s="2"/>
      <c r="H153" s="205"/>
      <c r="J153" s="34">
        <v>12</v>
      </c>
      <c r="K153" s="2"/>
      <c r="L153" s="205"/>
      <c r="P153" s="34">
        <v>12</v>
      </c>
      <c r="Q153" s="2"/>
      <c r="R153" s="205"/>
      <c r="T153" s="34">
        <v>12</v>
      </c>
      <c r="U153" s="252"/>
      <c r="V153" s="253"/>
      <c r="X153" s="34">
        <v>12</v>
      </c>
      <c r="Y153" s="252"/>
      <c r="Z153" s="253"/>
      <c r="AC153" s="5"/>
      <c r="AG153" s="34">
        <v>12</v>
      </c>
      <c r="AH153" s="2"/>
      <c r="AI153" s="205"/>
      <c r="AK153" s="34">
        <v>12</v>
      </c>
      <c r="AL153" s="2"/>
      <c r="AM153" s="205"/>
      <c r="AO153" s="34">
        <v>12</v>
      </c>
      <c r="AP153" s="2"/>
      <c r="AQ153" s="205"/>
      <c r="AU153" s="34">
        <v>12</v>
      </c>
      <c r="AV153" s="2"/>
      <c r="AW153" s="205"/>
      <c r="AY153" s="34">
        <v>12</v>
      </c>
      <c r="AZ153" s="2"/>
      <c r="BA153" s="205"/>
      <c r="BC153" s="34">
        <v>12</v>
      </c>
      <c r="BD153" s="2"/>
      <c r="BE153" s="205"/>
      <c r="BH153" s="5"/>
      <c r="BL153" s="34">
        <v>12</v>
      </c>
      <c r="BM153" s="3"/>
      <c r="BN153" s="77"/>
      <c r="BP153" s="34">
        <v>12</v>
      </c>
      <c r="BQ153" s="3"/>
      <c r="BR153" s="77"/>
      <c r="BV153" s="34">
        <v>12</v>
      </c>
      <c r="BW153" s="3"/>
      <c r="BX153" s="77"/>
      <c r="BZ153" s="34">
        <v>12</v>
      </c>
      <c r="CA153" s="3"/>
      <c r="CB153" s="77"/>
      <c r="CL153" s="8"/>
      <c r="CM153" s="1"/>
    </row>
    <row r="154" spans="2:91">
      <c r="B154" s="34">
        <v>13</v>
      </c>
      <c r="C154" s="2"/>
      <c r="D154" s="205"/>
      <c r="F154" s="34">
        <v>13</v>
      </c>
      <c r="G154" s="2"/>
      <c r="H154" s="205"/>
      <c r="J154" s="34">
        <v>13</v>
      </c>
      <c r="K154" s="2"/>
      <c r="L154" s="205"/>
      <c r="P154" s="34">
        <v>13</v>
      </c>
      <c r="Q154" s="2"/>
      <c r="R154" s="205"/>
      <c r="T154" s="34">
        <v>13</v>
      </c>
      <c r="U154" s="252"/>
      <c r="V154" s="253"/>
      <c r="X154" s="34">
        <v>13</v>
      </c>
      <c r="Y154" s="252"/>
      <c r="Z154" s="253"/>
      <c r="AC154" s="5"/>
      <c r="AG154" s="34">
        <v>13</v>
      </c>
      <c r="AH154" s="2"/>
      <c r="AI154" s="205"/>
      <c r="AK154" s="34">
        <v>13</v>
      </c>
      <c r="AL154" s="2"/>
      <c r="AM154" s="205"/>
      <c r="AO154" s="34">
        <v>13</v>
      </c>
      <c r="AP154" s="2"/>
      <c r="AQ154" s="205"/>
      <c r="AU154" s="34">
        <v>13</v>
      </c>
      <c r="AV154" s="2"/>
      <c r="AW154" s="205"/>
      <c r="AY154" s="34">
        <v>13</v>
      </c>
      <c r="AZ154" s="2"/>
      <c r="BA154" s="205"/>
      <c r="BC154" s="34">
        <v>13</v>
      </c>
      <c r="BD154" s="2"/>
      <c r="BE154" s="205"/>
      <c r="BH154" s="5"/>
      <c r="BL154" s="34">
        <v>13</v>
      </c>
      <c r="BM154" s="3"/>
      <c r="BN154" s="77"/>
      <c r="BP154" s="34">
        <v>13</v>
      </c>
      <c r="BQ154" s="3"/>
      <c r="BR154" s="77"/>
      <c r="BV154" s="34">
        <v>13</v>
      </c>
      <c r="BW154" s="3"/>
      <c r="BX154" s="77"/>
      <c r="BZ154" s="34">
        <v>13</v>
      </c>
      <c r="CA154" s="3"/>
      <c r="CB154" s="77"/>
      <c r="CL154" s="8"/>
      <c r="CM154" s="1"/>
    </row>
    <row r="155" spans="2:91">
      <c r="B155" s="34">
        <v>14</v>
      </c>
      <c r="C155" s="2"/>
      <c r="D155" s="205"/>
      <c r="F155" s="34">
        <v>14</v>
      </c>
      <c r="G155" s="2"/>
      <c r="H155" s="205"/>
      <c r="J155" s="34">
        <v>14</v>
      </c>
      <c r="K155" s="2"/>
      <c r="L155" s="205"/>
      <c r="P155" s="34">
        <v>14</v>
      </c>
      <c r="Q155" s="2"/>
      <c r="R155" s="205"/>
      <c r="T155" s="34">
        <v>14</v>
      </c>
      <c r="U155" s="252"/>
      <c r="V155" s="253"/>
      <c r="X155" s="34">
        <v>14</v>
      </c>
      <c r="Y155" s="252"/>
      <c r="Z155" s="253"/>
      <c r="AC155" s="5"/>
      <c r="AG155" s="34">
        <v>14</v>
      </c>
      <c r="AH155" s="2"/>
      <c r="AI155" s="205"/>
      <c r="AK155" s="34">
        <v>14</v>
      </c>
      <c r="AL155" s="2"/>
      <c r="AM155" s="205"/>
      <c r="AO155" s="34">
        <v>14</v>
      </c>
      <c r="AP155" s="2"/>
      <c r="AQ155" s="205"/>
      <c r="AS155" s="130"/>
      <c r="AU155" s="34">
        <v>14</v>
      </c>
      <c r="AV155" s="2"/>
      <c r="AW155" s="205"/>
      <c r="AY155" s="34">
        <v>14</v>
      </c>
      <c r="AZ155" s="2"/>
      <c r="BA155" s="205"/>
      <c r="BC155" s="34">
        <v>14</v>
      </c>
      <c r="BD155" s="2"/>
      <c r="BE155" s="205"/>
      <c r="BH155" s="5"/>
      <c r="BL155" s="34">
        <v>14</v>
      </c>
      <c r="BM155" s="3"/>
      <c r="BN155" s="77"/>
      <c r="BP155" s="34">
        <v>14</v>
      </c>
      <c r="BQ155" s="3"/>
      <c r="BR155" s="77"/>
      <c r="BV155" s="34">
        <v>14</v>
      </c>
      <c r="BW155" s="3"/>
      <c r="BX155" s="77"/>
      <c r="BZ155" s="34">
        <v>14</v>
      </c>
      <c r="CA155" s="3"/>
      <c r="CB155" s="77"/>
      <c r="CL155" s="8"/>
      <c r="CM155" s="1"/>
    </row>
    <row r="156" spans="2:91">
      <c r="B156" s="34">
        <v>15</v>
      </c>
      <c r="C156" s="2"/>
      <c r="D156" s="205"/>
      <c r="F156" s="34">
        <v>15</v>
      </c>
      <c r="G156" s="2"/>
      <c r="H156" s="205"/>
      <c r="J156" s="34">
        <v>15</v>
      </c>
      <c r="K156" s="2"/>
      <c r="L156" s="205"/>
      <c r="P156" s="34">
        <v>15</v>
      </c>
      <c r="Q156" s="2"/>
      <c r="R156" s="205"/>
      <c r="T156" s="34">
        <v>15</v>
      </c>
      <c r="U156" s="252"/>
      <c r="V156" s="253"/>
      <c r="X156" s="34">
        <v>15</v>
      </c>
      <c r="Y156" s="252"/>
      <c r="Z156" s="253"/>
      <c r="AC156" s="5"/>
      <c r="AG156" s="34">
        <v>15</v>
      </c>
      <c r="AH156" s="2"/>
      <c r="AI156" s="205"/>
      <c r="AK156" s="34">
        <v>15</v>
      </c>
      <c r="AL156" s="2"/>
      <c r="AM156" s="205"/>
      <c r="AO156" s="34">
        <v>15</v>
      </c>
      <c r="AP156" s="2"/>
      <c r="AQ156" s="205"/>
      <c r="AU156" s="34">
        <v>15</v>
      </c>
      <c r="AV156" s="2"/>
      <c r="AW156" s="205"/>
      <c r="AY156" s="34">
        <v>15</v>
      </c>
      <c r="AZ156" s="2"/>
      <c r="BA156" s="205"/>
      <c r="BC156" s="34">
        <v>15</v>
      </c>
      <c r="BD156" s="2"/>
      <c r="BE156" s="205"/>
      <c r="BH156" s="5"/>
      <c r="BL156" s="34">
        <v>15</v>
      </c>
      <c r="BM156" s="3"/>
      <c r="BN156" s="77"/>
      <c r="BP156" s="34">
        <v>15</v>
      </c>
      <c r="BQ156" s="3"/>
      <c r="BR156" s="77"/>
      <c r="BV156" s="34">
        <v>15</v>
      </c>
      <c r="BW156" s="3"/>
      <c r="BX156" s="77"/>
      <c r="BZ156" s="34">
        <v>15</v>
      </c>
      <c r="CA156" s="3"/>
      <c r="CB156" s="77"/>
      <c r="CL156" s="8"/>
      <c r="CM156" s="1"/>
    </row>
    <row r="157" spans="2:91">
      <c r="B157" s="34">
        <v>16</v>
      </c>
      <c r="C157" s="2"/>
      <c r="D157" s="205"/>
      <c r="F157" s="34">
        <v>16</v>
      </c>
      <c r="G157" s="2"/>
      <c r="H157" s="205"/>
      <c r="J157" s="34">
        <v>16</v>
      </c>
      <c r="K157" s="2"/>
      <c r="L157" s="205"/>
      <c r="P157" s="34">
        <v>16</v>
      </c>
      <c r="Q157" s="2"/>
      <c r="R157" s="205"/>
      <c r="T157" s="34">
        <v>16</v>
      </c>
      <c r="U157" s="2"/>
      <c r="V157" s="205"/>
      <c r="X157" s="34">
        <v>16</v>
      </c>
      <c r="Y157" s="2"/>
      <c r="Z157" s="205"/>
      <c r="AC157" s="5"/>
      <c r="AG157" s="34">
        <v>16</v>
      </c>
      <c r="AH157" s="2"/>
      <c r="AI157" s="205"/>
      <c r="AK157" s="34">
        <v>16</v>
      </c>
      <c r="AL157" s="2"/>
      <c r="AM157" s="205"/>
      <c r="AO157" s="34">
        <v>16</v>
      </c>
      <c r="AP157" s="2"/>
      <c r="AQ157" s="205"/>
      <c r="AU157" s="34">
        <v>16</v>
      </c>
      <c r="AV157" s="2"/>
      <c r="AW157" s="205"/>
      <c r="AY157" s="34">
        <v>16</v>
      </c>
      <c r="AZ157" s="2"/>
      <c r="BA157" s="205"/>
      <c r="BC157" s="34">
        <v>16</v>
      </c>
      <c r="BD157" s="2"/>
      <c r="BE157" s="205"/>
      <c r="BH157" s="5"/>
      <c r="BL157" s="34">
        <v>16</v>
      </c>
      <c r="BM157" s="3"/>
      <c r="BN157" s="77"/>
      <c r="BP157" s="34">
        <v>16</v>
      </c>
      <c r="BQ157" s="3"/>
      <c r="BR157" s="77"/>
      <c r="BV157" s="34">
        <v>16</v>
      </c>
      <c r="BW157" s="3"/>
      <c r="BX157" s="77"/>
      <c r="BZ157" s="34">
        <v>16</v>
      </c>
      <c r="CA157" s="3"/>
      <c r="CB157" s="77"/>
      <c r="CL157" s="8"/>
      <c r="CM157" s="1"/>
    </row>
    <row r="158" spans="2:91">
      <c r="B158" s="34">
        <v>17</v>
      </c>
      <c r="C158" s="2"/>
      <c r="D158" s="205"/>
      <c r="F158" s="34">
        <v>17</v>
      </c>
      <c r="G158" s="2"/>
      <c r="H158" s="205"/>
      <c r="J158" s="34">
        <v>17</v>
      </c>
      <c r="K158" s="3"/>
      <c r="L158" s="77"/>
      <c r="P158" s="34">
        <v>17</v>
      </c>
      <c r="Q158" s="2"/>
      <c r="R158" s="205"/>
      <c r="T158" s="34">
        <v>17</v>
      </c>
      <c r="U158" s="2"/>
      <c r="V158" s="205"/>
      <c r="X158" s="34">
        <v>17</v>
      </c>
      <c r="Y158" s="2"/>
      <c r="Z158" s="205"/>
      <c r="AC158" s="5"/>
      <c r="AG158" s="34">
        <v>17</v>
      </c>
      <c r="AH158" s="2"/>
      <c r="AI158" s="205"/>
      <c r="AK158" s="34">
        <v>17</v>
      </c>
      <c r="AL158" s="2"/>
      <c r="AM158" s="205"/>
      <c r="AO158" s="34">
        <v>17</v>
      </c>
      <c r="AP158" s="2"/>
      <c r="AQ158" s="205"/>
      <c r="AU158" s="34">
        <v>17</v>
      </c>
      <c r="AV158" s="2"/>
      <c r="AW158" s="205"/>
      <c r="AY158" s="34">
        <v>17</v>
      </c>
      <c r="AZ158" s="2"/>
      <c r="BA158" s="205"/>
      <c r="BC158" s="34">
        <v>17</v>
      </c>
      <c r="BD158" s="2"/>
      <c r="BE158" s="205"/>
      <c r="BH158" s="5"/>
      <c r="BL158" s="34">
        <v>17</v>
      </c>
      <c r="BM158" s="3"/>
      <c r="BN158" s="77"/>
      <c r="BP158" s="34">
        <v>17</v>
      </c>
      <c r="BQ158" s="3"/>
      <c r="BR158" s="77"/>
      <c r="BV158" s="34">
        <v>17</v>
      </c>
      <c r="BW158" s="3"/>
      <c r="BX158" s="77"/>
      <c r="BZ158" s="34">
        <v>17</v>
      </c>
      <c r="CA158" s="3"/>
      <c r="CB158" s="77"/>
      <c r="CL158" s="8"/>
      <c r="CM158" s="1"/>
    </row>
    <row r="159" spans="2:91">
      <c r="B159" s="34">
        <v>18</v>
      </c>
      <c r="C159" s="3"/>
      <c r="D159" s="77"/>
      <c r="F159" s="34">
        <v>18</v>
      </c>
      <c r="G159" s="2"/>
      <c r="H159" s="205"/>
      <c r="J159" s="34">
        <v>18</v>
      </c>
      <c r="K159" s="3"/>
      <c r="L159" s="77"/>
      <c r="P159" s="34">
        <v>18</v>
      </c>
      <c r="Q159" s="2"/>
      <c r="R159" s="205"/>
      <c r="T159" s="34">
        <v>18</v>
      </c>
      <c r="U159" s="2"/>
      <c r="V159" s="205"/>
      <c r="X159" s="34">
        <v>18</v>
      </c>
      <c r="Y159" s="2"/>
      <c r="Z159" s="205"/>
      <c r="AC159" s="5"/>
      <c r="AG159" s="34">
        <v>18</v>
      </c>
      <c r="AH159" s="2"/>
      <c r="AI159" s="205"/>
      <c r="AK159" s="34">
        <v>18</v>
      </c>
      <c r="AL159" s="2"/>
      <c r="AM159" s="205"/>
      <c r="AO159" s="34">
        <v>18</v>
      </c>
      <c r="AP159" s="2"/>
      <c r="AQ159" s="205"/>
      <c r="AU159" s="34">
        <v>18</v>
      </c>
      <c r="AV159" s="2"/>
      <c r="AW159" s="205"/>
      <c r="AY159" s="34">
        <v>18</v>
      </c>
      <c r="AZ159" s="2"/>
      <c r="BA159" s="205"/>
      <c r="BC159" s="34">
        <v>18</v>
      </c>
      <c r="BD159" s="2"/>
      <c r="BE159" s="205"/>
      <c r="BH159" s="5"/>
      <c r="BL159" s="34">
        <v>18</v>
      </c>
      <c r="BM159" s="3"/>
      <c r="BN159" s="77"/>
      <c r="BP159" s="34">
        <v>18</v>
      </c>
      <c r="BQ159" s="3"/>
      <c r="BR159" s="77"/>
      <c r="BV159" s="34">
        <v>18</v>
      </c>
      <c r="BW159" s="3"/>
      <c r="BX159" s="77"/>
      <c r="BZ159" s="34">
        <v>18</v>
      </c>
      <c r="CA159" s="3"/>
      <c r="CB159" s="77"/>
      <c r="CL159" s="8"/>
      <c r="CM159" s="1"/>
    </row>
    <row r="160" spans="2:91">
      <c r="B160" s="34">
        <v>19</v>
      </c>
      <c r="C160" s="3"/>
      <c r="D160" s="77"/>
      <c r="F160" s="34">
        <v>19</v>
      </c>
      <c r="G160" s="2"/>
      <c r="H160" s="205"/>
      <c r="J160" s="34">
        <v>19</v>
      </c>
      <c r="K160" s="3"/>
      <c r="L160" s="77"/>
      <c r="P160" s="34">
        <v>19</v>
      </c>
      <c r="Q160" s="2"/>
      <c r="R160" s="205"/>
      <c r="T160" s="34">
        <v>19</v>
      </c>
      <c r="U160" s="2"/>
      <c r="V160" s="205"/>
      <c r="X160" s="34">
        <v>19</v>
      </c>
      <c r="Y160" s="2"/>
      <c r="Z160" s="205"/>
      <c r="AC160" s="5"/>
      <c r="AG160" s="34">
        <v>19</v>
      </c>
      <c r="AH160" s="2"/>
      <c r="AI160" s="205"/>
      <c r="AK160" s="34">
        <v>19</v>
      </c>
      <c r="AL160" s="2"/>
      <c r="AM160" s="205"/>
      <c r="AO160" s="34">
        <v>19</v>
      </c>
      <c r="AP160" s="2"/>
      <c r="AQ160" s="205"/>
      <c r="AU160" s="34">
        <v>19</v>
      </c>
      <c r="AV160" s="2"/>
      <c r="AW160" s="205"/>
      <c r="AY160" s="34">
        <v>19</v>
      </c>
      <c r="AZ160" s="2"/>
      <c r="BA160" s="205"/>
      <c r="BC160" s="34">
        <v>19</v>
      </c>
      <c r="BD160" s="2"/>
      <c r="BE160" s="205"/>
      <c r="BH160" s="5"/>
      <c r="BL160" s="34">
        <v>19</v>
      </c>
      <c r="BM160" s="3"/>
      <c r="BN160" s="77"/>
      <c r="BP160" s="34">
        <v>19</v>
      </c>
      <c r="BQ160" s="3"/>
      <c r="BR160" s="4"/>
      <c r="BV160" s="34">
        <v>19</v>
      </c>
      <c r="BW160" s="3"/>
      <c r="BX160" s="77"/>
      <c r="BZ160" s="34">
        <v>19</v>
      </c>
      <c r="CA160" s="3"/>
      <c r="CB160" s="77"/>
      <c r="CL160" s="8"/>
      <c r="CM160" s="1"/>
    </row>
    <row r="161" spans="2:91">
      <c r="B161" s="34">
        <v>20</v>
      </c>
      <c r="C161" s="3"/>
      <c r="D161" s="77"/>
      <c r="F161" s="34">
        <v>20</v>
      </c>
      <c r="G161" s="3"/>
      <c r="H161" s="77"/>
      <c r="J161" s="34">
        <v>20</v>
      </c>
      <c r="K161" s="3"/>
      <c r="L161" s="77"/>
      <c r="P161" s="34">
        <v>20</v>
      </c>
      <c r="Q161" s="2"/>
      <c r="R161" s="205"/>
      <c r="T161" s="34">
        <v>20</v>
      </c>
      <c r="U161" s="2"/>
      <c r="V161" s="205"/>
      <c r="X161" s="34">
        <v>20</v>
      </c>
      <c r="Y161" s="2"/>
      <c r="Z161" s="205"/>
      <c r="AC161" s="5"/>
      <c r="AG161" s="34">
        <v>20</v>
      </c>
      <c r="AH161" s="2"/>
      <c r="AI161" s="205"/>
      <c r="AK161" s="34">
        <v>20</v>
      </c>
      <c r="AL161" s="2"/>
      <c r="AM161" s="205"/>
      <c r="AO161" s="34">
        <v>20</v>
      </c>
      <c r="AP161" s="2"/>
      <c r="AQ161" s="205"/>
      <c r="AU161" s="34">
        <v>20</v>
      </c>
      <c r="AV161" s="2"/>
      <c r="AW161" s="205"/>
      <c r="AY161" s="34">
        <v>20</v>
      </c>
      <c r="AZ161" s="2"/>
      <c r="BA161" s="205"/>
      <c r="BC161" s="34">
        <v>20</v>
      </c>
      <c r="BD161" s="2"/>
      <c r="BE161" s="205"/>
      <c r="BH161" s="5"/>
      <c r="BL161" s="34">
        <v>20</v>
      </c>
      <c r="BM161" s="3"/>
      <c r="BN161" s="77"/>
      <c r="BP161" s="34">
        <v>20</v>
      </c>
      <c r="BQ161" s="3"/>
      <c r="BR161" s="77"/>
      <c r="BV161" s="34">
        <v>20</v>
      </c>
      <c r="BW161" s="3"/>
      <c r="BX161" s="77"/>
      <c r="BZ161" s="34">
        <v>20</v>
      </c>
      <c r="CA161" s="3"/>
      <c r="CB161" s="77"/>
      <c r="CL161" s="8"/>
      <c r="CM161" s="1"/>
    </row>
    <row r="162" spans="2:91">
      <c r="B162" s="34">
        <v>21</v>
      </c>
      <c r="C162" s="3"/>
      <c r="D162" s="77"/>
      <c r="F162" s="34">
        <v>21</v>
      </c>
      <c r="G162" s="2"/>
      <c r="H162" s="205"/>
      <c r="J162" s="34">
        <v>21</v>
      </c>
      <c r="K162" s="2"/>
      <c r="L162" s="205"/>
      <c r="P162" s="34">
        <v>21</v>
      </c>
      <c r="Q162" s="2"/>
      <c r="R162" s="205"/>
      <c r="T162" s="34">
        <v>21</v>
      </c>
      <c r="U162" s="2"/>
      <c r="V162" s="205"/>
      <c r="X162" s="34">
        <v>21</v>
      </c>
      <c r="Y162" s="2"/>
      <c r="Z162" s="205"/>
      <c r="AC162" s="5"/>
      <c r="AG162" s="34">
        <v>21</v>
      </c>
      <c r="AH162" s="2"/>
      <c r="AI162" s="205"/>
      <c r="AK162" s="34">
        <v>21</v>
      </c>
      <c r="AL162" s="2"/>
      <c r="AM162" s="205"/>
      <c r="AO162" s="34">
        <v>21</v>
      </c>
      <c r="AP162" s="2"/>
      <c r="AQ162" s="205"/>
      <c r="AU162" s="34">
        <v>21</v>
      </c>
      <c r="AV162" s="2"/>
      <c r="AW162" s="205"/>
      <c r="AY162" s="34">
        <v>21</v>
      </c>
      <c r="AZ162" s="2"/>
      <c r="BA162" s="205"/>
      <c r="BC162" s="34">
        <v>21</v>
      </c>
      <c r="BD162" s="2"/>
      <c r="BE162" s="205"/>
      <c r="BH162" s="5"/>
      <c r="BL162" s="34">
        <v>21</v>
      </c>
      <c r="BM162" s="3"/>
      <c r="BN162" s="77"/>
      <c r="BP162" s="34">
        <v>21</v>
      </c>
      <c r="BQ162" s="3"/>
      <c r="BR162" s="77"/>
      <c r="BV162" s="34">
        <v>21</v>
      </c>
      <c r="BW162" s="3"/>
      <c r="BX162" s="77"/>
      <c r="BZ162" s="34">
        <v>21</v>
      </c>
      <c r="CA162" s="3"/>
      <c r="CB162" s="77"/>
    </row>
    <row r="163" spans="2:91">
      <c r="B163" s="34">
        <v>22</v>
      </c>
      <c r="C163" s="3"/>
      <c r="D163" s="77"/>
      <c r="F163" s="34">
        <v>22</v>
      </c>
      <c r="G163" s="3"/>
      <c r="H163" s="77"/>
      <c r="J163" s="34">
        <v>22</v>
      </c>
      <c r="K163" s="3"/>
      <c r="L163" s="77"/>
      <c r="P163" s="34">
        <v>22</v>
      </c>
      <c r="Q163" s="2"/>
      <c r="R163" s="205"/>
      <c r="T163" s="34">
        <v>22</v>
      </c>
      <c r="U163" s="2"/>
      <c r="V163" s="205"/>
      <c r="X163" s="34">
        <v>22</v>
      </c>
      <c r="Y163" s="3"/>
      <c r="Z163" s="77"/>
      <c r="AC163" s="5"/>
      <c r="AG163" s="34">
        <v>22</v>
      </c>
      <c r="AH163" s="2"/>
      <c r="AI163" s="205"/>
      <c r="AK163" s="34">
        <v>22</v>
      </c>
      <c r="AL163" s="2"/>
      <c r="AM163" s="205"/>
      <c r="AO163" s="34">
        <v>22</v>
      </c>
      <c r="AP163" s="2"/>
      <c r="AQ163" s="205"/>
      <c r="AU163" s="34">
        <v>22</v>
      </c>
      <c r="AV163" s="2"/>
      <c r="AW163" s="205"/>
      <c r="AY163" s="34">
        <v>22</v>
      </c>
      <c r="AZ163" s="2"/>
      <c r="BA163" s="205"/>
      <c r="BC163" s="34">
        <v>22</v>
      </c>
      <c r="BD163" s="2"/>
      <c r="BE163" s="205"/>
      <c r="BH163" s="5"/>
      <c r="BL163" s="34">
        <v>22</v>
      </c>
      <c r="BM163" s="3"/>
      <c r="BN163" s="4"/>
      <c r="BP163" s="34">
        <v>22</v>
      </c>
      <c r="BQ163" s="3"/>
      <c r="BR163" s="4"/>
      <c r="BV163" s="34">
        <v>22</v>
      </c>
      <c r="BW163" s="3"/>
      <c r="BX163" s="4"/>
      <c r="BZ163" s="34">
        <v>22</v>
      </c>
      <c r="CA163" s="3"/>
      <c r="CB163" s="4"/>
    </row>
    <row r="164" spans="2:91">
      <c r="B164" s="34">
        <v>23</v>
      </c>
      <c r="C164" s="3"/>
      <c r="D164" s="77"/>
      <c r="F164" s="34">
        <v>23</v>
      </c>
      <c r="G164" s="3"/>
      <c r="H164" s="77"/>
      <c r="J164" s="34">
        <v>23</v>
      </c>
      <c r="K164" s="3"/>
      <c r="L164" s="77"/>
      <c r="P164" s="34">
        <v>23</v>
      </c>
      <c r="Q164" s="2"/>
      <c r="R164" s="205"/>
      <c r="T164" s="34">
        <v>23</v>
      </c>
      <c r="U164" s="2"/>
      <c r="V164" s="205"/>
      <c r="X164" s="34">
        <v>23</v>
      </c>
      <c r="Y164" s="3"/>
      <c r="Z164" s="77"/>
      <c r="AC164" s="5"/>
      <c r="AG164" s="34">
        <v>23</v>
      </c>
      <c r="AH164" s="2"/>
      <c r="AI164" s="205"/>
      <c r="AK164" s="34">
        <v>23</v>
      </c>
      <c r="AL164" s="2"/>
      <c r="AM164" s="205"/>
      <c r="AO164" s="34">
        <v>23</v>
      </c>
      <c r="AP164" s="2"/>
      <c r="AQ164" s="205"/>
      <c r="AU164" s="34">
        <v>23</v>
      </c>
      <c r="AV164" s="2"/>
      <c r="AW164" s="205"/>
      <c r="AY164" s="34">
        <v>23</v>
      </c>
      <c r="AZ164" s="2"/>
      <c r="BA164" s="205"/>
      <c r="BC164" s="34">
        <v>23</v>
      </c>
      <c r="BD164" s="2"/>
      <c r="BE164" s="205"/>
      <c r="BH164" s="5"/>
      <c r="BL164" s="34">
        <v>23</v>
      </c>
      <c r="BM164" s="3"/>
      <c r="BN164" s="4"/>
      <c r="BP164" s="34">
        <v>23</v>
      </c>
      <c r="BQ164" s="3"/>
      <c r="BR164" s="4"/>
      <c r="BV164" s="34">
        <v>23</v>
      </c>
      <c r="BW164" s="3"/>
      <c r="BX164" s="4"/>
      <c r="BZ164" s="34">
        <v>23</v>
      </c>
      <c r="CA164" s="3"/>
      <c r="CB164" s="4"/>
    </row>
    <row r="165" spans="2:91">
      <c r="AC165" s="5"/>
      <c r="AG165" s="10"/>
      <c r="AH165" s="8"/>
      <c r="AK165" s="10"/>
      <c r="AL165" s="8"/>
      <c r="AO165" s="10"/>
      <c r="AP165" s="8"/>
      <c r="AU165"/>
      <c r="BC165"/>
      <c r="BH165" s="5"/>
    </row>
    <row r="166" spans="2:91">
      <c r="AC166" s="5"/>
      <c r="AU166"/>
      <c r="BC166"/>
      <c r="BH166" s="5"/>
    </row>
    <row r="167" spans="2:91">
      <c r="I167" s="130"/>
      <c r="AC167" s="5"/>
      <c r="AU167"/>
      <c r="BC167"/>
      <c r="BH167" s="5"/>
    </row>
    <row r="168" spans="2:91" s="1" customFormat="1" ht="20.25">
      <c r="B168" s="54"/>
      <c r="C168" s="55">
        <f>'NRB 공장 내부 배치도'!C11</f>
        <v>0</v>
      </c>
      <c r="D168" s="199"/>
      <c r="F168" s="54"/>
      <c r="G168" s="55">
        <f>'NRB 공장 내부 배치도'!D11</f>
        <v>0</v>
      </c>
      <c r="H168" s="199"/>
      <c r="J168" s="54"/>
      <c r="K168" s="55">
        <f>'NRB 공장 내부 배치도'!E11</f>
        <v>0</v>
      </c>
      <c r="L168" s="199"/>
      <c r="P168" s="54"/>
      <c r="Q168" s="55">
        <f>'NRB 공장 내부 배치도'!G11</f>
        <v>0</v>
      </c>
      <c r="R168" s="199"/>
      <c r="S168"/>
      <c r="T168" s="54"/>
      <c r="U168" s="55">
        <f>'NRB 공장 내부 배치도'!H11</f>
        <v>0</v>
      </c>
      <c r="V168" s="199"/>
      <c r="X168" s="54"/>
      <c r="Y168" s="55" t="str">
        <f>'NRB 공장 내부 배치도'!I11</f>
        <v>BH조립다이
403-7-11</v>
      </c>
      <c r="Z168" s="199"/>
      <c r="AC168" s="71"/>
      <c r="AG168" s="54"/>
      <c r="AH168" s="55">
        <f>'NRB 공장 내부 배치도'!L11</f>
        <v>0</v>
      </c>
      <c r="AI168" s="199"/>
      <c r="AK168" s="54"/>
      <c r="AL168" s="55">
        <f>'NRB 공장 내부 배치도'!M11</f>
        <v>0</v>
      </c>
      <c r="AM168" s="199"/>
      <c r="AO168" s="54"/>
      <c r="AP168" s="55">
        <f>'NRB 공장 내부 배치도'!N11</f>
        <v>0</v>
      </c>
      <c r="AQ168" s="199"/>
      <c r="AU168" s="54"/>
      <c r="AV168" s="55">
        <f>'NRB 공장 내부 배치도'!P11</f>
        <v>0</v>
      </c>
      <c r="AW168" s="199"/>
      <c r="AY168" s="54"/>
      <c r="AZ168" s="55">
        <f>'NRB 공장 내부 배치도'!Q11</f>
        <v>0</v>
      </c>
      <c r="BA168" s="199"/>
      <c r="BC168" s="54"/>
      <c r="BD168" s="55">
        <f>'NRB 공장 내부 배치도'!II11</f>
        <v>0</v>
      </c>
      <c r="BE168" s="199"/>
      <c r="BF168" s="204"/>
      <c r="BH168" s="71"/>
      <c r="BL168" s="54"/>
      <c r="BM168" s="55" t="e">
        <f>'NRB야외 야적장 제품배치도(구)'!#REF!</f>
        <v>#REF!</v>
      </c>
      <c r="BN168" s="56"/>
      <c r="BP168" s="54"/>
      <c r="BQ168" s="55" t="e">
        <f>'NRB야외 야적장 제품배치도(구)'!#REF!</f>
        <v>#REF!</v>
      </c>
      <c r="BR168" s="56"/>
      <c r="BV168" s="87"/>
      <c r="BW168" s="55">
        <f>'NRB 공장 내부 배치도'!X11</f>
        <v>0</v>
      </c>
      <c r="BX168" s="88"/>
      <c r="BZ168" s="54"/>
      <c r="CA168" s="55">
        <f>'NRB 공장 내부 배치도'!Y11</f>
        <v>0</v>
      </c>
      <c r="CB168" s="56"/>
      <c r="CF168" s="71"/>
      <c r="CG168" s="71"/>
      <c r="CH168" s="71"/>
    </row>
    <row r="169" spans="2:91">
      <c r="B169" s="34">
        <v>1</v>
      </c>
      <c r="C169" s="252"/>
      <c r="D169" s="253"/>
      <c r="F169" s="34">
        <v>1</v>
      </c>
      <c r="G169" s="2"/>
      <c r="H169" s="205"/>
      <c r="J169" s="34">
        <v>1</v>
      </c>
      <c r="K169" s="2"/>
      <c r="L169" s="205"/>
      <c r="P169" s="34">
        <v>1</v>
      </c>
      <c r="Q169" s="2"/>
      <c r="R169" s="205"/>
      <c r="T169" s="34">
        <v>1</v>
      </c>
      <c r="U169" s="252"/>
      <c r="V169" s="253"/>
      <c r="X169" s="34">
        <v>1</v>
      </c>
      <c r="Y169" s="252"/>
      <c r="Z169" s="253"/>
      <c r="AC169" s="5"/>
      <c r="AG169" s="34">
        <v>1</v>
      </c>
      <c r="AH169" s="2"/>
      <c r="AI169" s="205"/>
      <c r="AK169" s="34">
        <v>1</v>
      </c>
      <c r="AL169" s="2"/>
      <c r="AM169" s="205"/>
      <c r="AO169" s="34">
        <v>1</v>
      </c>
      <c r="AP169" s="2"/>
      <c r="AQ169" s="205"/>
      <c r="AU169" s="34">
        <v>1</v>
      </c>
      <c r="AV169" s="2"/>
      <c r="AW169" s="205"/>
      <c r="AY169" s="34">
        <v>1</v>
      </c>
      <c r="AZ169" s="2"/>
      <c r="BA169" s="205"/>
      <c r="BC169" s="34">
        <v>1</v>
      </c>
      <c r="BD169" s="2"/>
      <c r="BE169" s="205"/>
      <c r="BH169" s="5"/>
      <c r="BL169" s="34">
        <v>1</v>
      </c>
      <c r="BM169" s="3"/>
      <c r="BN169" s="77"/>
      <c r="BP169" s="34">
        <v>1</v>
      </c>
      <c r="BQ169" s="3"/>
      <c r="BR169" s="77"/>
      <c r="BV169" s="34">
        <v>1</v>
      </c>
      <c r="BW169" s="3"/>
      <c r="BX169" s="77"/>
      <c r="BZ169" s="34">
        <v>1</v>
      </c>
      <c r="CA169" s="3"/>
      <c r="CB169" s="77"/>
    </row>
    <row r="170" spans="2:91">
      <c r="B170" s="34">
        <v>2</v>
      </c>
      <c r="C170" s="252"/>
      <c r="D170" s="253"/>
      <c r="F170" s="34">
        <v>2</v>
      </c>
      <c r="G170" s="2"/>
      <c r="H170" s="205"/>
      <c r="J170" s="34">
        <v>2</v>
      </c>
      <c r="K170" s="2"/>
      <c r="L170" s="205"/>
      <c r="P170" s="34">
        <v>2</v>
      </c>
      <c r="Q170" s="2"/>
      <c r="R170" s="205"/>
      <c r="T170" s="34">
        <v>2</v>
      </c>
      <c r="U170" s="252"/>
      <c r="V170" s="253"/>
      <c r="X170" s="34">
        <v>2</v>
      </c>
      <c r="Y170" s="252"/>
      <c r="Z170" s="253"/>
      <c r="AC170" s="5"/>
      <c r="AG170" s="34">
        <v>2</v>
      </c>
      <c r="AH170" s="2"/>
      <c r="AI170" s="205"/>
      <c r="AK170" s="34">
        <v>2</v>
      </c>
      <c r="AL170" s="2"/>
      <c r="AM170" s="205"/>
      <c r="AO170" s="34">
        <v>2</v>
      </c>
      <c r="AP170" s="2"/>
      <c r="AQ170" s="205"/>
      <c r="AU170" s="34">
        <v>2</v>
      </c>
      <c r="AV170" s="2"/>
      <c r="AW170" s="205"/>
      <c r="AY170" s="34">
        <v>2</v>
      </c>
      <c r="AZ170" s="2"/>
      <c r="BA170" s="205"/>
      <c r="BC170" s="34">
        <v>2</v>
      </c>
      <c r="BD170" s="2"/>
      <c r="BE170" s="205"/>
      <c r="BH170" s="5"/>
      <c r="BL170" s="34">
        <v>2</v>
      </c>
      <c r="BM170" s="3"/>
      <c r="BN170" s="77"/>
      <c r="BP170" s="34">
        <v>2</v>
      </c>
      <c r="BQ170" s="3"/>
      <c r="BR170" s="77"/>
      <c r="BV170" s="34">
        <v>2</v>
      </c>
      <c r="BW170" s="3"/>
      <c r="BX170" s="77"/>
      <c r="BZ170" s="34">
        <v>2</v>
      </c>
      <c r="CA170" s="3"/>
      <c r="CB170" s="77"/>
    </row>
    <row r="171" spans="2:91">
      <c r="B171" s="34">
        <v>3</v>
      </c>
      <c r="C171" s="252"/>
      <c r="D171" s="253"/>
      <c r="F171" s="34">
        <v>3</v>
      </c>
      <c r="G171" s="2"/>
      <c r="H171" s="205"/>
      <c r="J171" s="34">
        <v>3</v>
      </c>
      <c r="K171" s="2"/>
      <c r="L171" s="205"/>
      <c r="P171" s="34">
        <v>3</v>
      </c>
      <c r="Q171" s="2"/>
      <c r="R171" s="205"/>
      <c r="T171" s="34">
        <v>3</v>
      </c>
      <c r="U171" s="252"/>
      <c r="V171" s="253"/>
      <c r="X171" s="34">
        <v>3</v>
      </c>
      <c r="Y171" s="252"/>
      <c r="Z171" s="253"/>
      <c r="AC171" s="5"/>
      <c r="AG171" s="34">
        <v>3</v>
      </c>
      <c r="AH171" s="2"/>
      <c r="AI171" s="205"/>
      <c r="AK171" s="34">
        <v>3</v>
      </c>
      <c r="AL171" s="2"/>
      <c r="AM171" s="205"/>
      <c r="AO171" s="34">
        <v>3</v>
      </c>
      <c r="AP171" s="2"/>
      <c r="AQ171" s="205"/>
      <c r="AU171" s="34">
        <v>3</v>
      </c>
      <c r="AV171" s="2"/>
      <c r="AW171" s="205"/>
      <c r="AY171" s="34">
        <v>3</v>
      </c>
      <c r="AZ171" s="2"/>
      <c r="BA171" s="205"/>
      <c r="BC171" s="34">
        <v>3</v>
      </c>
      <c r="BD171" s="2"/>
      <c r="BE171" s="205"/>
      <c r="BH171" s="5"/>
      <c r="BL171" s="34">
        <v>3</v>
      </c>
      <c r="BM171" s="3"/>
      <c r="BN171" s="77"/>
      <c r="BP171" s="34">
        <v>3</v>
      </c>
      <c r="BQ171" s="3"/>
      <c r="BR171" s="77"/>
      <c r="BV171" s="34">
        <v>3</v>
      </c>
      <c r="BW171" s="3"/>
      <c r="BX171" s="77"/>
      <c r="BZ171" s="34">
        <v>3</v>
      </c>
      <c r="CA171" s="3"/>
      <c r="CB171" s="77"/>
    </row>
    <row r="172" spans="2:91">
      <c r="B172" s="34">
        <v>4</v>
      </c>
      <c r="C172" s="252"/>
      <c r="D172" s="253"/>
      <c r="F172" s="34">
        <v>4</v>
      </c>
      <c r="G172" s="2"/>
      <c r="H172" s="205"/>
      <c r="J172" s="34">
        <v>4</v>
      </c>
      <c r="K172" s="2"/>
      <c r="L172" s="205"/>
      <c r="P172" s="34">
        <v>4</v>
      </c>
      <c r="Q172" s="2"/>
      <c r="R172" s="205"/>
      <c r="T172" s="34">
        <v>4</v>
      </c>
      <c r="U172" s="252"/>
      <c r="V172" s="253"/>
      <c r="X172" s="34">
        <v>4</v>
      </c>
      <c r="Y172" s="252"/>
      <c r="Z172" s="253"/>
      <c r="AC172" s="5"/>
      <c r="AG172" s="34">
        <v>4</v>
      </c>
      <c r="AH172" s="2"/>
      <c r="AI172" s="205"/>
      <c r="AK172" s="34">
        <v>4</v>
      </c>
      <c r="AL172" s="2"/>
      <c r="AM172" s="205"/>
      <c r="AO172" s="34">
        <v>4</v>
      </c>
      <c r="AP172" s="2"/>
      <c r="AQ172" s="205"/>
      <c r="AU172" s="34">
        <v>4</v>
      </c>
      <c r="AV172" s="2"/>
      <c r="AW172" s="205"/>
      <c r="AY172" s="34">
        <v>4</v>
      </c>
      <c r="AZ172" s="2"/>
      <c r="BA172" s="205"/>
      <c r="BC172" s="34">
        <v>4</v>
      </c>
      <c r="BD172" s="2"/>
      <c r="BE172" s="205"/>
      <c r="BH172" s="5"/>
      <c r="BL172" s="34">
        <v>4</v>
      </c>
      <c r="BM172" s="3"/>
      <c r="BN172" s="77"/>
      <c r="BP172" s="34">
        <v>4</v>
      </c>
      <c r="BQ172" s="3"/>
      <c r="BR172" s="77"/>
      <c r="BV172" s="34">
        <v>4</v>
      </c>
      <c r="BW172" s="3"/>
      <c r="BX172" s="77"/>
      <c r="BZ172" s="34">
        <v>4</v>
      </c>
      <c r="CA172" s="3"/>
      <c r="CB172" s="77"/>
    </row>
    <row r="173" spans="2:91">
      <c r="B173" s="34">
        <v>5</v>
      </c>
      <c r="C173" s="252"/>
      <c r="D173" s="253"/>
      <c r="F173" s="34">
        <v>5</v>
      </c>
      <c r="G173" s="2"/>
      <c r="H173" s="205"/>
      <c r="J173" s="34">
        <v>5</v>
      </c>
      <c r="K173" s="2"/>
      <c r="L173" s="205"/>
      <c r="P173" s="34">
        <v>5</v>
      </c>
      <c r="Q173" s="2"/>
      <c r="R173" s="205"/>
      <c r="T173" s="34">
        <v>5</v>
      </c>
      <c r="U173" s="252"/>
      <c r="V173" s="253"/>
      <c r="X173" s="34">
        <v>5</v>
      </c>
      <c r="Y173" s="252"/>
      <c r="Z173" s="253"/>
      <c r="AC173" s="5"/>
      <c r="AG173" s="34">
        <v>5</v>
      </c>
      <c r="AH173" s="2"/>
      <c r="AI173" s="205"/>
      <c r="AK173" s="34">
        <v>5</v>
      </c>
      <c r="AL173" s="2"/>
      <c r="AM173" s="205"/>
      <c r="AO173" s="34">
        <v>5</v>
      </c>
      <c r="AP173" s="2"/>
      <c r="AQ173" s="205"/>
      <c r="AU173" s="34">
        <v>5</v>
      </c>
      <c r="AV173" s="2"/>
      <c r="AW173" s="205"/>
      <c r="AY173" s="34">
        <v>5</v>
      </c>
      <c r="AZ173" s="2"/>
      <c r="BA173" s="205"/>
      <c r="BC173" s="34">
        <v>5</v>
      </c>
      <c r="BD173" s="2"/>
      <c r="BE173" s="205"/>
      <c r="BH173" s="5"/>
      <c r="BL173" s="34">
        <v>5</v>
      </c>
      <c r="BM173" s="3"/>
      <c r="BN173" s="77"/>
      <c r="BP173" s="34">
        <v>5</v>
      </c>
      <c r="BQ173" s="3"/>
      <c r="BR173" s="77"/>
      <c r="BV173" s="34">
        <v>5</v>
      </c>
      <c r="BW173" s="3"/>
      <c r="BX173" s="77"/>
      <c r="BZ173" s="34">
        <v>5</v>
      </c>
      <c r="CA173" s="3"/>
      <c r="CB173" s="77"/>
    </row>
    <row r="174" spans="2:91">
      <c r="B174" s="34">
        <v>6</v>
      </c>
      <c r="C174" s="252"/>
      <c r="D174" s="253"/>
      <c r="F174" s="34">
        <v>6</v>
      </c>
      <c r="G174" s="2"/>
      <c r="H174" s="205"/>
      <c r="J174" s="34">
        <v>6</v>
      </c>
      <c r="K174" s="2"/>
      <c r="L174" s="205"/>
      <c r="P174" s="34">
        <v>6</v>
      </c>
      <c r="Q174" s="2"/>
      <c r="R174" s="205"/>
      <c r="T174" s="34">
        <v>6</v>
      </c>
      <c r="U174" s="252"/>
      <c r="V174" s="253"/>
      <c r="X174" s="34">
        <v>6</v>
      </c>
      <c r="Y174" s="252"/>
      <c r="Z174" s="253"/>
      <c r="AC174" s="5"/>
      <c r="AG174" s="34">
        <v>6</v>
      </c>
      <c r="AH174" s="2"/>
      <c r="AI174" s="205"/>
      <c r="AK174" s="34">
        <v>6</v>
      </c>
      <c r="AL174" s="2"/>
      <c r="AM174" s="205"/>
      <c r="AO174" s="34">
        <v>6</v>
      </c>
      <c r="AP174" s="2"/>
      <c r="AQ174" s="205"/>
      <c r="AU174" s="34">
        <v>6</v>
      </c>
      <c r="AV174" s="2"/>
      <c r="AW174" s="205"/>
      <c r="AY174" s="34">
        <v>6</v>
      </c>
      <c r="AZ174" s="2"/>
      <c r="BA174" s="205"/>
      <c r="BC174" s="34">
        <v>6</v>
      </c>
      <c r="BD174" s="2"/>
      <c r="BE174" s="205"/>
      <c r="BH174" s="5"/>
      <c r="BL174" s="34">
        <v>6</v>
      </c>
      <c r="BM174" s="3"/>
      <c r="BN174" s="77"/>
      <c r="BP174" s="34">
        <v>6</v>
      </c>
      <c r="BQ174" s="3"/>
      <c r="BR174" s="77"/>
      <c r="BV174" s="34">
        <v>6</v>
      </c>
      <c r="BW174" s="3"/>
      <c r="BX174" s="77"/>
      <c r="BZ174" s="34">
        <v>6</v>
      </c>
      <c r="CA174" s="3"/>
      <c r="CB174" s="77"/>
    </row>
    <row r="175" spans="2:91">
      <c r="B175" s="34">
        <v>7</v>
      </c>
      <c r="C175" s="252"/>
      <c r="D175" s="253"/>
      <c r="F175" s="34">
        <v>7</v>
      </c>
      <c r="G175" s="2"/>
      <c r="H175" s="205"/>
      <c r="J175" s="34">
        <v>7</v>
      </c>
      <c r="K175" s="2"/>
      <c r="L175" s="205"/>
      <c r="P175" s="34">
        <v>7</v>
      </c>
      <c r="Q175" s="2"/>
      <c r="R175" s="205"/>
      <c r="T175" s="34">
        <v>7</v>
      </c>
      <c r="U175" s="252"/>
      <c r="V175" s="253"/>
      <c r="X175" s="34">
        <v>7</v>
      </c>
      <c r="Y175" s="252"/>
      <c r="Z175" s="253"/>
      <c r="AC175" s="5"/>
      <c r="AG175" s="34">
        <v>7</v>
      </c>
      <c r="AH175" s="2"/>
      <c r="AI175" s="205"/>
      <c r="AK175" s="34">
        <v>7</v>
      </c>
      <c r="AL175" s="2"/>
      <c r="AM175" s="205"/>
      <c r="AO175" s="34">
        <v>7</v>
      </c>
      <c r="AP175" s="2"/>
      <c r="AQ175" s="205"/>
      <c r="AU175" s="34">
        <v>7</v>
      </c>
      <c r="AV175" s="2"/>
      <c r="AW175" s="205"/>
      <c r="AY175" s="34">
        <v>7</v>
      </c>
      <c r="AZ175" s="2"/>
      <c r="BA175" s="205"/>
      <c r="BC175" s="34">
        <v>7</v>
      </c>
      <c r="BD175" s="2"/>
      <c r="BE175" s="205"/>
      <c r="BH175" s="5"/>
      <c r="BL175" s="34">
        <v>7</v>
      </c>
      <c r="BM175" s="3"/>
      <c r="BN175" s="77"/>
      <c r="BP175" s="34">
        <v>7</v>
      </c>
      <c r="BQ175" s="3"/>
      <c r="BR175" s="77"/>
      <c r="BV175" s="34">
        <v>7</v>
      </c>
      <c r="BW175" s="3"/>
      <c r="BX175" s="77"/>
      <c r="BZ175" s="34">
        <v>7</v>
      </c>
      <c r="CA175" s="3"/>
      <c r="CB175" s="77"/>
    </row>
    <row r="176" spans="2:91">
      <c r="B176" s="34">
        <v>8</v>
      </c>
      <c r="C176" s="252"/>
      <c r="D176" s="253"/>
      <c r="F176" s="34">
        <v>8</v>
      </c>
      <c r="G176" s="2"/>
      <c r="H176" s="205"/>
      <c r="J176" s="34">
        <v>8</v>
      </c>
      <c r="K176" s="2"/>
      <c r="L176" s="205"/>
      <c r="P176" s="34">
        <v>8</v>
      </c>
      <c r="Q176" s="2"/>
      <c r="R176" s="205"/>
      <c r="T176" s="34">
        <v>8</v>
      </c>
      <c r="U176" s="252"/>
      <c r="V176" s="253"/>
      <c r="X176" s="34">
        <v>8</v>
      </c>
      <c r="Y176" s="252"/>
      <c r="Z176" s="253"/>
      <c r="AC176" s="5"/>
      <c r="AG176" s="34">
        <v>8</v>
      </c>
      <c r="AH176" s="2"/>
      <c r="AI176" s="205"/>
      <c r="AK176" s="34">
        <v>8</v>
      </c>
      <c r="AL176" s="2"/>
      <c r="AM176" s="205"/>
      <c r="AO176" s="34">
        <v>8</v>
      </c>
      <c r="AP176" s="2"/>
      <c r="AQ176" s="205"/>
      <c r="AU176" s="34">
        <v>8</v>
      </c>
      <c r="AV176" s="2"/>
      <c r="AW176" s="205"/>
      <c r="AY176" s="34">
        <v>8</v>
      </c>
      <c r="AZ176" s="2"/>
      <c r="BA176" s="205"/>
      <c r="BC176" s="34">
        <v>8</v>
      </c>
      <c r="BD176" s="2"/>
      <c r="BE176" s="205"/>
      <c r="BH176" s="5"/>
      <c r="BL176" s="34">
        <v>8</v>
      </c>
      <c r="BM176" s="3"/>
      <c r="BN176" s="77"/>
      <c r="BP176" s="34">
        <v>8</v>
      </c>
      <c r="BQ176" s="3"/>
      <c r="BR176" s="77"/>
      <c r="BV176" s="34">
        <v>8</v>
      </c>
      <c r="BW176" s="3"/>
      <c r="BX176" s="77"/>
      <c r="BZ176" s="34">
        <v>8</v>
      </c>
      <c r="CA176" s="3"/>
      <c r="CB176" s="77"/>
    </row>
    <row r="177" spans="2:80">
      <c r="B177" s="34">
        <v>9</v>
      </c>
      <c r="C177" s="252"/>
      <c r="D177" s="253"/>
      <c r="F177" s="34">
        <v>9</v>
      </c>
      <c r="G177" s="2"/>
      <c r="H177" s="205"/>
      <c r="J177" s="34">
        <v>9</v>
      </c>
      <c r="K177" s="2"/>
      <c r="L177" s="205"/>
      <c r="P177" s="34">
        <v>9</v>
      </c>
      <c r="Q177" s="2"/>
      <c r="R177" s="205"/>
      <c r="T177" s="34">
        <v>9</v>
      </c>
      <c r="U177" s="252"/>
      <c r="V177" s="253"/>
      <c r="X177" s="34">
        <v>9</v>
      </c>
      <c r="Y177" s="252"/>
      <c r="Z177" s="253"/>
      <c r="AC177" s="5"/>
      <c r="AG177" s="34">
        <v>9</v>
      </c>
      <c r="AH177" s="2"/>
      <c r="AI177" s="205"/>
      <c r="AK177" s="34">
        <v>9</v>
      </c>
      <c r="AL177" s="2"/>
      <c r="AM177" s="205"/>
      <c r="AO177" s="34">
        <v>9</v>
      </c>
      <c r="AP177" s="2"/>
      <c r="AQ177" s="205"/>
      <c r="AU177" s="34">
        <v>9</v>
      </c>
      <c r="AV177" s="2"/>
      <c r="AW177" s="205"/>
      <c r="AY177" s="34">
        <v>9</v>
      </c>
      <c r="AZ177" s="2"/>
      <c r="BA177" s="205"/>
      <c r="BC177" s="34">
        <v>9</v>
      </c>
      <c r="BD177" s="2"/>
      <c r="BE177" s="205"/>
      <c r="BH177" s="5"/>
      <c r="BL177" s="34">
        <v>9</v>
      </c>
      <c r="BM177" s="3"/>
      <c r="BN177" s="77"/>
      <c r="BP177" s="34">
        <v>9</v>
      </c>
      <c r="BQ177" s="3"/>
      <c r="BR177" s="77"/>
      <c r="BV177" s="34">
        <v>9</v>
      </c>
      <c r="BW177" s="3"/>
      <c r="BX177" s="77"/>
      <c r="BZ177" s="34">
        <v>9</v>
      </c>
      <c r="CA177" s="3"/>
      <c r="CB177" s="77"/>
    </row>
    <row r="178" spans="2:80">
      <c r="B178" s="34">
        <v>10</v>
      </c>
      <c r="C178" s="252"/>
      <c r="D178" s="253"/>
      <c r="F178" s="34">
        <v>10</v>
      </c>
      <c r="G178" s="2"/>
      <c r="H178" s="205"/>
      <c r="J178" s="34">
        <v>10</v>
      </c>
      <c r="K178" s="2"/>
      <c r="L178" s="205"/>
      <c r="P178" s="34">
        <v>10</v>
      </c>
      <c r="Q178" s="2"/>
      <c r="R178" s="205"/>
      <c r="T178" s="34">
        <v>10</v>
      </c>
      <c r="U178" s="252"/>
      <c r="V178" s="253"/>
      <c r="X178" s="34">
        <v>10</v>
      </c>
      <c r="Y178" s="252"/>
      <c r="Z178" s="253"/>
      <c r="AC178" s="5"/>
      <c r="AG178" s="34">
        <v>10</v>
      </c>
      <c r="AH178" s="2"/>
      <c r="AI178" s="205"/>
      <c r="AK178" s="34">
        <v>10</v>
      </c>
      <c r="AL178" s="2"/>
      <c r="AM178" s="205"/>
      <c r="AO178" s="34">
        <v>10</v>
      </c>
      <c r="AP178" s="2"/>
      <c r="AQ178" s="205"/>
      <c r="AU178" s="34">
        <v>10</v>
      </c>
      <c r="AV178" s="2"/>
      <c r="AW178" s="205"/>
      <c r="AY178" s="34">
        <v>10</v>
      </c>
      <c r="AZ178" s="2"/>
      <c r="BA178" s="205"/>
      <c r="BC178" s="34">
        <v>10</v>
      </c>
      <c r="BD178" s="2"/>
      <c r="BE178" s="205"/>
      <c r="BH178" s="5"/>
      <c r="BL178" s="34">
        <v>10</v>
      </c>
      <c r="BM178" s="3"/>
      <c r="BN178" s="77"/>
      <c r="BP178" s="34">
        <v>10</v>
      </c>
      <c r="BQ178" s="3"/>
      <c r="BR178" s="77"/>
      <c r="BV178" s="34">
        <v>10</v>
      </c>
      <c r="BW178" s="3"/>
      <c r="BX178" s="77"/>
      <c r="BZ178" s="34">
        <v>10</v>
      </c>
      <c r="CA178" s="3"/>
      <c r="CB178" s="77"/>
    </row>
    <row r="179" spans="2:80">
      <c r="B179" s="34">
        <v>11</v>
      </c>
      <c r="C179" s="252"/>
      <c r="D179" s="253"/>
      <c r="F179" s="34">
        <v>11</v>
      </c>
      <c r="G179" s="2"/>
      <c r="H179" s="205"/>
      <c r="J179" s="34">
        <v>11</v>
      </c>
      <c r="K179" s="2"/>
      <c r="L179" s="205"/>
      <c r="P179" s="34">
        <v>11</v>
      </c>
      <c r="Q179" s="2"/>
      <c r="R179" s="205"/>
      <c r="T179" s="34">
        <v>11</v>
      </c>
      <c r="U179" s="252"/>
      <c r="V179" s="253"/>
      <c r="X179" s="34">
        <v>11</v>
      </c>
      <c r="Y179" s="252"/>
      <c r="Z179" s="253"/>
      <c r="AC179" s="5"/>
      <c r="AG179" s="34">
        <v>11</v>
      </c>
      <c r="AH179" s="2"/>
      <c r="AI179" s="205"/>
      <c r="AK179" s="34">
        <v>11</v>
      </c>
      <c r="AL179" s="2"/>
      <c r="AM179" s="205"/>
      <c r="AO179" s="34">
        <v>11</v>
      </c>
      <c r="AP179" s="2"/>
      <c r="AQ179" s="205"/>
      <c r="AU179" s="34">
        <v>11</v>
      </c>
      <c r="AV179" s="2"/>
      <c r="AW179" s="205"/>
      <c r="AY179" s="34">
        <v>11</v>
      </c>
      <c r="AZ179" s="2"/>
      <c r="BA179" s="205"/>
      <c r="BC179" s="34">
        <v>11</v>
      </c>
      <c r="BD179" s="2"/>
      <c r="BE179" s="205"/>
      <c r="BH179" s="5"/>
      <c r="BL179" s="34">
        <v>11</v>
      </c>
      <c r="BM179" s="3"/>
      <c r="BN179" s="77"/>
      <c r="BP179" s="34">
        <v>11</v>
      </c>
      <c r="BQ179" s="3"/>
      <c r="BR179" s="77"/>
      <c r="BV179" s="34">
        <v>11</v>
      </c>
      <c r="BW179" s="3"/>
      <c r="BX179" s="77"/>
      <c r="BZ179" s="34">
        <v>11</v>
      </c>
      <c r="CA179" s="3"/>
      <c r="CB179" s="77"/>
    </row>
    <row r="180" spans="2:80">
      <c r="B180" s="34">
        <v>12</v>
      </c>
      <c r="C180" s="252"/>
      <c r="D180" s="253"/>
      <c r="F180" s="34">
        <v>12</v>
      </c>
      <c r="G180" s="2"/>
      <c r="H180" s="205"/>
      <c r="J180" s="34">
        <v>12</v>
      </c>
      <c r="K180" s="2"/>
      <c r="L180" s="205"/>
      <c r="P180" s="34">
        <v>12</v>
      </c>
      <c r="Q180" s="2"/>
      <c r="R180" s="205"/>
      <c r="T180" s="34">
        <v>12</v>
      </c>
      <c r="U180" s="252"/>
      <c r="V180" s="253"/>
      <c r="X180" s="34">
        <v>12</v>
      </c>
      <c r="Y180" s="252"/>
      <c r="Z180" s="253"/>
      <c r="AC180" s="5"/>
      <c r="AG180" s="34">
        <v>12</v>
      </c>
      <c r="AH180" s="2"/>
      <c r="AI180" s="205"/>
      <c r="AK180" s="34">
        <v>12</v>
      </c>
      <c r="AL180" s="2"/>
      <c r="AM180" s="205"/>
      <c r="AO180" s="34">
        <v>12</v>
      </c>
      <c r="AP180" s="2"/>
      <c r="AQ180" s="205"/>
      <c r="AU180" s="34">
        <v>12</v>
      </c>
      <c r="AV180" s="3"/>
      <c r="AW180" s="77"/>
      <c r="AY180" s="34">
        <v>12</v>
      </c>
      <c r="AZ180" s="2"/>
      <c r="BA180" s="205"/>
      <c r="BC180" s="34">
        <v>12</v>
      </c>
      <c r="BD180" s="3"/>
      <c r="BE180" s="77"/>
      <c r="BH180" s="5"/>
      <c r="BL180" s="34">
        <v>12</v>
      </c>
      <c r="BM180" s="3"/>
      <c r="BN180" s="77"/>
      <c r="BP180" s="34">
        <v>12</v>
      </c>
      <c r="BQ180" s="3"/>
      <c r="BR180" s="77"/>
      <c r="BV180" s="34">
        <v>12</v>
      </c>
      <c r="BW180" s="3"/>
      <c r="BX180" s="77"/>
      <c r="BZ180" s="34">
        <v>12</v>
      </c>
      <c r="CA180" s="3"/>
      <c r="CB180" s="77"/>
    </row>
    <row r="181" spans="2:80">
      <c r="B181" s="34">
        <v>13</v>
      </c>
      <c r="C181" s="252"/>
      <c r="D181" s="253"/>
      <c r="F181" s="34">
        <v>13</v>
      </c>
      <c r="G181" s="2"/>
      <c r="H181" s="205"/>
      <c r="J181" s="34">
        <v>13</v>
      </c>
      <c r="K181" s="2"/>
      <c r="L181" s="205"/>
      <c r="P181" s="34">
        <v>13</v>
      </c>
      <c r="Q181" s="2"/>
      <c r="R181" s="205"/>
      <c r="T181" s="34">
        <v>13</v>
      </c>
      <c r="U181" s="252"/>
      <c r="V181" s="253"/>
      <c r="X181" s="34">
        <v>13</v>
      </c>
      <c r="Y181" s="252"/>
      <c r="Z181" s="253"/>
      <c r="AC181" s="5"/>
      <c r="AG181" s="34">
        <v>13</v>
      </c>
      <c r="AH181" s="2"/>
      <c r="AI181" s="205"/>
      <c r="AK181" s="34">
        <v>13</v>
      </c>
      <c r="AL181" s="109"/>
      <c r="AM181" s="205"/>
      <c r="AO181" s="34">
        <v>13</v>
      </c>
      <c r="AP181" s="2"/>
      <c r="AQ181" s="205"/>
      <c r="AU181" s="34">
        <v>13</v>
      </c>
      <c r="AV181" s="3"/>
      <c r="AW181" s="77"/>
      <c r="AY181" s="34">
        <v>13</v>
      </c>
      <c r="AZ181" s="2"/>
      <c r="BA181" s="205"/>
      <c r="BC181" s="34">
        <v>13</v>
      </c>
      <c r="BD181" s="3"/>
      <c r="BE181" s="77"/>
      <c r="BH181" s="5"/>
      <c r="BL181" s="34">
        <v>13</v>
      </c>
      <c r="BM181" s="3"/>
      <c r="BN181" s="77"/>
      <c r="BP181" s="34">
        <v>13</v>
      </c>
      <c r="BQ181" s="3"/>
      <c r="BR181" s="77"/>
      <c r="BV181" s="34">
        <v>13</v>
      </c>
      <c r="BW181" s="3"/>
      <c r="BX181" s="77"/>
      <c r="BZ181" s="34">
        <v>13</v>
      </c>
      <c r="CA181" s="3"/>
      <c r="CB181" s="77"/>
    </row>
    <row r="182" spans="2:80">
      <c r="B182" s="34">
        <v>14</v>
      </c>
      <c r="C182" s="252"/>
      <c r="D182" s="253"/>
      <c r="F182" s="34">
        <v>14</v>
      </c>
      <c r="G182" s="2"/>
      <c r="H182" s="205"/>
      <c r="J182" s="34">
        <v>14</v>
      </c>
      <c r="K182" s="2"/>
      <c r="L182" s="205"/>
      <c r="P182" s="34">
        <v>14</v>
      </c>
      <c r="Q182" s="2"/>
      <c r="R182" s="205"/>
      <c r="T182" s="34">
        <v>14</v>
      </c>
      <c r="U182" s="252"/>
      <c r="V182" s="253"/>
      <c r="X182" s="34">
        <v>14</v>
      </c>
      <c r="Y182" s="252"/>
      <c r="Z182" s="253"/>
      <c r="AC182" s="5"/>
      <c r="AG182" s="34">
        <v>14</v>
      </c>
      <c r="AH182" s="2"/>
      <c r="AI182" s="205"/>
      <c r="AK182" s="34">
        <v>14</v>
      </c>
      <c r="AL182" s="2"/>
      <c r="AM182" s="205"/>
      <c r="AO182" s="34">
        <v>14</v>
      </c>
      <c r="AP182" s="2"/>
      <c r="AQ182" s="205"/>
      <c r="AU182" s="34">
        <v>14</v>
      </c>
      <c r="AV182" s="3"/>
      <c r="AW182" s="77"/>
      <c r="AY182" s="34">
        <v>14</v>
      </c>
      <c r="AZ182" s="2"/>
      <c r="BA182" s="205"/>
      <c r="BC182" s="34">
        <v>14</v>
      </c>
      <c r="BD182" s="3"/>
      <c r="BE182" s="77"/>
      <c r="BH182" s="5"/>
      <c r="BL182" s="34">
        <v>14</v>
      </c>
      <c r="BM182" s="3"/>
      <c r="BN182" s="77"/>
      <c r="BP182" s="34">
        <v>14</v>
      </c>
      <c r="BQ182" s="3"/>
      <c r="BR182" s="77"/>
      <c r="BV182" s="34">
        <v>14</v>
      </c>
      <c r="BW182" s="3"/>
      <c r="BX182" s="77"/>
      <c r="BZ182" s="34">
        <v>14</v>
      </c>
      <c r="CA182" s="3"/>
      <c r="CB182" s="77"/>
    </row>
    <row r="183" spans="2:80">
      <c r="B183" s="34">
        <v>15</v>
      </c>
      <c r="C183" s="252"/>
      <c r="D183" s="253"/>
      <c r="F183" s="34">
        <v>15</v>
      </c>
      <c r="G183" s="2"/>
      <c r="H183" s="205"/>
      <c r="J183" s="34">
        <v>15</v>
      </c>
      <c r="K183" s="2"/>
      <c r="L183" s="205"/>
      <c r="P183" s="34">
        <v>15</v>
      </c>
      <c r="Q183" s="2"/>
      <c r="R183" s="205"/>
      <c r="T183" s="34">
        <v>15</v>
      </c>
      <c r="U183" s="252"/>
      <c r="V183" s="253"/>
      <c r="X183" s="34">
        <v>15</v>
      </c>
      <c r="Y183" s="252"/>
      <c r="Z183" s="253"/>
      <c r="AC183" s="5"/>
      <c r="AG183" s="34">
        <v>15</v>
      </c>
      <c r="AH183" s="2"/>
      <c r="AI183" s="205"/>
      <c r="AK183" s="34">
        <v>15</v>
      </c>
      <c r="AL183" s="2"/>
      <c r="AM183" s="205"/>
      <c r="AO183" s="34">
        <v>15</v>
      </c>
      <c r="AP183" s="2"/>
      <c r="AQ183" s="205"/>
      <c r="AU183" s="34">
        <v>15</v>
      </c>
      <c r="AV183" s="3"/>
      <c r="AW183" s="77"/>
      <c r="AY183" s="34">
        <v>15</v>
      </c>
      <c r="AZ183" s="2"/>
      <c r="BA183" s="205"/>
      <c r="BC183" s="34">
        <v>15</v>
      </c>
      <c r="BD183" s="3"/>
      <c r="BE183" s="77"/>
      <c r="BH183" s="5"/>
      <c r="BL183" s="34">
        <v>15</v>
      </c>
      <c r="BM183" s="3"/>
      <c r="BN183" s="77"/>
      <c r="BP183" s="34">
        <v>15</v>
      </c>
      <c r="BQ183" s="3"/>
      <c r="BR183" s="77"/>
      <c r="BV183" s="34">
        <v>15</v>
      </c>
      <c r="BW183" s="3"/>
      <c r="BX183" s="77"/>
      <c r="BZ183" s="34">
        <v>15</v>
      </c>
      <c r="CA183" s="3"/>
      <c r="CB183" s="77"/>
    </row>
    <row r="184" spans="2:80">
      <c r="B184" s="34">
        <v>16</v>
      </c>
      <c r="C184" s="252"/>
      <c r="D184" s="253"/>
      <c r="F184" s="34">
        <v>16</v>
      </c>
      <c r="G184" s="2"/>
      <c r="H184" s="205"/>
      <c r="J184" s="34">
        <v>16</v>
      </c>
      <c r="K184" s="2"/>
      <c r="L184" s="205"/>
      <c r="P184" s="34">
        <v>16</v>
      </c>
      <c r="Q184" s="2"/>
      <c r="R184" s="205"/>
      <c r="T184" s="34">
        <v>16</v>
      </c>
      <c r="U184" s="2"/>
      <c r="V184" s="205"/>
      <c r="X184" s="34">
        <v>16</v>
      </c>
      <c r="Y184" s="2"/>
      <c r="Z184" s="205"/>
      <c r="AC184" s="5"/>
      <c r="AG184" s="34">
        <v>16</v>
      </c>
      <c r="AH184" s="2"/>
      <c r="AI184" s="205"/>
      <c r="AK184" s="34">
        <v>16</v>
      </c>
      <c r="AL184" s="2"/>
      <c r="AM184" s="205"/>
      <c r="AO184" s="34">
        <v>16</v>
      </c>
      <c r="AP184" s="2"/>
      <c r="AQ184" s="205"/>
      <c r="AU184" s="34">
        <v>16</v>
      </c>
      <c r="AV184" s="3"/>
      <c r="AW184" s="77"/>
      <c r="AY184" s="34">
        <v>16</v>
      </c>
      <c r="AZ184" s="2"/>
      <c r="BA184" s="205"/>
      <c r="BC184" s="34">
        <v>16</v>
      </c>
      <c r="BD184" s="3"/>
      <c r="BE184" s="77"/>
      <c r="BH184" s="5"/>
      <c r="BL184" s="34">
        <v>16</v>
      </c>
      <c r="BM184" s="3"/>
      <c r="BN184" s="77"/>
      <c r="BP184" s="34">
        <v>16</v>
      </c>
      <c r="BQ184" s="3"/>
      <c r="BR184" s="77"/>
      <c r="BV184" s="34">
        <v>16</v>
      </c>
      <c r="BW184" s="3"/>
      <c r="BX184" s="77"/>
      <c r="BZ184" s="34">
        <v>16</v>
      </c>
      <c r="CA184" s="3"/>
      <c r="CB184" s="77"/>
    </row>
    <row r="185" spans="2:80">
      <c r="B185" s="34">
        <v>17</v>
      </c>
      <c r="C185" s="2"/>
      <c r="D185" s="205"/>
      <c r="F185" s="34">
        <v>17</v>
      </c>
      <c r="G185" s="2"/>
      <c r="H185" s="205"/>
      <c r="J185" s="34">
        <v>17</v>
      </c>
      <c r="K185" s="2"/>
      <c r="L185" s="205"/>
      <c r="P185" s="34">
        <v>17</v>
      </c>
      <c r="Q185" s="2"/>
      <c r="R185" s="205"/>
      <c r="T185" s="34">
        <v>17</v>
      </c>
      <c r="U185" s="2"/>
      <c r="V185" s="205"/>
      <c r="X185" s="34">
        <v>17</v>
      </c>
      <c r="Y185" s="2"/>
      <c r="Z185" s="205"/>
      <c r="AC185" s="5"/>
      <c r="AG185" s="34">
        <v>17</v>
      </c>
      <c r="AH185" s="2"/>
      <c r="AI185" s="205"/>
      <c r="AK185" s="34">
        <v>17</v>
      </c>
      <c r="AL185" s="2"/>
      <c r="AM185" s="205"/>
      <c r="AO185" s="34">
        <v>17</v>
      </c>
      <c r="AP185" s="2"/>
      <c r="AQ185" s="205"/>
      <c r="AU185" s="34">
        <v>17</v>
      </c>
      <c r="AV185" s="3"/>
      <c r="AW185" s="77"/>
      <c r="AY185" s="34">
        <v>17</v>
      </c>
      <c r="AZ185" s="2"/>
      <c r="BA185" s="205"/>
      <c r="BC185" s="34">
        <v>17</v>
      </c>
      <c r="BD185" s="3"/>
      <c r="BE185" s="77"/>
      <c r="BH185" s="5"/>
      <c r="BL185" s="34">
        <v>17</v>
      </c>
      <c r="BM185" s="3"/>
      <c r="BN185" s="77"/>
      <c r="BP185" s="34">
        <v>17</v>
      </c>
      <c r="BQ185" s="3"/>
      <c r="BR185" s="77"/>
      <c r="BV185" s="34">
        <v>17</v>
      </c>
      <c r="BW185" s="3"/>
      <c r="BX185" s="77"/>
      <c r="BZ185" s="34">
        <v>17</v>
      </c>
      <c r="CA185" s="3"/>
      <c r="CB185" s="77"/>
    </row>
    <row r="186" spans="2:80">
      <c r="B186" s="34">
        <v>18</v>
      </c>
      <c r="C186" s="2"/>
      <c r="D186" s="205"/>
      <c r="F186" s="34">
        <v>18</v>
      </c>
      <c r="G186" s="2"/>
      <c r="H186" s="205"/>
      <c r="J186" s="34">
        <v>18</v>
      </c>
      <c r="K186" s="2"/>
      <c r="L186" s="205"/>
      <c r="P186" s="34">
        <v>18</v>
      </c>
      <c r="Q186" s="2"/>
      <c r="R186" s="205"/>
      <c r="T186" s="34">
        <v>18</v>
      </c>
      <c r="U186" s="3"/>
      <c r="V186" s="77"/>
      <c r="X186" s="34">
        <v>18</v>
      </c>
      <c r="Y186" s="2"/>
      <c r="Z186" s="205"/>
      <c r="AC186" s="5"/>
      <c r="AG186" s="34">
        <v>18</v>
      </c>
      <c r="AH186" s="2"/>
      <c r="AI186" s="205"/>
      <c r="AK186" s="34">
        <v>18</v>
      </c>
      <c r="AL186" s="2"/>
      <c r="AM186" s="205"/>
      <c r="AO186" s="34">
        <v>18</v>
      </c>
      <c r="AP186" s="2"/>
      <c r="AQ186" s="205"/>
      <c r="AU186" s="34">
        <v>18</v>
      </c>
      <c r="AV186" s="3"/>
      <c r="AW186" s="205"/>
      <c r="AY186" s="34">
        <v>18</v>
      </c>
      <c r="AZ186" s="2"/>
      <c r="BA186" s="205"/>
      <c r="BC186" s="34">
        <v>18</v>
      </c>
      <c r="BD186" s="3"/>
      <c r="BE186" s="205"/>
      <c r="BH186" s="5"/>
      <c r="BL186" s="34">
        <v>18</v>
      </c>
      <c r="BM186" s="3"/>
      <c r="BN186" s="77"/>
      <c r="BP186" s="34">
        <v>18</v>
      </c>
      <c r="BQ186" s="3"/>
      <c r="BR186" s="77"/>
      <c r="BV186" s="34">
        <v>18</v>
      </c>
      <c r="BW186" s="3"/>
      <c r="BX186" s="77"/>
      <c r="BZ186" s="34">
        <v>18</v>
      </c>
      <c r="CA186" s="3"/>
      <c r="CB186" s="77"/>
    </row>
    <row r="187" spans="2:80">
      <c r="B187" s="34">
        <v>19</v>
      </c>
      <c r="C187" s="2"/>
      <c r="D187" s="205"/>
      <c r="F187" s="34">
        <v>19</v>
      </c>
      <c r="G187" s="2"/>
      <c r="H187" s="205"/>
      <c r="J187" s="34">
        <v>19</v>
      </c>
      <c r="K187" s="2"/>
      <c r="L187" s="205"/>
      <c r="P187" s="34">
        <v>19</v>
      </c>
      <c r="Q187" s="2"/>
      <c r="R187" s="205"/>
      <c r="T187" s="34">
        <v>19</v>
      </c>
      <c r="U187" s="3"/>
      <c r="V187" s="77"/>
      <c r="X187" s="34">
        <v>19</v>
      </c>
      <c r="Y187" s="2"/>
      <c r="Z187" s="205"/>
      <c r="AC187" s="5"/>
      <c r="AG187" s="34">
        <v>19</v>
      </c>
      <c r="AH187" s="2"/>
      <c r="AI187" s="205"/>
      <c r="AK187" s="34">
        <v>19</v>
      </c>
      <c r="AL187" s="2"/>
      <c r="AM187" s="205"/>
      <c r="AO187" s="34">
        <v>19</v>
      </c>
      <c r="AP187" s="2"/>
      <c r="AQ187" s="205"/>
      <c r="AU187" s="34">
        <v>19</v>
      </c>
      <c r="AV187" s="3"/>
      <c r="AW187" s="77"/>
      <c r="AY187" s="34">
        <v>19</v>
      </c>
      <c r="AZ187" s="2"/>
      <c r="BA187" s="205"/>
      <c r="BC187" s="34">
        <v>19</v>
      </c>
      <c r="BD187" s="3"/>
      <c r="BE187" s="77"/>
      <c r="BH187" s="5"/>
      <c r="BL187" s="34">
        <v>19</v>
      </c>
      <c r="BM187" s="3"/>
      <c r="BN187" s="77"/>
      <c r="BP187" s="34">
        <v>19</v>
      </c>
      <c r="BQ187" s="3"/>
      <c r="BR187" s="4"/>
      <c r="BV187" s="34">
        <v>19</v>
      </c>
      <c r="BW187" s="3"/>
      <c r="BX187" s="77"/>
      <c r="BZ187" s="34">
        <v>19</v>
      </c>
      <c r="CA187" s="3"/>
      <c r="CB187" s="77"/>
    </row>
    <row r="188" spans="2:80">
      <c r="B188" s="34">
        <v>20</v>
      </c>
      <c r="C188" s="2"/>
      <c r="D188" s="205"/>
      <c r="F188" s="34">
        <v>20</v>
      </c>
      <c r="G188" s="2"/>
      <c r="H188" s="205"/>
      <c r="J188" s="34">
        <v>20</v>
      </c>
      <c r="K188" s="3"/>
      <c r="L188" s="77"/>
      <c r="P188" s="34">
        <v>20</v>
      </c>
      <c r="Q188" s="2"/>
      <c r="R188" s="205"/>
      <c r="T188" s="34">
        <v>20</v>
      </c>
      <c r="U188" s="2"/>
      <c r="V188" s="205"/>
      <c r="X188" s="34">
        <v>20</v>
      </c>
      <c r="Y188" s="2"/>
      <c r="Z188" s="205"/>
      <c r="AC188" s="5"/>
      <c r="AG188" s="34">
        <v>20</v>
      </c>
      <c r="AH188" s="2"/>
      <c r="AI188" s="205"/>
      <c r="AK188" s="34">
        <v>20</v>
      </c>
      <c r="AL188" s="2"/>
      <c r="AM188" s="205"/>
      <c r="AO188" s="34">
        <v>20</v>
      </c>
      <c r="AP188" s="2"/>
      <c r="AQ188" s="205"/>
      <c r="AU188" s="34">
        <v>20</v>
      </c>
      <c r="AV188" s="3"/>
      <c r="AW188" s="77"/>
      <c r="AY188" s="34">
        <v>20</v>
      </c>
      <c r="AZ188" s="2"/>
      <c r="BA188" s="205"/>
      <c r="BC188" s="34">
        <v>20</v>
      </c>
      <c r="BD188" s="3"/>
      <c r="BE188" s="77"/>
      <c r="BH188" s="5"/>
      <c r="BL188" s="34">
        <v>20</v>
      </c>
      <c r="BM188" s="3"/>
      <c r="BN188" s="77"/>
      <c r="BP188" s="34">
        <v>20</v>
      </c>
      <c r="BQ188" s="3"/>
      <c r="BR188" s="77"/>
      <c r="BV188" s="34">
        <v>20</v>
      </c>
      <c r="BW188" s="3"/>
      <c r="BX188" s="77"/>
      <c r="BZ188" s="34">
        <v>20</v>
      </c>
      <c r="CA188" s="3"/>
      <c r="CB188" s="77"/>
    </row>
    <row r="189" spans="2:80">
      <c r="B189" s="34">
        <v>21</v>
      </c>
      <c r="C189" s="2"/>
      <c r="D189" s="205"/>
      <c r="F189" s="34">
        <v>21</v>
      </c>
      <c r="G189" s="2"/>
      <c r="H189" s="205"/>
      <c r="J189" s="34">
        <v>21</v>
      </c>
      <c r="K189" s="2"/>
      <c r="L189" s="205"/>
      <c r="P189" s="34">
        <v>21</v>
      </c>
      <c r="Q189" s="2"/>
      <c r="R189" s="205"/>
      <c r="T189" s="34">
        <v>21</v>
      </c>
      <c r="U189" s="2"/>
      <c r="V189" s="205"/>
      <c r="X189" s="34">
        <v>21</v>
      </c>
      <c r="Y189" s="2"/>
      <c r="Z189" s="205"/>
      <c r="AC189" s="5"/>
      <c r="AG189" s="34">
        <v>21</v>
      </c>
      <c r="AH189" s="2"/>
      <c r="AI189" s="205"/>
      <c r="AK189" s="34">
        <v>21</v>
      </c>
      <c r="AL189" s="2"/>
      <c r="AM189" s="205"/>
      <c r="AO189" s="34">
        <v>21</v>
      </c>
      <c r="AP189" s="2"/>
      <c r="AQ189" s="205"/>
      <c r="AU189" s="34">
        <v>21</v>
      </c>
      <c r="AV189" s="3"/>
      <c r="AW189" s="77"/>
      <c r="AY189" s="34">
        <v>21</v>
      </c>
      <c r="AZ189" s="2"/>
      <c r="BA189" s="205"/>
      <c r="BC189" s="34">
        <v>21</v>
      </c>
      <c r="BD189" s="3"/>
      <c r="BE189" s="77"/>
      <c r="BH189" s="5"/>
      <c r="BL189" s="34">
        <v>21</v>
      </c>
      <c r="BM189" s="3"/>
      <c r="BN189" s="77"/>
      <c r="BP189" s="34">
        <v>21</v>
      </c>
      <c r="BQ189" s="3"/>
      <c r="BR189" s="77"/>
      <c r="BV189" s="34">
        <v>21</v>
      </c>
      <c r="BW189" s="3"/>
      <c r="BX189" s="4"/>
      <c r="BZ189" s="34">
        <v>21</v>
      </c>
      <c r="CA189" s="3"/>
      <c r="CB189" s="77"/>
    </row>
    <row r="190" spans="2:80">
      <c r="B190" s="34">
        <v>22</v>
      </c>
      <c r="C190" s="2"/>
      <c r="D190" s="205"/>
      <c r="F190" s="34">
        <v>22</v>
      </c>
      <c r="G190" s="2"/>
      <c r="H190" s="205"/>
      <c r="J190" s="34">
        <v>22</v>
      </c>
      <c r="K190" s="2"/>
      <c r="L190" s="205"/>
      <c r="P190" s="34">
        <v>22</v>
      </c>
      <c r="Q190" s="2"/>
      <c r="R190" s="205"/>
      <c r="T190" s="34">
        <v>22</v>
      </c>
      <c r="U190" s="2"/>
      <c r="V190" s="205"/>
      <c r="X190" s="34">
        <v>22</v>
      </c>
      <c r="Y190" s="2"/>
      <c r="Z190" s="205"/>
      <c r="AC190" s="5"/>
      <c r="AG190" s="34">
        <v>22</v>
      </c>
      <c r="AH190" s="2"/>
      <c r="AI190" s="205"/>
      <c r="AK190" s="34">
        <v>22</v>
      </c>
      <c r="AL190" s="2"/>
      <c r="AM190" s="205"/>
      <c r="AO190" s="34">
        <v>22</v>
      </c>
      <c r="AP190" s="2"/>
      <c r="AQ190" s="205"/>
      <c r="AU190" s="34">
        <v>22</v>
      </c>
      <c r="AV190" s="3"/>
      <c r="AW190" s="77"/>
      <c r="AY190" s="34">
        <v>22</v>
      </c>
      <c r="AZ190" s="2"/>
      <c r="BA190" s="205"/>
      <c r="BC190" s="34">
        <v>22</v>
      </c>
      <c r="BD190" s="3"/>
      <c r="BE190" s="77"/>
      <c r="BH190" s="5"/>
      <c r="BL190" s="34">
        <v>22</v>
      </c>
      <c r="BM190" s="3"/>
      <c r="BN190" s="4"/>
      <c r="BP190" s="34">
        <v>22</v>
      </c>
      <c r="BQ190" s="3"/>
      <c r="BR190" s="4"/>
      <c r="BV190" s="34">
        <v>22</v>
      </c>
      <c r="BW190" s="3"/>
      <c r="BX190" s="4"/>
      <c r="BZ190" s="34">
        <v>22</v>
      </c>
      <c r="CA190" s="3"/>
      <c r="CB190" s="4"/>
    </row>
    <row r="191" spans="2:80">
      <c r="B191" s="34">
        <v>23</v>
      </c>
      <c r="C191" s="3"/>
      <c r="D191" s="77"/>
      <c r="F191" s="34">
        <v>23</v>
      </c>
      <c r="G191" s="3"/>
      <c r="H191" s="77"/>
      <c r="J191" s="34">
        <v>23</v>
      </c>
      <c r="K191" s="3"/>
      <c r="L191" s="77"/>
      <c r="P191" s="34">
        <v>23</v>
      </c>
      <c r="Q191" s="2"/>
      <c r="R191" s="205"/>
      <c r="T191" s="34">
        <v>23</v>
      </c>
      <c r="U191" s="2"/>
      <c r="V191" s="205"/>
      <c r="X191" s="34">
        <v>23</v>
      </c>
      <c r="Y191" s="3"/>
      <c r="Z191" s="77"/>
      <c r="AC191" s="5"/>
      <c r="AG191" s="34">
        <v>23</v>
      </c>
      <c r="AH191" s="2"/>
      <c r="AI191" s="205"/>
      <c r="AK191" s="34">
        <v>23</v>
      </c>
      <c r="AL191" s="2"/>
      <c r="AM191" s="205"/>
      <c r="AO191" s="34">
        <v>23</v>
      </c>
      <c r="AP191" s="2"/>
      <c r="AQ191" s="205"/>
      <c r="AU191" s="34">
        <v>23</v>
      </c>
      <c r="AV191" s="3"/>
      <c r="AW191" s="77"/>
      <c r="AY191" s="34">
        <v>23</v>
      </c>
      <c r="AZ191" s="3"/>
      <c r="BA191" s="77"/>
      <c r="BC191" s="34">
        <v>23</v>
      </c>
      <c r="BD191" s="3"/>
      <c r="BE191" s="77"/>
      <c r="BH191" s="5"/>
      <c r="BL191" s="34">
        <v>23</v>
      </c>
      <c r="BM191" s="3"/>
      <c r="BN191" s="4"/>
      <c r="BP191" s="34">
        <v>23</v>
      </c>
      <c r="BQ191" s="3"/>
      <c r="BR191" s="4"/>
      <c r="BV191" s="34">
        <v>23</v>
      </c>
      <c r="BW191" s="3"/>
      <c r="BX191" s="4"/>
      <c r="BZ191" s="34">
        <v>23</v>
      </c>
      <c r="CA191" s="3"/>
      <c r="CB191" s="4"/>
    </row>
    <row r="192" spans="2:80">
      <c r="AC192" s="5"/>
      <c r="AG192" s="10"/>
      <c r="AH192" s="13"/>
      <c r="AI192" s="206"/>
      <c r="AK192" s="12"/>
      <c r="AL192" s="13"/>
      <c r="AM192" s="206"/>
      <c r="AO192" s="10"/>
      <c r="AP192" s="13"/>
      <c r="AQ192" s="206"/>
      <c r="AU192"/>
      <c r="BC192"/>
      <c r="BH192" s="5"/>
    </row>
    <row r="193" spans="2:86">
      <c r="AC193" s="5"/>
      <c r="AU193"/>
      <c r="BC193"/>
      <c r="BH193" s="5"/>
    </row>
    <row r="194" spans="2:86">
      <c r="AC194" s="5"/>
      <c r="AU194"/>
      <c r="BC194"/>
      <c r="BH194" s="5"/>
    </row>
    <row r="195" spans="2:86" s="1" customFormat="1" ht="20.25">
      <c r="B195" s="54"/>
      <c r="C195" s="55">
        <f>'NRB 공장 내부 배치도'!C12</f>
        <v>0</v>
      </c>
      <c r="D195" s="199"/>
      <c r="F195" s="54"/>
      <c r="G195" s="55">
        <f>'NRB 공장 내부 배치도'!D12</f>
        <v>0</v>
      </c>
      <c r="H195" s="199"/>
      <c r="J195" s="54"/>
      <c r="K195" s="55">
        <f>'NRB 공장 내부 배치도'!E12</f>
        <v>0</v>
      </c>
      <c r="L195" s="199"/>
      <c r="O195"/>
      <c r="P195" s="54"/>
      <c r="Q195" s="55">
        <f>'NRB 공장 내부 배치도'!G12</f>
        <v>0</v>
      </c>
      <c r="R195" s="199"/>
      <c r="T195" s="54"/>
      <c r="U195" s="55">
        <f>'NRB 공장 내부 배치도'!H12</f>
        <v>0</v>
      </c>
      <c r="V195" s="199"/>
      <c r="X195" s="54"/>
      <c r="Y195" s="55" t="str">
        <f>'NRB 공장 내부 배치도'!I12</f>
        <v>BH조립다이
403-7-8</v>
      </c>
      <c r="Z195" s="199"/>
      <c r="AC195" s="71"/>
      <c r="AG195" s="54"/>
      <c r="AH195" s="55">
        <f>'NRB 공장 내부 배치도'!L12</f>
        <v>0</v>
      </c>
      <c r="AI195" s="199"/>
      <c r="AK195" s="54"/>
      <c r="AL195" s="55">
        <f>'NRB 공장 내부 배치도'!M12</f>
        <v>0</v>
      </c>
      <c r="AM195" s="199"/>
      <c r="AO195" s="54"/>
      <c r="AP195" s="55">
        <f>'NRB 공장 내부 배치도'!N12</f>
        <v>0</v>
      </c>
      <c r="AQ195" s="199"/>
      <c r="AU195" s="54"/>
      <c r="AV195" s="55">
        <f>'NRB 공장 내부 배치도'!P12</f>
        <v>0</v>
      </c>
      <c r="AW195" s="201"/>
      <c r="AY195" s="54"/>
      <c r="AZ195" s="55">
        <f>'NRB 공장 내부 배치도'!Q12</f>
        <v>0</v>
      </c>
      <c r="BA195" s="199"/>
      <c r="BC195" s="54"/>
      <c r="BD195" s="55">
        <f>'NRB 공장 내부 배치도'!R12</f>
        <v>0</v>
      </c>
      <c r="BE195" s="201"/>
      <c r="BF195" s="204"/>
      <c r="BH195" s="71"/>
      <c r="BL195" s="54"/>
      <c r="BM195" s="55">
        <f>'NRB 공장 내부 배치도'!U12</f>
        <v>0</v>
      </c>
      <c r="BN195" s="56"/>
      <c r="BP195" s="54"/>
      <c r="BQ195" s="55" t="e">
        <f>'NRB야외 야적장 제품배치도(구)'!#REF!</f>
        <v>#REF!</v>
      </c>
      <c r="BR195" s="56"/>
      <c r="BV195" s="54"/>
      <c r="BW195" s="55">
        <f>'NRB 공장 내부 배치도'!X12</f>
        <v>0</v>
      </c>
      <c r="BX195" s="56"/>
      <c r="BZ195" s="54"/>
      <c r="CA195" s="55">
        <f>'NRB 공장 내부 배치도'!Y12</f>
        <v>0</v>
      </c>
      <c r="CB195" s="56"/>
      <c r="CF195" s="71"/>
      <c r="CG195" s="71"/>
      <c r="CH195" s="71"/>
    </row>
    <row r="196" spans="2:86">
      <c r="B196" s="34">
        <v>1</v>
      </c>
      <c r="C196" s="2"/>
      <c r="D196" s="205"/>
      <c r="F196" s="34">
        <v>1</v>
      </c>
      <c r="G196" s="252"/>
      <c r="H196" s="253"/>
      <c r="J196" s="34">
        <v>1</v>
      </c>
      <c r="K196" s="139"/>
      <c r="L196" s="205"/>
      <c r="P196" s="34">
        <v>1</v>
      </c>
      <c r="Q196" s="2"/>
      <c r="R196" s="205"/>
      <c r="T196" s="34">
        <v>1</v>
      </c>
      <c r="U196" s="252"/>
      <c r="V196" s="253"/>
      <c r="X196" s="34">
        <v>1</v>
      </c>
      <c r="Y196" s="252"/>
      <c r="Z196" s="253"/>
      <c r="AC196" s="5"/>
      <c r="AG196" s="34">
        <v>1</v>
      </c>
      <c r="AH196" s="2"/>
      <c r="AI196" s="205"/>
      <c r="AK196" s="34">
        <v>1</v>
      </c>
      <c r="AL196" s="2"/>
      <c r="AM196" s="205"/>
      <c r="AO196" s="34">
        <v>1</v>
      </c>
      <c r="AP196" s="2"/>
      <c r="AQ196" s="205"/>
      <c r="AU196" s="34">
        <v>1</v>
      </c>
      <c r="AV196" s="2"/>
      <c r="AW196" s="205"/>
      <c r="AY196" s="34">
        <v>1</v>
      </c>
      <c r="AZ196" s="2"/>
      <c r="BA196" s="205"/>
      <c r="BC196" s="34">
        <v>1</v>
      </c>
      <c r="BD196" s="2"/>
      <c r="BE196" s="205"/>
      <c r="BH196" s="5"/>
      <c r="BL196" s="34">
        <v>1</v>
      </c>
      <c r="BM196" s="3"/>
      <c r="BN196" s="77"/>
      <c r="BP196" s="34">
        <v>1</v>
      </c>
      <c r="BQ196" s="3"/>
      <c r="BR196" s="77"/>
      <c r="BV196" s="34">
        <v>1</v>
      </c>
      <c r="BW196" s="3"/>
      <c r="BX196" s="77"/>
      <c r="BZ196" s="34">
        <v>1</v>
      </c>
      <c r="CA196" s="3"/>
      <c r="CB196" s="77"/>
    </row>
    <row r="197" spans="2:86">
      <c r="B197" s="34">
        <v>2</v>
      </c>
      <c r="C197" s="2"/>
      <c r="D197" s="205"/>
      <c r="F197" s="34">
        <v>2</v>
      </c>
      <c r="G197" s="252"/>
      <c r="H197" s="253"/>
      <c r="J197" s="34">
        <v>2</v>
      </c>
      <c r="K197" s="2"/>
      <c r="L197" s="205"/>
      <c r="P197" s="34">
        <v>2</v>
      </c>
      <c r="Q197" s="2"/>
      <c r="R197" s="205"/>
      <c r="T197" s="34">
        <v>2</v>
      </c>
      <c r="U197" s="252"/>
      <c r="V197" s="253"/>
      <c r="X197" s="34">
        <v>2</v>
      </c>
      <c r="Y197" s="252"/>
      <c r="Z197" s="253"/>
      <c r="AC197" s="5"/>
      <c r="AG197" s="34">
        <v>2</v>
      </c>
      <c r="AH197" s="2"/>
      <c r="AI197" s="205"/>
      <c r="AK197" s="34">
        <v>2</v>
      </c>
      <c r="AL197" s="2"/>
      <c r="AM197" s="205"/>
      <c r="AO197" s="34">
        <v>2</v>
      </c>
      <c r="AP197" s="2"/>
      <c r="AQ197" s="205"/>
      <c r="AU197" s="34">
        <v>2</v>
      </c>
      <c r="AV197" s="2"/>
      <c r="AW197" s="205"/>
      <c r="AY197" s="34">
        <v>2</v>
      </c>
      <c r="AZ197" s="2"/>
      <c r="BA197" s="205"/>
      <c r="BC197" s="34">
        <v>2</v>
      </c>
      <c r="BD197" s="2"/>
      <c r="BE197" s="205"/>
      <c r="BH197" s="5"/>
      <c r="BL197" s="34">
        <v>2</v>
      </c>
      <c r="BM197" s="3"/>
      <c r="BN197" s="77"/>
      <c r="BP197" s="34">
        <v>2</v>
      </c>
      <c r="BQ197" s="3"/>
      <c r="BR197" s="77"/>
      <c r="BV197" s="34">
        <v>2</v>
      </c>
      <c r="BW197" s="3"/>
      <c r="BX197" s="77"/>
      <c r="BZ197" s="34">
        <v>2</v>
      </c>
      <c r="CA197" s="3"/>
      <c r="CB197" s="77"/>
    </row>
    <row r="198" spans="2:86">
      <c r="B198" s="34">
        <v>3</v>
      </c>
      <c r="C198" s="2"/>
      <c r="D198" s="205"/>
      <c r="F198" s="34">
        <v>3</v>
      </c>
      <c r="G198" s="252"/>
      <c r="H198" s="253"/>
      <c r="J198" s="34">
        <v>3</v>
      </c>
      <c r="K198" s="2"/>
      <c r="L198" s="205"/>
      <c r="P198" s="34">
        <v>3</v>
      </c>
      <c r="Q198" s="2"/>
      <c r="R198" s="205"/>
      <c r="T198" s="34">
        <v>3</v>
      </c>
      <c r="U198" s="252"/>
      <c r="V198" s="253"/>
      <c r="X198" s="34">
        <v>3</v>
      </c>
      <c r="Y198" s="252"/>
      <c r="Z198" s="253"/>
      <c r="AC198" s="5"/>
      <c r="AG198" s="34">
        <v>3</v>
      </c>
      <c r="AH198" s="2"/>
      <c r="AI198" s="205"/>
      <c r="AK198" s="34">
        <v>3</v>
      </c>
      <c r="AL198" s="2"/>
      <c r="AM198" s="205"/>
      <c r="AO198" s="34">
        <v>3</v>
      </c>
      <c r="AP198" s="2"/>
      <c r="AQ198" s="205"/>
      <c r="AU198" s="34">
        <v>3</v>
      </c>
      <c r="AV198" s="2"/>
      <c r="AW198" s="205"/>
      <c r="AY198" s="34">
        <v>3</v>
      </c>
      <c r="AZ198" s="2"/>
      <c r="BA198" s="205"/>
      <c r="BC198" s="34">
        <v>3</v>
      </c>
      <c r="BD198" s="2"/>
      <c r="BE198" s="205"/>
      <c r="BH198" s="5"/>
      <c r="BL198" s="34">
        <v>3</v>
      </c>
      <c r="BM198" s="3"/>
      <c r="BN198" s="77"/>
      <c r="BP198" s="34">
        <v>3</v>
      </c>
      <c r="BQ198" s="3"/>
      <c r="BR198" s="77"/>
      <c r="BV198" s="34">
        <v>3</v>
      </c>
      <c r="BW198" s="3"/>
      <c r="BX198" s="77"/>
      <c r="BZ198" s="34">
        <v>3</v>
      </c>
      <c r="CA198" s="3"/>
      <c r="CB198" s="77"/>
    </row>
    <row r="199" spans="2:86">
      <c r="B199" s="34">
        <v>4</v>
      </c>
      <c r="C199" s="2"/>
      <c r="D199" s="205"/>
      <c r="F199" s="34">
        <v>4</v>
      </c>
      <c r="G199" s="252"/>
      <c r="H199" s="253"/>
      <c r="J199" s="34">
        <v>4</v>
      </c>
      <c r="K199" s="2"/>
      <c r="L199" s="205"/>
      <c r="P199" s="34">
        <v>4</v>
      </c>
      <c r="Q199" s="2"/>
      <c r="R199" s="205"/>
      <c r="T199" s="34">
        <v>4</v>
      </c>
      <c r="U199" s="252"/>
      <c r="V199" s="253"/>
      <c r="X199" s="34">
        <v>4</v>
      </c>
      <c r="Y199" s="252"/>
      <c r="Z199" s="253"/>
      <c r="AC199" s="5"/>
      <c r="AG199" s="34">
        <v>4</v>
      </c>
      <c r="AH199" s="2"/>
      <c r="AI199" s="205"/>
      <c r="AK199" s="34">
        <v>4</v>
      </c>
      <c r="AL199" s="2"/>
      <c r="AM199" s="205"/>
      <c r="AO199" s="34">
        <v>4</v>
      </c>
      <c r="AP199" s="2"/>
      <c r="AQ199" s="205"/>
      <c r="AU199" s="34">
        <v>4</v>
      </c>
      <c r="AV199" s="2"/>
      <c r="AW199" s="205"/>
      <c r="AY199" s="34">
        <v>4</v>
      </c>
      <c r="AZ199" s="2"/>
      <c r="BA199" s="205"/>
      <c r="BC199" s="34">
        <v>4</v>
      </c>
      <c r="BD199" s="2"/>
      <c r="BE199" s="205"/>
      <c r="BH199" s="5"/>
      <c r="BL199" s="34">
        <v>4</v>
      </c>
      <c r="BM199" s="3"/>
      <c r="BN199" s="77"/>
      <c r="BP199" s="34">
        <v>4</v>
      </c>
      <c r="BQ199" s="3"/>
      <c r="BR199" s="77"/>
      <c r="BV199" s="34">
        <v>4</v>
      </c>
      <c r="BW199" s="3"/>
      <c r="BX199" s="77"/>
      <c r="BZ199" s="34">
        <v>4</v>
      </c>
      <c r="CA199" s="3"/>
      <c r="CB199" s="77"/>
    </row>
    <row r="200" spans="2:86">
      <c r="B200" s="34">
        <v>5</v>
      </c>
      <c r="C200" s="2"/>
      <c r="D200" s="205"/>
      <c r="F200" s="34">
        <v>5</v>
      </c>
      <c r="G200" s="252"/>
      <c r="H200" s="253"/>
      <c r="J200" s="34">
        <v>5</v>
      </c>
      <c r="K200" s="2"/>
      <c r="L200" s="205"/>
      <c r="P200" s="34">
        <v>5</v>
      </c>
      <c r="Q200" s="2"/>
      <c r="R200" s="216"/>
      <c r="T200" s="34">
        <v>5</v>
      </c>
      <c r="U200" s="252"/>
      <c r="V200" s="254"/>
      <c r="X200" s="34">
        <v>5</v>
      </c>
      <c r="Y200" s="252"/>
      <c r="Z200" s="254"/>
      <c r="AC200" s="5"/>
      <c r="AG200" s="34">
        <v>5</v>
      </c>
      <c r="AH200" s="2"/>
      <c r="AI200" s="205"/>
      <c r="AK200" s="34">
        <v>5</v>
      </c>
      <c r="AL200" s="2"/>
      <c r="AM200" s="205"/>
      <c r="AO200" s="34">
        <v>5</v>
      </c>
      <c r="AP200" s="2"/>
      <c r="AQ200" s="205"/>
      <c r="AT200" s="130"/>
      <c r="AU200" s="34">
        <v>5</v>
      </c>
      <c r="AV200" s="2"/>
      <c r="AW200" s="205"/>
      <c r="AY200" s="34">
        <v>5</v>
      </c>
      <c r="AZ200" s="2"/>
      <c r="BA200" s="205"/>
      <c r="BC200" s="34">
        <v>5</v>
      </c>
      <c r="BD200" s="2"/>
      <c r="BE200" s="205"/>
      <c r="BH200" s="5"/>
      <c r="BL200" s="34">
        <v>5</v>
      </c>
      <c r="BM200" s="3"/>
      <c r="BN200" s="77"/>
      <c r="BP200" s="34">
        <v>5</v>
      </c>
      <c r="BQ200" s="3"/>
      <c r="BR200" s="77"/>
      <c r="BV200" s="34">
        <v>5</v>
      </c>
      <c r="BW200" s="3"/>
      <c r="BX200" s="77"/>
      <c r="BZ200" s="34">
        <v>5</v>
      </c>
      <c r="CA200" s="3"/>
      <c r="CB200" s="77"/>
    </row>
    <row r="201" spans="2:86">
      <c r="B201" s="34">
        <v>6</v>
      </c>
      <c r="C201" s="2"/>
      <c r="D201" s="205"/>
      <c r="F201" s="34">
        <v>6</v>
      </c>
      <c r="G201" s="252"/>
      <c r="H201" s="253"/>
      <c r="J201" s="34">
        <v>6</v>
      </c>
      <c r="K201" s="2"/>
      <c r="L201" s="205"/>
      <c r="P201" s="34">
        <v>6</v>
      </c>
      <c r="Q201" s="2"/>
      <c r="R201" s="205"/>
      <c r="T201" s="34">
        <v>6</v>
      </c>
      <c r="U201" s="252"/>
      <c r="V201" s="253"/>
      <c r="X201" s="34">
        <v>6</v>
      </c>
      <c r="Y201" s="252"/>
      <c r="Z201" s="253"/>
      <c r="AC201" s="5"/>
      <c r="AG201" s="34">
        <v>6</v>
      </c>
      <c r="AH201" s="2"/>
      <c r="AI201" s="205"/>
      <c r="AK201" s="34">
        <v>6</v>
      </c>
      <c r="AL201" s="2"/>
      <c r="AM201" s="205"/>
      <c r="AO201" s="34">
        <v>6</v>
      </c>
      <c r="AP201" s="2"/>
      <c r="AQ201" s="205"/>
      <c r="AU201" s="34">
        <v>6</v>
      </c>
      <c r="AV201" s="2"/>
      <c r="AW201" s="205"/>
      <c r="AY201" s="34">
        <v>6</v>
      </c>
      <c r="AZ201" s="2"/>
      <c r="BA201" s="205"/>
      <c r="BC201" s="34">
        <v>6</v>
      </c>
      <c r="BD201" s="2"/>
      <c r="BE201" s="205"/>
      <c r="BH201" s="5"/>
      <c r="BL201" s="34">
        <v>6</v>
      </c>
      <c r="BM201" s="3"/>
      <c r="BN201" s="77"/>
      <c r="BP201" s="34">
        <v>6</v>
      </c>
      <c r="BQ201" s="3"/>
      <c r="BR201" s="77"/>
      <c r="BV201" s="34">
        <v>6</v>
      </c>
      <c r="BW201" s="3"/>
      <c r="BX201" s="77"/>
      <c r="BZ201" s="34">
        <v>6</v>
      </c>
      <c r="CA201" s="3"/>
      <c r="CB201" s="77"/>
    </row>
    <row r="202" spans="2:86">
      <c r="B202" s="34">
        <v>7</v>
      </c>
      <c r="C202" s="2"/>
      <c r="D202" s="205"/>
      <c r="F202" s="34">
        <v>7</v>
      </c>
      <c r="G202" s="252"/>
      <c r="H202" s="253"/>
      <c r="J202" s="34">
        <v>7</v>
      </c>
      <c r="K202" s="2"/>
      <c r="L202" s="205"/>
      <c r="P202" s="34">
        <v>7</v>
      </c>
      <c r="Q202" s="2"/>
      <c r="R202" s="205"/>
      <c r="T202" s="34">
        <v>7</v>
      </c>
      <c r="U202" s="252"/>
      <c r="V202" s="253"/>
      <c r="X202" s="34">
        <v>7</v>
      </c>
      <c r="Y202" s="252"/>
      <c r="Z202" s="253"/>
      <c r="AC202" s="5"/>
      <c r="AG202" s="34">
        <v>7</v>
      </c>
      <c r="AH202" s="2"/>
      <c r="AI202" s="205"/>
      <c r="AK202" s="34">
        <v>7</v>
      </c>
      <c r="AL202" s="2"/>
      <c r="AM202" s="205"/>
      <c r="AO202" s="34">
        <v>7</v>
      </c>
      <c r="AP202" s="2"/>
      <c r="AQ202" s="205"/>
      <c r="AU202" s="34">
        <v>7</v>
      </c>
      <c r="AV202" s="2"/>
      <c r="AW202" s="205"/>
      <c r="AY202" s="34">
        <v>7</v>
      </c>
      <c r="AZ202" s="2"/>
      <c r="BA202" s="205"/>
      <c r="BC202" s="34">
        <v>7</v>
      </c>
      <c r="BD202" s="2"/>
      <c r="BE202" s="205"/>
      <c r="BH202" s="5"/>
      <c r="BL202" s="34">
        <v>7</v>
      </c>
      <c r="BM202" s="3"/>
      <c r="BN202" s="77"/>
      <c r="BP202" s="34">
        <v>7</v>
      </c>
      <c r="BQ202" s="3"/>
      <c r="BR202" s="77"/>
      <c r="BV202" s="34">
        <v>7</v>
      </c>
      <c r="BW202" s="3"/>
      <c r="BX202" s="77"/>
      <c r="BZ202" s="34">
        <v>7</v>
      </c>
      <c r="CA202" s="3"/>
      <c r="CB202" s="77"/>
    </row>
    <row r="203" spans="2:86">
      <c r="B203" s="34">
        <v>8</v>
      </c>
      <c r="C203" s="2"/>
      <c r="D203" s="205"/>
      <c r="F203" s="34">
        <v>8</v>
      </c>
      <c r="G203" s="252"/>
      <c r="H203" s="253"/>
      <c r="J203" s="34">
        <v>8</v>
      </c>
      <c r="K203" s="2"/>
      <c r="L203" s="205"/>
      <c r="P203" s="34">
        <v>8</v>
      </c>
      <c r="Q203" s="2"/>
      <c r="R203" s="205"/>
      <c r="T203" s="34">
        <v>8</v>
      </c>
      <c r="U203" s="252"/>
      <c r="V203" s="253"/>
      <c r="X203" s="34">
        <v>8</v>
      </c>
      <c r="Y203" s="252"/>
      <c r="Z203" s="253"/>
      <c r="AC203" s="5"/>
      <c r="AG203" s="34">
        <v>8</v>
      </c>
      <c r="AH203" s="2"/>
      <c r="AI203" s="205"/>
      <c r="AK203" s="34">
        <v>8</v>
      </c>
      <c r="AL203" s="2"/>
      <c r="AM203" s="205"/>
      <c r="AO203" s="34">
        <v>8</v>
      </c>
      <c r="AP203" s="2"/>
      <c r="AQ203" s="205"/>
      <c r="AU203" s="34">
        <v>8</v>
      </c>
      <c r="AV203" s="2"/>
      <c r="AW203" s="205"/>
      <c r="AY203" s="34">
        <v>8</v>
      </c>
      <c r="AZ203" s="2"/>
      <c r="BA203" s="205"/>
      <c r="BC203" s="34">
        <v>8</v>
      </c>
      <c r="BD203" s="2"/>
      <c r="BE203" s="205"/>
      <c r="BH203" s="5"/>
      <c r="BL203" s="34">
        <v>8</v>
      </c>
      <c r="BM203" s="3"/>
      <c r="BN203" s="77"/>
      <c r="BP203" s="34">
        <v>8</v>
      </c>
      <c r="BQ203" s="3"/>
      <c r="BR203" s="77"/>
      <c r="BV203" s="34">
        <v>8</v>
      </c>
      <c r="BW203" s="3"/>
      <c r="BX203" s="77"/>
      <c r="BZ203" s="34">
        <v>8</v>
      </c>
      <c r="CA203" s="3"/>
      <c r="CB203" s="77"/>
    </row>
    <row r="204" spans="2:86">
      <c r="B204" s="34">
        <v>9</v>
      </c>
      <c r="C204" s="2"/>
      <c r="D204" s="205"/>
      <c r="F204" s="34">
        <v>9</v>
      </c>
      <c r="G204" s="252"/>
      <c r="H204" s="253"/>
      <c r="J204" s="34">
        <v>9</v>
      </c>
      <c r="K204" s="2"/>
      <c r="L204" s="205"/>
      <c r="P204" s="34">
        <v>9</v>
      </c>
      <c r="Q204" s="2"/>
      <c r="R204" s="205"/>
      <c r="T204" s="34">
        <v>9</v>
      </c>
      <c r="U204" s="252"/>
      <c r="V204" s="253"/>
      <c r="X204" s="34">
        <v>9</v>
      </c>
      <c r="Y204" s="252"/>
      <c r="Z204" s="253"/>
      <c r="AC204" s="5"/>
      <c r="AG204" s="34">
        <v>9</v>
      </c>
      <c r="AH204" s="2"/>
      <c r="AI204" s="205"/>
      <c r="AK204" s="34">
        <v>9</v>
      </c>
      <c r="AL204" s="2"/>
      <c r="AM204" s="205"/>
      <c r="AO204" s="34">
        <v>9</v>
      </c>
      <c r="AP204" s="2"/>
      <c r="AQ204" s="205"/>
      <c r="AU204" s="34">
        <v>9</v>
      </c>
      <c r="AV204" s="2"/>
      <c r="AW204" s="205"/>
      <c r="AY204" s="34">
        <v>9</v>
      </c>
      <c r="AZ204" s="2"/>
      <c r="BA204" s="205"/>
      <c r="BC204" s="34">
        <v>9</v>
      </c>
      <c r="BD204" s="2"/>
      <c r="BE204" s="205"/>
      <c r="BH204" s="5"/>
      <c r="BL204" s="34">
        <v>9</v>
      </c>
      <c r="BM204" s="3"/>
      <c r="BN204" s="77"/>
      <c r="BP204" s="34">
        <v>9</v>
      </c>
      <c r="BQ204" s="3"/>
      <c r="BR204" s="77"/>
      <c r="BV204" s="34">
        <v>9</v>
      </c>
      <c r="BW204" s="3"/>
      <c r="BX204" s="77"/>
      <c r="BZ204" s="34">
        <v>9</v>
      </c>
      <c r="CA204" s="3"/>
      <c r="CB204" s="77"/>
    </row>
    <row r="205" spans="2:86">
      <c r="B205" s="34">
        <v>10</v>
      </c>
      <c r="C205" s="2"/>
      <c r="D205" s="205"/>
      <c r="F205" s="34">
        <v>10</v>
      </c>
      <c r="G205" s="252"/>
      <c r="H205" s="253"/>
      <c r="J205" s="34">
        <v>10</v>
      </c>
      <c r="K205" s="2"/>
      <c r="L205" s="205"/>
      <c r="P205" s="34">
        <v>10</v>
      </c>
      <c r="Q205" s="2"/>
      <c r="R205" s="205"/>
      <c r="T205" s="34">
        <v>10</v>
      </c>
      <c r="U205" s="252"/>
      <c r="V205" s="253"/>
      <c r="X205" s="34">
        <v>10</v>
      </c>
      <c r="Y205" s="252"/>
      <c r="Z205" s="253"/>
      <c r="AC205" s="5"/>
      <c r="AG205" s="34">
        <v>10</v>
      </c>
      <c r="AH205" s="2"/>
      <c r="AI205" s="205"/>
      <c r="AK205" s="34">
        <v>10</v>
      </c>
      <c r="AL205" s="2"/>
      <c r="AM205" s="205"/>
      <c r="AO205" s="34">
        <v>10</v>
      </c>
      <c r="AP205" s="2"/>
      <c r="AQ205" s="205"/>
      <c r="AU205" s="34">
        <v>10</v>
      </c>
      <c r="AV205" s="2"/>
      <c r="AW205" s="205"/>
      <c r="AY205" s="34">
        <v>10</v>
      </c>
      <c r="AZ205" s="2"/>
      <c r="BA205" s="205"/>
      <c r="BC205" s="34">
        <v>10</v>
      </c>
      <c r="BD205" s="2"/>
      <c r="BE205" s="205"/>
      <c r="BH205" s="5"/>
      <c r="BL205" s="34">
        <v>10</v>
      </c>
      <c r="BM205" s="3"/>
      <c r="BN205" s="77"/>
      <c r="BP205" s="34">
        <v>10</v>
      </c>
      <c r="BQ205" s="3"/>
      <c r="BR205" s="77"/>
      <c r="BS205" s="1"/>
      <c r="BT205" s="1"/>
      <c r="BU205" s="1"/>
      <c r="BV205" s="34">
        <v>10</v>
      </c>
      <c r="BW205" s="3"/>
      <c r="BX205" s="77"/>
      <c r="BZ205" s="34">
        <v>10</v>
      </c>
      <c r="CA205" s="3"/>
      <c r="CB205" s="77"/>
    </row>
    <row r="206" spans="2:86">
      <c r="B206" s="34">
        <v>11</v>
      </c>
      <c r="C206" s="2"/>
      <c r="D206" s="205"/>
      <c r="F206" s="34">
        <v>11</v>
      </c>
      <c r="G206" s="252"/>
      <c r="H206" s="253"/>
      <c r="J206" s="34">
        <v>11</v>
      </c>
      <c r="K206" s="2"/>
      <c r="L206" s="205"/>
      <c r="P206" s="34">
        <v>11</v>
      </c>
      <c r="Q206" s="2"/>
      <c r="R206" s="205"/>
      <c r="T206" s="34">
        <v>11</v>
      </c>
      <c r="U206" s="252"/>
      <c r="V206" s="253"/>
      <c r="X206" s="34">
        <v>11</v>
      </c>
      <c r="Y206" s="252"/>
      <c r="Z206" s="253"/>
      <c r="AC206" s="5"/>
      <c r="AG206" s="34">
        <v>11</v>
      </c>
      <c r="AH206" s="2"/>
      <c r="AI206" s="205"/>
      <c r="AK206" s="34">
        <v>11</v>
      </c>
      <c r="AL206" s="2"/>
      <c r="AM206" s="205"/>
      <c r="AO206" s="34">
        <v>11</v>
      </c>
      <c r="AP206" s="2"/>
      <c r="AQ206" s="205"/>
      <c r="AU206" s="34">
        <v>11</v>
      </c>
      <c r="AV206" s="2"/>
      <c r="AW206" s="205"/>
      <c r="AY206" s="34">
        <v>11</v>
      </c>
      <c r="AZ206" s="2"/>
      <c r="BA206" s="205"/>
      <c r="BC206" s="34">
        <v>11</v>
      </c>
      <c r="BD206" s="2"/>
      <c r="BE206" s="205"/>
      <c r="BH206" s="5"/>
      <c r="BL206" s="34">
        <v>11</v>
      </c>
      <c r="BM206" s="3"/>
      <c r="BN206" s="4"/>
      <c r="BP206" s="34">
        <v>11</v>
      </c>
      <c r="BQ206" s="3"/>
      <c r="BR206" s="77"/>
      <c r="BV206" s="34">
        <v>11</v>
      </c>
      <c r="BW206" s="3"/>
      <c r="BX206" s="77"/>
      <c r="BZ206" s="34">
        <v>11</v>
      </c>
      <c r="CA206" s="3"/>
      <c r="CB206" s="77"/>
    </row>
    <row r="207" spans="2:86">
      <c r="B207" s="34">
        <v>12</v>
      </c>
      <c r="C207" s="2"/>
      <c r="D207" s="205"/>
      <c r="F207" s="34">
        <v>12</v>
      </c>
      <c r="G207" s="252"/>
      <c r="H207" s="253"/>
      <c r="J207" s="34">
        <v>12</v>
      </c>
      <c r="K207" s="2"/>
      <c r="L207" s="205"/>
      <c r="P207" s="34">
        <v>12</v>
      </c>
      <c r="Q207" s="2"/>
      <c r="R207" s="205"/>
      <c r="T207" s="34">
        <v>12</v>
      </c>
      <c r="U207" s="252"/>
      <c r="V207" s="253"/>
      <c r="X207" s="34">
        <v>12</v>
      </c>
      <c r="Y207" s="252"/>
      <c r="Z207" s="253"/>
      <c r="AC207" s="5"/>
      <c r="AG207" s="34">
        <v>12</v>
      </c>
      <c r="AH207" s="2"/>
      <c r="AI207" s="205"/>
      <c r="AK207" s="34">
        <v>12</v>
      </c>
      <c r="AL207" s="2"/>
      <c r="AM207" s="205"/>
      <c r="AO207" s="34">
        <v>12</v>
      </c>
      <c r="AP207" s="2"/>
      <c r="AQ207" s="205"/>
      <c r="AU207" s="34">
        <v>12</v>
      </c>
      <c r="AV207" s="2"/>
      <c r="AW207" s="205"/>
      <c r="AY207" s="34">
        <v>12</v>
      </c>
      <c r="AZ207" s="2"/>
      <c r="BA207" s="205"/>
      <c r="BC207" s="34">
        <v>12</v>
      </c>
      <c r="BD207" s="2"/>
      <c r="BE207" s="205"/>
      <c r="BH207" s="5"/>
      <c r="BL207" s="34">
        <v>12</v>
      </c>
      <c r="BM207" s="3"/>
      <c r="BN207" s="77"/>
      <c r="BP207" s="34">
        <v>12</v>
      </c>
      <c r="BQ207" s="3"/>
      <c r="BR207" s="77"/>
      <c r="BV207" s="34">
        <v>12</v>
      </c>
      <c r="BW207" s="3"/>
      <c r="BX207" s="77"/>
      <c r="BZ207" s="34">
        <v>12</v>
      </c>
      <c r="CA207" s="3"/>
      <c r="CB207" s="77"/>
    </row>
    <row r="208" spans="2:86">
      <c r="B208" s="34">
        <v>13</v>
      </c>
      <c r="C208" s="2"/>
      <c r="D208" s="205"/>
      <c r="F208" s="34">
        <v>13</v>
      </c>
      <c r="G208" s="252"/>
      <c r="H208" s="253"/>
      <c r="J208" s="34">
        <v>13</v>
      </c>
      <c r="K208" s="2"/>
      <c r="L208" s="205"/>
      <c r="P208" s="34">
        <v>13</v>
      </c>
      <c r="Q208" s="2"/>
      <c r="R208" s="205"/>
      <c r="T208" s="34">
        <v>13</v>
      </c>
      <c r="U208" s="252"/>
      <c r="V208" s="253"/>
      <c r="X208" s="34">
        <v>13</v>
      </c>
      <c r="Y208" s="252"/>
      <c r="Z208" s="253"/>
      <c r="AC208" s="5"/>
      <c r="AG208" s="34">
        <v>13</v>
      </c>
      <c r="AH208" s="2"/>
      <c r="AI208" s="205"/>
      <c r="AK208" s="34">
        <v>13</v>
      </c>
      <c r="AL208" s="109"/>
      <c r="AM208" s="205"/>
      <c r="AO208" s="34">
        <v>13</v>
      </c>
      <c r="AP208" s="2"/>
      <c r="AQ208" s="205"/>
      <c r="AU208" s="34">
        <v>13</v>
      </c>
      <c r="AV208" s="3"/>
      <c r="AW208" s="77"/>
      <c r="AY208" s="34">
        <v>13</v>
      </c>
      <c r="AZ208" s="2"/>
      <c r="BA208" s="205"/>
      <c r="BC208" s="34">
        <v>13</v>
      </c>
      <c r="BD208" s="3"/>
      <c r="BE208" s="77"/>
      <c r="BH208" s="5"/>
      <c r="BL208" s="34">
        <v>13</v>
      </c>
      <c r="BM208" s="3"/>
      <c r="BN208" s="77"/>
      <c r="BP208" s="34">
        <v>13</v>
      </c>
      <c r="BQ208" s="3"/>
      <c r="BR208" s="77"/>
      <c r="BV208" s="34">
        <v>13</v>
      </c>
      <c r="BW208" s="3"/>
      <c r="BX208" s="77"/>
      <c r="BZ208" s="34">
        <v>13</v>
      </c>
      <c r="CA208" s="3"/>
      <c r="CB208" s="77"/>
    </row>
    <row r="209" spans="2:86">
      <c r="B209" s="34">
        <v>14</v>
      </c>
      <c r="C209" s="2"/>
      <c r="D209" s="205"/>
      <c r="F209" s="34">
        <v>14</v>
      </c>
      <c r="G209" s="252"/>
      <c r="H209" s="253"/>
      <c r="J209" s="34">
        <v>14</v>
      </c>
      <c r="K209" s="2"/>
      <c r="L209" s="205"/>
      <c r="P209" s="34">
        <v>14</v>
      </c>
      <c r="Q209" s="2"/>
      <c r="R209" s="205"/>
      <c r="T209" s="34">
        <v>14</v>
      </c>
      <c r="U209" s="252"/>
      <c r="V209" s="253"/>
      <c r="X209" s="34">
        <v>14</v>
      </c>
      <c r="Y209" s="255"/>
      <c r="Z209" s="253"/>
      <c r="AC209" s="5"/>
      <c r="AG209" s="34">
        <v>14</v>
      </c>
      <c r="AH209" s="2"/>
      <c r="AI209" s="205"/>
      <c r="AK209" s="34">
        <v>14</v>
      </c>
      <c r="AL209" s="2"/>
      <c r="AM209" s="205"/>
      <c r="AO209" s="34">
        <v>14</v>
      </c>
      <c r="AP209" s="2"/>
      <c r="AQ209" s="205"/>
      <c r="AU209" s="34">
        <v>14</v>
      </c>
      <c r="AV209" s="3"/>
      <c r="AW209" s="77"/>
      <c r="AY209" s="34">
        <v>14</v>
      </c>
      <c r="AZ209" s="2"/>
      <c r="BA209" s="205"/>
      <c r="BC209" s="34">
        <v>14</v>
      </c>
      <c r="BD209" s="3"/>
      <c r="BE209" s="77"/>
      <c r="BH209" s="5"/>
      <c r="BL209" s="34">
        <v>14</v>
      </c>
      <c r="BM209" s="3"/>
      <c r="BN209" s="77"/>
      <c r="BP209" s="34">
        <v>14</v>
      </c>
      <c r="BQ209" s="3"/>
      <c r="BR209" s="77"/>
      <c r="BV209" s="34">
        <v>14</v>
      </c>
      <c r="BW209" s="3"/>
      <c r="BX209" s="77"/>
      <c r="BZ209" s="34">
        <v>14</v>
      </c>
      <c r="CA209" s="3"/>
      <c r="CB209" s="77"/>
    </row>
    <row r="210" spans="2:86">
      <c r="B210" s="34">
        <v>15</v>
      </c>
      <c r="C210" s="2"/>
      <c r="D210" s="205"/>
      <c r="F210" s="34">
        <v>15</v>
      </c>
      <c r="G210" s="252"/>
      <c r="H210" s="253"/>
      <c r="J210" s="34">
        <v>15</v>
      </c>
      <c r="K210" s="2"/>
      <c r="L210" s="205"/>
      <c r="P210" s="34">
        <v>15</v>
      </c>
      <c r="Q210" s="2"/>
      <c r="R210" s="205"/>
      <c r="T210" s="34">
        <v>15</v>
      </c>
      <c r="U210" s="252"/>
      <c r="V210" s="253"/>
      <c r="X210" s="34">
        <v>15</v>
      </c>
      <c r="Y210" s="252"/>
      <c r="Z210" s="253"/>
      <c r="AC210" s="5"/>
      <c r="AG210" s="34">
        <v>15</v>
      </c>
      <c r="AH210" s="2"/>
      <c r="AI210" s="205"/>
      <c r="AK210" s="34">
        <v>15</v>
      </c>
      <c r="AL210" s="2"/>
      <c r="AM210" s="205"/>
      <c r="AO210" s="34">
        <v>15</v>
      </c>
      <c r="AP210" s="2"/>
      <c r="AQ210" s="205"/>
      <c r="AU210" s="34">
        <v>15</v>
      </c>
      <c r="AV210" s="3"/>
      <c r="AW210" s="77"/>
      <c r="AY210" s="34">
        <v>15</v>
      </c>
      <c r="AZ210" s="2"/>
      <c r="BA210" s="205"/>
      <c r="BC210" s="34">
        <v>15</v>
      </c>
      <c r="BD210" s="3"/>
      <c r="BE210" s="77"/>
      <c r="BH210" s="5"/>
      <c r="BL210" s="34">
        <v>15</v>
      </c>
      <c r="BM210" s="3"/>
      <c r="BN210" s="77"/>
      <c r="BP210" s="34">
        <v>15</v>
      </c>
      <c r="BQ210" s="3"/>
      <c r="BR210" s="77"/>
      <c r="BV210" s="34">
        <v>15</v>
      </c>
      <c r="BW210" s="3"/>
      <c r="BX210" s="77"/>
      <c r="BZ210" s="34">
        <v>15</v>
      </c>
      <c r="CA210" s="3"/>
      <c r="CB210" s="77"/>
    </row>
    <row r="211" spans="2:86">
      <c r="B211" s="34">
        <v>16</v>
      </c>
      <c r="C211" s="2"/>
      <c r="D211" s="205"/>
      <c r="F211" s="34">
        <v>16</v>
      </c>
      <c r="G211" s="2"/>
      <c r="H211" s="205"/>
      <c r="J211" s="34">
        <v>16</v>
      </c>
      <c r="K211" s="2"/>
      <c r="L211" s="205"/>
      <c r="P211" s="34">
        <v>16</v>
      </c>
      <c r="Q211" s="2"/>
      <c r="R211" s="205"/>
      <c r="T211" s="34">
        <v>16</v>
      </c>
      <c r="U211" s="2"/>
      <c r="V211" s="205"/>
      <c r="X211" s="34">
        <v>16</v>
      </c>
      <c r="Y211" s="252"/>
      <c r="Z211" s="253"/>
      <c r="AC211" s="5"/>
      <c r="AG211" s="34">
        <v>16</v>
      </c>
      <c r="AH211" s="2"/>
      <c r="AI211" s="205"/>
      <c r="AK211" s="34">
        <v>16</v>
      </c>
      <c r="AL211" s="2"/>
      <c r="AM211" s="205"/>
      <c r="AO211" s="34">
        <v>16</v>
      </c>
      <c r="AP211" s="2"/>
      <c r="AQ211" s="205"/>
      <c r="AU211" s="34">
        <v>16</v>
      </c>
      <c r="AV211" s="3"/>
      <c r="AW211" s="77"/>
      <c r="AY211" s="34">
        <v>16</v>
      </c>
      <c r="AZ211" s="2"/>
      <c r="BA211" s="205"/>
      <c r="BC211" s="34">
        <v>16</v>
      </c>
      <c r="BD211" s="3"/>
      <c r="BE211" s="77"/>
      <c r="BH211" s="5"/>
      <c r="BL211" s="34">
        <v>16</v>
      </c>
      <c r="BM211" s="3"/>
      <c r="BN211" s="77"/>
      <c r="BP211" s="34">
        <v>16</v>
      </c>
      <c r="BQ211" s="3"/>
      <c r="BR211" s="77"/>
      <c r="BV211" s="34">
        <v>16</v>
      </c>
      <c r="BW211" s="3"/>
      <c r="BX211" s="77"/>
      <c r="BZ211" s="34">
        <v>16</v>
      </c>
      <c r="CA211" s="3"/>
      <c r="CB211" s="77"/>
    </row>
    <row r="212" spans="2:86">
      <c r="B212" s="34">
        <v>17</v>
      </c>
      <c r="C212" s="2"/>
      <c r="D212" s="205"/>
      <c r="F212" s="34">
        <v>17</v>
      </c>
      <c r="G212" s="2"/>
      <c r="H212" s="205"/>
      <c r="J212" s="34">
        <v>17</v>
      </c>
      <c r="K212" s="2"/>
      <c r="L212" s="205"/>
      <c r="P212" s="34">
        <v>17</v>
      </c>
      <c r="Q212" s="2"/>
      <c r="R212" s="205"/>
      <c r="T212" s="34">
        <v>17</v>
      </c>
      <c r="U212" s="2"/>
      <c r="V212" s="205"/>
      <c r="X212" s="34">
        <v>17</v>
      </c>
      <c r="Y212" s="2"/>
      <c r="Z212" s="205"/>
      <c r="AC212" s="5"/>
      <c r="AG212" s="34">
        <v>17</v>
      </c>
      <c r="AH212" s="2"/>
      <c r="AI212" s="205"/>
      <c r="AK212" s="34">
        <v>17</v>
      </c>
      <c r="AL212" s="2"/>
      <c r="AM212" s="205"/>
      <c r="AO212" s="34">
        <v>17</v>
      </c>
      <c r="AP212" s="2"/>
      <c r="AQ212" s="205"/>
      <c r="AU212" s="34">
        <v>17</v>
      </c>
      <c r="AV212" s="3"/>
      <c r="AW212" s="77"/>
      <c r="AY212" s="34">
        <v>17</v>
      </c>
      <c r="AZ212" s="2"/>
      <c r="BA212" s="205"/>
      <c r="BC212" s="34">
        <v>17</v>
      </c>
      <c r="BD212" s="3"/>
      <c r="BE212" s="77"/>
      <c r="BH212" s="5"/>
      <c r="BL212" s="34">
        <v>17</v>
      </c>
      <c r="BM212" s="3"/>
      <c r="BN212" s="77"/>
      <c r="BP212" s="34">
        <v>17</v>
      </c>
      <c r="BQ212" s="3"/>
      <c r="BR212" s="77"/>
      <c r="BV212" s="34">
        <v>17</v>
      </c>
      <c r="BW212" s="3"/>
      <c r="BX212" s="77"/>
      <c r="BZ212" s="34">
        <v>17</v>
      </c>
      <c r="CA212" s="3"/>
      <c r="CB212" s="77"/>
    </row>
    <row r="213" spans="2:86">
      <c r="B213" s="34">
        <v>18</v>
      </c>
      <c r="C213" s="2"/>
      <c r="D213" s="205"/>
      <c r="F213" s="34">
        <v>18</v>
      </c>
      <c r="G213" s="2"/>
      <c r="H213" s="205"/>
      <c r="J213" s="34">
        <v>18</v>
      </c>
      <c r="K213" s="2"/>
      <c r="L213" s="205"/>
      <c r="P213" s="34">
        <v>18</v>
      </c>
      <c r="Q213" s="2"/>
      <c r="R213" s="205"/>
      <c r="T213" s="34">
        <v>18</v>
      </c>
      <c r="U213" s="2"/>
      <c r="V213" s="205"/>
      <c r="X213" s="34">
        <v>18</v>
      </c>
      <c r="Y213" s="2"/>
      <c r="Z213" s="205"/>
      <c r="AC213" s="5"/>
      <c r="AG213" s="34">
        <v>18</v>
      </c>
      <c r="AH213" s="2"/>
      <c r="AI213" s="205"/>
      <c r="AK213" s="34">
        <v>18</v>
      </c>
      <c r="AL213" s="2"/>
      <c r="AM213" s="205"/>
      <c r="AO213" s="34">
        <v>18</v>
      </c>
      <c r="AP213" s="2"/>
      <c r="AQ213" s="205"/>
      <c r="AU213" s="34">
        <v>18</v>
      </c>
      <c r="AV213" s="3"/>
      <c r="AW213" s="77"/>
      <c r="AY213" s="34">
        <v>18</v>
      </c>
      <c r="AZ213" s="2"/>
      <c r="BA213" s="205"/>
      <c r="BC213" s="34">
        <v>18</v>
      </c>
      <c r="BD213" s="3"/>
      <c r="BE213" s="77"/>
      <c r="BH213" s="5"/>
      <c r="BL213" s="34">
        <v>18</v>
      </c>
      <c r="BM213" s="3"/>
      <c r="BN213" s="77"/>
      <c r="BP213" s="34">
        <v>18</v>
      </c>
      <c r="BQ213" s="3"/>
      <c r="BR213" s="77"/>
      <c r="BV213" s="34">
        <v>18</v>
      </c>
      <c r="BW213" s="3"/>
      <c r="BX213" s="77"/>
      <c r="BZ213" s="34">
        <v>18</v>
      </c>
      <c r="CA213" s="3"/>
      <c r="CB213" s="77"/>
    </row>
    <row r="214" spans="2:86">
      <c r="B214" s="34">
        <v>19</v>
      </c>
      <c r="C214" s="2"/>
      <c r="D214" s="205"/>
      <c r="F214" s="34">
        <v>19</v>
      </c>
      <c r="G214" s="2"/>
      <c r="H214" s="205"/>
      <c r="J214" s="34">
        <v>19</v>
      </c>
      <c r="K214" s="2"/>
      <c r="L214" s="205"/>
      <c r="P214" s="34">
        <v>19</v>
      </c>
      <c r="Q214" s="2"/>
      <c r="R214" s="205"/>
      <c r="T214" s="34">
        <v>19</v>
      </c>
      <c r="U214" s="2"/>
      <c r="V214" s="205"/>
      <c r="X214" s="34">
        <v>19</v>
      </c>
      <c r="Y214" s="2"/>
      <c r="Z214" s="205"/>
      <c r="AC214" s="5"/>
      <c r="AG214" s="34">
        <v>19</v>
      </c>
      <c r="AH214" s="2"/>
      <c r="AI214" s="205"/>
      <c r="AK214" s="34">
        <v>19</v>
      </c>
      <c r="AL214" s="2"/>
      <c r="AM214" s="205"/>
      <c r="AO214" s="34">
        <v>19</v>
      </c>
      <c r="AP214" s="2"/>
      <c r="AQ214" s="205"/>
      <c r="AU214" s="34">
        <v>19</v>
      </c>
      <c r="AV214" s="3"/>
      <c r="AW214" s="77"/>
      <c r="AY214" s="34">
        <v>19</v>
      </c>
      <c r="AZ214" s="2"/>
      <c r="BA214" s="205"/>
      <c r="BC214" s="34">
        <v>19</v>
      </c>
      <c r="BD214" s="3"/>
      <c r="BE214" s="77"/>
      <c r="BH214" s="5"/>
      <c r="BL214" s="34">
        <v>19</v>
      </c>
      <c r="BM214" s="3"/>
      <c r="BN214" s="77"/>
      <c r="BP214" s="34">
        <v>19</v>
      </c>
      <c r="BQ214" s="3"/>
      <c r="BR214" s="4"/>
      <c r="BV214" s="34">
        <v>19</v>
      </c>
      <c r="BW214" s="3"/>
      <c r="BX214" s="77"/>
      <c r="BZ214" s="34">
        <v>19</v>
      </c>
      <c r="CA214" s="3"/>
      <c r="CB214" s="77"/>
    </row>
    <row r="215" spans="2:86">
      <c r="B215" s="34">
        <v>20</v>
      </c>
      <c r="C215" s="2"/>
      <c r="D215" s="205"/>
      <c r="F215" s="34">
        <v>20</v>
      </c>
      <c r="G215" s="2"/>
      <c r="H215" s="205"/>
      <c r="J215" s="34">
        <v>20</v>
      </c>
      <c r="K215" s="2"/>
      <c r="L215" s="205"/>
      <c r="P215" s="34">
        <v>20</v>
      </c>
      <c r="Q215" s="2"/>
      <c r="R215" s="205"/>
      <c r="T215" s="34">
        <v>20</v>
      </c>
      <c r="U215" s="2"/>
      <c r="V215" s="205"/>
      <c r="X215" s="34">
        <v>20</v>
      </c>
      <c r="Y215" s="2"/>
      <c r="Z215" s="205"/>
      <c r="AC215" s="5"/>
      <c r="AG215" s="34">
        <v>20</v>
      </c>
      <c r="AH215" s="2"/>
      <c r="AI215" s="205"/>
      <c r="AK215" s="34">
        <v>20</v>
      </c>
      <c r="AL215" s="2"/>
      <c r="AM215" s="205"/>
      <c r="AO215" s="34">
        <v>20</v>
      </c>
      <c r="AP215" s="2"/>
      <c r="AQ215" s="205"/>
      <c r="AU215" s="34">
        <v>20</v>
      </c>
      <c r="AV215" s="3"/>
      <c r="AW215" s="77"/>
      <c r="AY215" s="34">
        <v>20</v>
      </c>
      <c r="AZ215" s="2"/>
      <c r="BA215" s="205"/>
      <c r="BC215" s="34">
        <v>20</v>
      </c>
      <c r="BD215" s="3"/>
      <c r="BE215" s="77"/>
      <c r="BH215" s="5"/>
      <c r="BL215" s="34">
        <v>20</v>
      </c>
      <c r="BM215" s="3"/>
      <c r="BN215" s="77"/>
      <c r="BP215" s="34">
        <v>20</v>
      </c>
      <c r="BQ215" s="3"/>
      <c r="BR215" s="77"/>
      <c r="BV215" s="34">
        <v>20</v>
      </c>
      <c r="BW215" s="3"/>
      <c r="BX215" s="77"/>
      <c r="BZ215" s="34">
        <v>20</v>
      </c>
      <c r="CA215" s="3"/>
      <c r="CB215" s="77"/>
    </row>
    <row r="216" spans="2:86">
      <c r="B216" s="34">
        <v>21</v>
      </c>
      <c r="C216" s="2"/>
      <c r="D216" s="205"/>
      <c r="F216" s="34">
        <v>21</v>
      </c>
      <c r="G216" s="2"/>
      <c r="H216" s="205"/>
      <c r="J216" s="34">
        <v>21</v>
      </c>
      <c r="K216" s="2"/>
      <c r="L216" s="205"/>
      <c r="P216" s="34">
        <v>21</v>
      </c>
      <c r="Q216" s="2"/>
      <c r="R216" s="205"/>
      <c r="T216" s="34">
        <v>21</v>
      </c>
      <c r="U216" s="2"/>
      <c r="V216" s="205"/>
      <c r="X216" s="34">
        <v>21</v>
      </c>
      <c r="Y216" s="2"/>
      <c r="Z216" s="205"/>
      <c r="AC216" s="5"/>
      <c r="AG216" s="34">
        <v>21</v>
      </c>
      <c r="AH216" s="2"/>
      <c r="AI216" s="205"/>
      <c r="AK216" s="34">
        <v>21</v>
      </c>
      <c r="AL216" s="2"/>
      <c r="AM216" s="205"/>
      <c r="AO216" s="34">
        <v>21</v>
      </c>
      <c r="AP216" s="2"/>
      <c r="AQ216" s="205"/>
      <c r="AU216" s="34">
        <v>21</v>
      </c>
      <c r="AV216" s="3"/>
      <c r="AW216" s="77"/>
      <c r="AY216" s="34">
        <v>21</v>
      </c>
      <c r="AZ216" s="2"/>
      <c r="BA216" s="205"/>
      <c r="BC216" s="34">
        <v>21</v>
      </c>
      <c r="BD216" s="3"/>
      <c r="BE216" s="77"/>
      <c r="BH216" s="5"/>
      <c r="BL216" s="34">
        <v>21</v>
      </c>
      <c r="BM216" s="3"/>
      <c r="BN216" s="77"/>
      <c r="BP216" s="34">
        <v>21</v>
      </c>
      <c r="BQ216" s="3"/>
      <c r="BR216" s="77"/>
      <c r="BV216" s="34">
        <v>21</v>
      </c>
      <c r="BW216" s="3"/>
      <c r="BX216" s="4"/>
      <c r="BZ216" s="34">
        <v>21</v>
      </c>
      <c r="CA216" s="3"/>
      <c r="CB216" s="77"/>
    </row>
    <row r="217" spans="2:86">
      <c r="B217" s="34">
        <v>22</v>
      </c>
      <c r="C217" s="3"/>
      <c r="D217" s="77"/>
      <c r="F217" s="34">
        <v>22</v>
      </c>
      <c r="G217" s="2"/>
      <c r="H217" s="205"/>
      <c r="J217" s="34">
        <v>22</v>
      </c>
      <c r="K217" s="2"/>
      <c r="L217" s="205"/>
      <c r="P217" s="34">
        <v>22</v>
      </c>
      <c r="Q217" s="2"/>
      <c r="R217" s="205"/>
      <c r="T217" s="34">
        <v>22</v>
      </c>
      <c r="U217" s="2"/>
      <c r="V217" s="205"/>
      <c r="X217" s="34">
        <v>22</v>
      </c>
      <c r="Y217" s="2"/>
      <c r="Z217" s="205"/>
      <c r="AC217" s="5"/>
      <c r="AG217" s="34">
        <v>22</v>
      </c>
      <c r="AH217" s="2"/>
      <c r="AI217" s="205"/>
      <c r="AK217" s="34">
        <v>22</v>
      </c>
      <c r="AL217" s="2"/>
      <c r="AM217" s="205"/>
      <c r="AO217" s="34">
        <v>22</v>
      </c>
      <c r="AP217" s="2"/>
      <c r="AQ217" s="205"/>
      <c r="AU217" s="34">
        <v>22</v>
      </c>
      <c r="AV217" s="3"/>
      <c r="AW217" s="77"/>
      <c r="AY217" s="34">
        <v>22</v>
      </c>
      <c r="AZ217" s="3"/>
      <c r="BA217" s="77"/>
      <c r="BC217" s="34">
        <v>22</v>
      </c>
      <c r="BD217" s="3"/>
      <c r="BE217" s="77"/>
      <c r="BH217" s="5"/>
      <c r="BL217" s="34">
        <v>22</v>
      </c>
      <c r="BM217" s="3"/>
      <c r="BN217" s="4"/>
      <c r="BP217" s="34">
        <v>22</v>
      </c>
      <c r="BQ217" s="3"/>
      <c r="BR217" s="4"/>
      <c r="BV217" s="34">
        <v>22</v>
      </c>
      <c r="BW217" s="3"/>
      <c r="BX217" s="4"/>
      <c r="BZ217" s="34">
        <v>22</v>
      </c>
      <c r="CA217" s="3"/>
      <c r="CB217" s="4"/>
    </row>
    <row r="218" spans="2:86">
      <c r="B218" s="34">
        <v>23</v>
      </c>
      <c r="C218" s="3"/>
      <c r="D218" s="77"/>
      <c r="F218" s="34">
        <v>23</v>
      </c>
      <c r="G218" s="3"/>
      <c r="H218" s="77"/>
      <c r="J218" s="34">
        <v>23</v>
      </c>
      <c r="K218" s="3"/>
      <c r="L218" s="77"/>
      <c r="P218" s="34">
        <v>23</v>
      </c>
      <c r="Q218" s="3"/>
      <c r="R218" s="77"/>
      <c r="T218" s="34">
        <v>23</v>
      </c>
      <c r="U218" s="2"/>
      <c r="V218" s="205"/>
      <c r="X218" s="34">
        <v>23</v>
      </c>
      <c r="Y218" s="3"/>
      <c r="Z218" s="77"/>
      <c r="AC218" s="5"/>
      <c r="AG218" s="34">
        <v>23</v>
      </c>
      <c r="AH218" s="2"/>
      <c r="AI218" s="205"/>
      <c r="AK218" s="34">
        <v>23</v>
      </c>
      <c r="AL218" s="2"/>
      <c r="AM218" s="205"/>
      <c r="AO218" s="34">
        <v>23</v>
      </c>
      <c r="AP218" s="2"/>
      <c r="AQ218" s="205"/>
      <c r="AU218" s="34">
        <v>23</v>
      </c>
      <c r="AV218" s="3"/>
      <c r="AW218" s="77"/>
      <c r="AY218" s="34">
        <v>23</v>
      </c>
      <c r="AZ218" s="3"/>
      <c r="BA218" s="77"/>
      <c r="BC218" s="34">
        <v>23</v>
      </c>
      <c r="BD218" s="3"/>
      <c r="BE218" s="77"/>
      <c r="BH218" s="5"/>
      <c r="BL218" s="34">
        <v>23</v>
      </c>
      <c r="BM218" s="3"/>
      <c r="BN218" s="4"/>
      <c r="BP218" s="34">
        <v>23</v>
      </c>
      <c r="BQ218" s="3"/>
      <c r="BR218" s="4"/>
      <c r="BV218" s="34">
        <v>23</v>
      </c>
      <c r="BW218" s="3"/>
      <c r="BX218" s="4"/>
      <c r="BZ218" s="34">
        <v>23</v>
      </c>
      <c r="CA218" s="3"/>
      <c r="CB218" s="4"/>
    </row>
    <row r="219" spans="2:86">
      <c r="AC219" s="5"/>
      <c r="AK219" s="10"/>
      <c r="AL219" s="8"/>
      <c r="AU219"/>
      <c r="BC219"/>
      <c r="BH219" s="5"/>
    </row>
    <row r="220" spans="2:86">
      <c r="AC220" s="5"/>
      <c r="AU220"/>
      <c r="BC220"/>
      <c r="BH220" s="5"/>
    </row>
    <row r="221" spans="2:86">
      <c r="AC221" s="5"/>
      <c r="AU221"/>
      <c r="BC221"/>
      <c r="BH221" s="5"/>
    </row>
    <row r="222" spans="2:86" s="1" customFormat="1" ht="20.25">
      <c r="B222" s="54"/>
      <c r="C222" s="55">
        <f>'NRB 공장 내부 배치도'!C13</f>
        <v>0</v>
      </c>
      <c r="D222" s="199"/>
      <c r="F222" s="54"/>
      <c r="G222" s="55">
        <f>'NRB 공장 내부 배치도'!D13</f>
        <v>0</v>
      </c>
      <c r="H222" s="199"/>
      <c r="I222"/>
      <c r="J222" s="54"/>
      <c r="K222" s="55">
        <f>'NRB 공장 내부 배치도'!E13</f>
        <v>0</v>
      </c>
      <c r="L222" s="199"/>
      <c r="M222"/>
      <c r="N222"/>
      <c r="O222"/>
      <c r="P222" s="54"/>
      <c r="Q222" s="55">
        <f>'NRB 공장 내부 배치도'!G13</f>
        <v>0</v>
      </c>
      <c r="R222" s="199"/>
      <c r="T222" s="54"/>
      <c r="U222" s="55">
        <f>'NRB 공장 내부 배치도'!H13</f>
        <v>0</v>
      </c>
      <c r="V222" s="199"/>
      <c r="X222" s="54"/>
      <c r="Y222" s="55" t="str">
        <f>'NRB 공장 내부 배치도'!I13</f>
        <v>BH조립다이
403-6-6</v>
      </c>
      <c r="Z222" s="199"/>
      <c r="AC222" s="71"/>
      <c r="AG222" s="54"/>
      <c r="AH222" s="55">
        <f>'NRB 공장 내부 배치도'!L13</f>
        <v>0</v>
      </c>
      <c r="AI222" s="199"/>
      <c r="AK222" s="54"/>
      <c r="AL222" s="55">
        <f>'NRB 공장 내부 배치도'!M13</f>
        <v>0</v>
      </c>
      <c r="AM222" s="199"/>
      <c r="AO222" s="54"/>
      <c r="AP222" s="55">
        <f>'NRB 공장 내부 배치도'!N13</f>
        <v>0</v>
      </c>
      <c r="AQ222" s="199"/>
      <c r="AU222" s="54"/>
      <c r="AV222" s="55">
        <f>'NRB 공장 내부 배치도'!P13</f>
        <v>0</v>
      </c>
      <c r="AW222" s="199"/>
      <c r="AY222" s="54"/>
      <c r="AZ222" s="55">
        <f>'NRB 공장 내부 배치도'!Q13</f>
        <v>0</v>
      </c>
      <c r="BA222" s="199"/>
      <c r="BC222" s="54"/>
      <c r="BD222" s="55">
        <f>'NRB 공장 내부 배치도'!R13</f>
        <v>0</v>
      </c>
      <c r="BE222" s="199"/>
      <c r="BF222" s="204"/>
      <c r="BH222" s="71"/>
      <c r="BL222" s="54"/>
      <c r="BM222" s="55" t="e">
        <f>'NRB야외 야적장 제품배치도(구)'!#REF!</f>
        <v>#REF!</v>
      </c>
      <c r="BN222" s="56"/>
      <c r="BP222" s="54"/>
      <c r="BQ222" s="55" t="e">
        <f>'NRB야외 야적장 제품배치도(구)'!#REF!</f>
        <v>#REF!</v>
      </c>
      <c r="BR222" s="56"/>
      <c r="BV222" s="54"/>
      <c r="BW222" s="55">
        <f>'NRB 공장 내부 배치도'!X13</f>
        <v>0</v>
      </c>
      <c r="BX222" s="56"/>
      <c r="BZ222" s="54"/>
      <c r="CA222" s="55">
        <f>'NRB 공장 내부 배치도'!Y13</f>
        <v>0</v>
      </c>
      <c r="CB222" s="56"/>
      <c r="CF222" s="71"/>
      <c r="CG222" s="71"/>
      <c r="CH222" s="71"/>
    </row>
    <row r="223" spans="2:86">
      <c r="B223" s="34">
        <v>1</v>
      </c>
      <c r="C223" s="252"/>
      <c r="D223" s="253"/>
      <c r="F223" s="34">
        <v>1</v>
      </c>
      <c r="G223" s="252"/>
      <c r="H223" s="253"/>
      <c r="J223" s="34">
        <v>1</v>
      </c>
      <c r="K223" s="2"/>
      <c r="L223" s="205"/>
      <c r="P223" s="34">
        <v>1</v>
      </c>
      <c r="Q223" s="2"/>
      <c r="R223" s="205"/>
      <c r="T223" s="34">
        <v>1</v>
      </c>
      <c r="U223" s="252"/>
      <c r="V223" s="253"/>
      <c r="X223" s="34">
        <v>1</v>
      </c>
      <c r="Y223" s="252"/>
      <c r="Z223" s="253"/>
      <c r="AC223" s="5"/>
      <c r="AG223" s="34">
        <v>1</v>
      </c>
      <c r="AH223" s="2"/>
      <c r="AI223" s="205"/>
      <c r="AK223" s="34">
        <v>1</v>
      </c>
      <c r="AL223" s="2"/>
      <c r="AM223" s="205"/>
      <c r="AO223" s="34">
        <v>1</v>
      </c>
      <c r="AP223" s="2"/>
      <c r="AQ223" s="205"/>
      <c r="AU223" s="34">
        <v>1</v>
      </c>
      <c r="AV223" s="141"/>
      <c r="AW223" s="205"/>
      <c r="AY223" s="34">
        <v>1</v>
      </c>
      <c r="AZ223" s="141"/>
      <c r="BA223" s="205"/>
      <c r="BC223" s="34">
        <v>1</v>
      </c>
      <c r="BD223" s="141"/>
      <c r="BE223" s="205"/>
      <c r="BH223" s="5"/>
      <c r="BL223" s="34">
        <v>1</v>
      </c>
      <c r="BM223" s="3"/>
      <c r="BN223" s="77"/>
      <c r="BP223" s="34">
        <v>1</v>
      </c>
      <c r="BQ223" s="3"/>
      <c r="BR223" s="77"/>
      <c r="BV223" s="34">
        <v>1</v>
      </c>
      <c r="BW223" s="3"/>
      <c r="BX223" s="77"/>
      <c r="BZ223" s="34">
        <v>1</v>
      </c>
      <c r="CA223" s="60"/>
      <c r="CB223" s="77"/>
    </row>
    <row r="224" spans="2:86">
      <c r="B224" s="34">
        <v>2</v>
      </c>
      <c r="C224" s="252"/>
      <c r="D224" s="253"/>
      <c r="F224" s="34">
        <v>2</v>
      </c>
      <c r="G224" s="252"/>
      <c r="H224" s="253"/>
      <c r="J224" s="34">
        <v>2</v>
      </c>
      <c r="K224" s="2"/>
      <c r="L224" s="205"/>
      <c r="P224" s="34">
        <v>2</v>
      </c>
      <c r="Q224" s="2"/>
      <c r="R224" s="205"/>
      <c r="T224" s="34">
        <v>2</v>
      </c>
      <c r="U224" s="252"/>
      <c r="V224" s="253"/>
      <c r="X224" s="34">
        <v>2</v>
      </c>
      <c r="Y224" s="252"/>
      <c r="Z224" s="253"/>
      <c r="AC224" s="5"/>
      <c r="AG224" s="34">
        <v>2</v>
      </c>
      <c r="AH224" s="2"/>
      <c r="AI224" s="205"/>
      <c r="AK224" s="34">
        <v>2</v>
      </c>
      <c r="AL224" s="2"/>
      <c r="AM224" s="205"/>
      <c r="AO224" s="34">
        <v>2</v>
      </c>
      <c r="AP224" s="2"/>
      <c r="AQ224" s="205"/>
      <c r="AU224" s="34">
        <v>2</v>
      </c>
      <c r="AV224" s="141"/>
      <c r="AW224" s="205"/>
      <c r="AY224" s="34">
        <v>2</v>
      </c>
      <c r="AZ224" s="141"/>
      <c r="BA224" s="205"/>
      <c r="BC224" s="34">
        <v>2</v>
      </c>
      <c r="BD224" s="141"/>
      <c r="BE224" s="205"/>
      <c r="BH224" s="5"/>
      <c r="BL224" s="34">
        <v>2</v>
      </c>
      <c r="BM224" s="3"/>
      <c r="BN224" s="77"/>
      <c r="BP224" s="34">
        <v>2</v>
      </c>
      <c r="BQ224" s="3"/>
      <c r="BR224" s="77"/>
      <c r="BV224" s="34">
        <v>2</v>
      </c>
      <c r="BW224" s="3"/>
      <c r="BX224" s="77"/>
      <c r="BZ224" s="34">
        <v>2</v>
      </c>
      <c r="CA224" s="60"/>
      <c r="CB224" s="77"/>
    </row>
    <row r="225" spans="2:80">
      <c r="B225" s="34">
        <v>3</v>
      </c>
      <c r="C225" s="252"/>
      <c r="D225" s="253"/>
      <c r="F225" s="34">
        <v>3</v>
      </c>
      <c r="G225" s="252"/>
      <c r="H225" s="253"/>
      <c r="J225" s="34">
        <v>3</v>
      </c>
      <c r="K225" s="2"/>
      <c r="L225" s="205"/>
      <c r="P225" s="34">
        <v>3</v>
      </c>
      <c r="Q225" s="2"/>
      <c r="R225" s="205"/>
      <c r="T225" s="34">
        <v>3</v>
      </c>
      <c r="U225" s="252"/>
      <c r="V225" s="253"/>
      <c r="X225" s="34">
        <v>3</v>
      </c>
      <c r="Y225" s="252"/>
      <c r="Z225" s="253"/>
      <c r="AC225" s="5"/>
      <c r="AG225" s="34">
        <v>3</v>
      </c>
      <c r="AH225" s="2"/>
      <c r="AI225" s="205"/>
      <c r="AK225" s="34">
        <v>3</v>
      </c>
      <c r="AL225" s="2"/>
      <c r="AM225" s="205"/>
      <c r="AO225" s="34">
        <v>3</v>
      </c>
      <c r="AP225" s="2"/>
      <c r="AQ225" s="205"/>
      <c r="AU225" s="34">
        <v>3</v>
      </c>
      <c r="AV225" s="141"/>
      <c r="AW225" s="205"/>
      <c r="AY225" s="34">
        <v>3</v>
      </c>
      <c r="AZ225" s="141"/>
      <c r="BA225" s="205"/>
      <c r="BC225" s="34">
        <v>3</v>
      </c>
      <c r="BD225" s="141"/>
      <c r="BE225" s="205"/>
      <c r="BH225" s="5"/>
      <c r="BL225" s="34">
        <v>3</v>
      </c>
      <c r="BM225" s="3"/>
      <c r="BN225" s="77"/>
      <c r="BP225" s="34">
        <v>3</v>
      </c>
      <c r="BQ225" s="3"/>
      <c r="BR225" s="77"/>
      <c r="BV225" s="34">
        <v>3</v>
      </c>
      <c r="BW225" s="3"/>
      <c r="BX225" s="77"/>
      <c r="BZ225" s="34">
        <v>3</v>
      </c>
      <c r="CA225" s="60"/>
      <c r="CB225" s="77"/>
    </row>
    <row r="226" spans="2:80">
      <c r="B226" s="34">
        <v>4</v>
      </c>
      <c r="C226" s="252"/>
      <c r="D226" s="253"/>
      <c r="F226" s="34">
        <v>4</v>
      </c>
      <c r="G226" s="252"/>
      <c r="H226" s="253"/>
      <c r="J226" s="34">
        <v>4</v>
      </c>
      <c r="K226" s="2"/>
      <c r="L226" s="205"/>
      <c r="P226" s="34">
        <v>4</v>
      </c>
      <c r="Q226" s="2"/>
      <c r="R226" s="205"/>
      <c r="T226" s="34">
        <v>4</v>
      </c>
      <c r="U226" s="252"/>
      <c r="V226" s="253"/>
      <c r="X226" s="34">
        <v>4</v>
      </c>
      <c r="Y226" s="252"/>
      <c r="Z226" s="253"/>
      <c r="AC226" s="5"/>
      <c r="AG226" s="34">
        <v>4</v>
      </c>
      <c r="AH226" s="2"/>
      <c r="AI226" s="205"/>
      <c r="AK226" s="34">
        <v>4</v>
      </c>
      <c r="AL226" s="2"/>
      <c r="AM226" s="205"/>
      <c r="AO226" s="34">
        <v>4</v>
      </c>
      <c r="AP226" s="2"/>
      <c r="AQ226" s="205"/>
      <c r="AU226" s="34">
        <v>4</v>
      </c>
      <c r="AV226" s="141"/>
      <c r="AW226" s="205"/>
      <c r="AY226" s="34">
        <v>4</v>
      </c>
      <c r="AZ226" s="141"/>
      <c r="BA226" s="205"/>
      <c r="BC226" s="34">
        <v>4</v>
      </c>
      <c r="BD226" s="141"/>
      <c r="BE226" s="205"/>
      <c r="BH226" s="5"/>
      <c r="BL226" s="34">
        <v>4</v>
      </c>
      <c r="BM226" s="3"/>
      <c r="BN226" s="77"/>
      <c r="BP226" s="34">
        <v>4</v>
      </c>
      <c r="BQ226" s="3"/>
      <c r="BR226" s="77"/>
      <c r="BV226" s="34">
        <v>4</v>
      </c>
      <c r="BW226" s="3"/>
      <c r="BX226" s="77"/>
      <c r="BZ226" s="34">
        <v>4</v>
      </c>
      <c r="CA226" s="60"/>
      <c r="CB226" s="77"/>
    </row>
    <row r="227" spans="2:80">
      <c r="B227" s="34">
        <v>5</v>
      </c>
      <c r="C227" s="252"/>
      <c r="D227" s="253"/>
      <c r="F227" s="34">
        <v>5</v>
      </c>
      <c r="G227" s="252"/>
      <c r="H227" s="253"/>
      <c r="J227" s="34">
        <v>5</v>
      </c>
      <c r="K227" s="2"/>
      <c r="L227" s="205"/>
      <c r="P227" s="34">
        <v>5</v>
      </c>
      <c r="Q227" s="2"/>
      <c r="R227" s="216"/>
      <c r="T227" s="34">
        <v>5</v>
      </c>
      <c r="U227" s="252"/>
      <c r="V227" s="254"/>
      <c r="X227" s="34">
        <v>5</v>
      </c>
      <c r="Y227" s="252"/>
      <c r="Z227" s="254"/>
      <c r="AC227" s="5"/>
      <c r="AG227" s="34">
        <v>5</v>
      </c>
      <c r="AH227" s="2"/>
      <c r="AI227" s="205"/>
      <c r="AK227" s="34">
        <v>5</v>
      </c>
      <c r="AL227" s="2"/>
      <c r="AM227" s="205"/>
      <c r="AO227" s="34">
        <v>5</v>
      </c>
      <c r="AP227" s="2"/>
      <c r="AQ227" s="205"/>
      <c r="AU227" s="34">
        <v>5</v>
      </c>
      <c r="AV227" s="141"/>
      <c r="AW227" s="205"/>
      <c r="AY227" s="34">
        <v>5</v>
      </c>
      <c r="AZ227" s="141"/>
      <c r="BA227" s="205"/>
      <c r="BC227" s="34">
        <v>5</v>
      </c>
      <c r="BD227" s="141"/>
      <c r="BE227" s="205"/>
      <c r="BH227" s="5"/>
      <c r="BL227" s="34">
        <v>5</v>
      </c>
      <c r="BM227" s="3"/>
      <c r="BN227" s="77"/>
      <c r="BP227" s="34">
        <v>5</v>
      </c>
      <c r="BQ227" s="3"/>
      <c r="BR227" s="77"/>
      <c r="BV227" s="34">
        <v>5</v>
      </c>
      <c r="BW227" s="3"/>
      <c r="BX227" s="77"/>
      <c r="BZ227" s="34">
        <v>5</v>
      </c>
      <c r="CA227" s="60"/>
      <c r="CB227" s="77"/>
    </row>
    <row r="228" spans="2:80">
      <c r="B228" s="34">
        <v>6</v>
      </c>
      <c r="C228" s="252"/>
      <c r="D228" s="253"/>
      <c r="F228" s="34">
        <v>6</v>
      </c>
      <c r="G228" s="252"/>
      <c r="H228" s="253"/>
      <c r="J228" s="34">
        <v>6</v>
      </c>
      <c r="K228" s="2"/>
      <c r="L228" s="205"/>
      <c r="P228" s="34">
        <v>6</v>
      </c>
      <c r="Q228" s="2"/>
      <c r="R228" s="205"/>
      <c r="T228" s="34">
        <v>6</v>
      </c>
      <c r="U228" s="252"/>
      <c r="V228" s="253"/>
      <c r="X228" s="34">
        <v>6</v>
      </c>
      <c r="Y228" s="252"/>
      <c r="Z228" s="253"/>
      <c r="AC228" s="5"/>
      <c r="AG228" s="34">
        <v>6</v>
      </c>
      <c r="AH228" s="2"/>
      <c r="AI228" s="205"/>
      <c r="AK228" s="34">
        <v>6</v>
      </c>
      <c r="AL228" s="2"/>
      <c r="AM228" s="205"/>
      <c r="AO228" s="34">
        <v>6</v>
      </c>
      <c r="AP228" s="2"/>
      <c r="AQ228" s="205"/>
      <c r="AU228" s="34">
        <v>6</v>
      </c>
      <c r="AV228" s="141"/>
      <c r="AW228" s="205"/>
      <c r="AY228" s="34">
        <v>6</v>
      </c>
      <c r="AZ228" s="141"/>
      <c r="BA228" s="205"/>
      <c r="BC228" s="34">
        <v>6</v>
      </c>
      <c r="BD228" s="141"/>
      <c r="BE228" s="205"/>
      <c r="BH228" s="5"/>
      <c r="BL228" s="34">
        <v>6</v>
      </c>
      <c r="BM228" s="3"/>
      <c r="BN228" s="77"/>
      <c r="BP228" s="34">
        <v>6</v>
      </c>
      <c r="BQ228" s="3"/>
      <c r="BR228" s="77"/>
      <c r="BV228" s="34">
        <v>6</v>
      </c>
      <c r="BW228" s="3"/>
      <c r="BX228" s="77"/>
      <c r="BZ228" s="34">
        <v>6</v>
      </c>
      <c r="CA228" s="60"/>
      <c r="CB228" s="77"/>
    </row>
    <row r="229" spans="2:80">
      <c r="B229" s="34">
        <v>7</v>
      </c>
      <c r="C229" s="252"/>
      <c r="D229" s="253"/>
      <c r="F229" s="34">
        <v>7</v>
      </c>
      <c r="G229" s="252"/>
      <c r="H229" s="253"/>
      <c r="J229" s="34">
        <v>7</v>
      </c>
      <c r="K229" s="2"/>
      <c r="L229" s="205"/>
      <c r="P229" s="34">
        <v>7</v>
      </c>
      <c r="Q229" s="2"/>
      <c r="R229" s="205"/>
      <c r="T229" s="34">
        <v>7</v>
      </c>
      <c r="U229" s="252"/>
      <c r="V229" s="254"/>
      <c r="X229" s="34">
        <v>7</v>
      </c>
      <c r="Y229" s="252"/>
      <c r="Z229" s="253"/>
      <c r="AC229" s="5"/>
      <c r="AG229" s="34">
        <v>7</v>
      </c>
      <c r="AH229" s="2"/>
      <c r="AI229" s="205"/>
      <c r="AK229" s="34">
        <v>7</v>
      </c>
      <c r="AL229" s="2"/>
      <c r="AM229" s="205"/>
      <c r="AO229" s="34">
        <v>7</v>
      </c>
      <c r="AP229" s="2"/>
      <c r="AQ229" s="205"/>
      <c r="AU229" s="34">
        <v>7</v>
      </c>
      <c r="AV229" s="141"/>
      <c r="AW229" s="205"/>
      <c r="AY229" s="34">
        <v>7</v>
      </c>
      <c r="AZ229" s="141"/>
      <c r="BA229" s="205"/>
      <c r="BC229" s="34">
        <v>7</v>
      </c>
      <c r="BD229" s="141"/>
      <c r="BE229" s="205"/>
      <c r="BH229" s="5"/>
      <c r="BL229" s="34">
        <v>7</v>
      </c>
      <c r="BM229" s="3"/>
      <c r="BN229" s="77"/>
      <c r="BP229" s="34">
        <v>7</v>
      </c>
      <c r="BQ229" s="3"/>
      <c r="BR229" s="77"/>
      <c r="BV229" s="34">
        <v>7</v>
      </c>
      <c r="BW229" s="3"/>
      <c r="BX229" s="77"/>
      <c r="BZ229" s="34">
        <v>7</v>
      </c>
      <c r="CA229" s="60"/>
      <c r="CB229" s="77"/>
    </row>
    <row r="230" spans="2:80">
      <c r="B230" s="34">
        <v>8</v>
      </c>
      <c r="C230" s="252"/>
      <c r="D230" s="253"/>
      <c r="F230" s="34">
        <v>8</v>
      </c>
      <c r="G230" s="252"/>
      <c r="H230" s="253"/>
      <c r="J230" s="34">
        <v>8</v>
      </c>
      <c r="K230" s="2"/>
      <c r="L230" s="205"/>
      <c r="P230" s="34">
        <v>8</v>
      </c>
      <c r="Q230" s="2"/>
      <c r="R230" s="205"/>
      <c r="T230" s="34">
        <v>8</v>
      </c>
      <c r="U230" s="252"/>
      <c r="V230" s="253"/>
      <c r="X230" s="34">
        <v>8</v>
      </c>
      <c r="Y230" s="252"/>
      <c r="Z230" s="253"/>
      <c r="AC230" s="5"/>
      <c r="AG230" s="34">
        <v>8</v>
      </c>
      <c r="AH230" s="2"/>
      <c r="AI230" s="205"/>
      <c r="AK230" s="34">
        <v>8</v>
      </c>
      <c r="AL230" s="2"/>
      <c r="AM230" s="205"/>
      <c r="AO230" s="34">
        <v>8</v>
      </c>
      <c r="AP230" s="2"/>
      <c r="AQ230" s="205"/>
      <c r="AU230" s="34">
        <v>8</v>
      </c>
      <c r="AV230" s="141"/>
      <c r="AW230" s="205"/>
      <c r="AY230" s="34">
        <v>8</v>
      </c>
      <c r="AZ230" s="141"/>
      <c r="BA230" s="205"/>
      <c r="BC230" s="34">
        <v>8</v>
      </c>
      <c r="BD230" s="141"/>
      <c r="BE230" s="205"/>
      <c r="BH230" s="5"/>
      <c r="BL230" s="34">
        <v>8</v>
      </c>
      <c r="BM230" s="3"/>
      <c r="BN230" s="77"/>
      <c r="BP230" s="34">
        <v>8</v>
      </c>
      <c r="BQ230" s="3"/>
      <c r="BR230" s="77"/>
      <c r="BV230" s="34">
        <v>8</v>
      </c>
      <c r="BW230" s="3"/>
      <c r="BX230" s="77"/>
      <c r="BZ230" s="34">
        <v>8</v>
      </c>
      <c r="CA230" s="60"/>
      <c r="CB230" s="77"/>
    </row>
    <row r="231" spans="2:80">
      <c r="B231" s="34">
        <v>9</v>
      </c>
      <c r="C231" s="252"/>
      <c r="D231" s="253"/>
      <c r="F231" s="34">
        <v>9</v>
      </c>
      <c r="G231" s="252"/>
      <c r="H231" s="253"/>
      <c r="J231" s="34">
        <v>9</v>
      </c>
      <c r="K231" s="2"/>
      <c r="L231" s="205"/>
      <c r="P231" s="34">
        <v>9</v>
      </c>
      <c r="Q231" s="2"/>
      <c r="R231" s="205"/>
      <c r="T231" s="34">
        <v>9</v>
      </c>
      <c r="U231" s="252"/>
      <c r="V231" s="253"/>
      <c r="X231" s="34">
        <v>9</v>
      </c>
      <c r="Y231" s="252"/>
      <c r="Z231" s="253"/>
      <c r="AC231" s="5"/>
      <c r="AG231" s="34">
        <v>9</v>
      </c>
      <c r="AH231" s="2"/>
      <c r="AI231" s="205"/>
      <c r="AK231" s="34">
        <v>9</v>
      </c>
      <c r="AL231" s="2"/>
      <c r="AM231" s="205"/>
      <c r="AO231" s="34">
        <v>9</v>
      </c>
      <c r="AP231" s="2"/>
      <c r="AQ231" s="205"/>
      <c r="AU231" s="34">
        <v>9</v>
      </c>
      <c r="AV231" s="141"/>
      <c r="AW231" s="205"/>
      <c r="AY231" s="34">
        <v>9</v>
      </c>
      <c r="AZ231" s="141"/>
      <c r="BA231" s="205"/>
      <c r="BC231" s="34">
        <v>9</v>
      </c>
      <c r="BD231" s="141"/>
      <c r="BE231" s="205"/>
      <c r="BH231" s="5"/>
      <c r="BL231" s="34">
        <v>9</v>
      </c>
      <c r="BM231" s="3"/>
      <c r="BN231" s="77"/>
      <c r="BP231" s="34">
        <v>9</v>
      </c>
      <c r="BQ231" s="3"/>
      <c r="BR231" s="77"/>
      <c r="BV231" s="34">
        <v>9</v>
      </c>
      <c r="BW231" s="3"/>
      <c r="BX231" s="77"/>
      <c r="BZ231" s="34">
        <v>9</v>
      </c>
      <c r="CA231" s="60"/>
      <c r="CB231" s="77"/>
    </row>
    <row r="232" spans="2:80">
      <c r="B232" s="34">
        <v>10</v>
      </c>
      <c r="C232" s="252"/>
      <c r="D232" s="253"/>
      <c r="F232" s="34">
        <v>10</v>
      </c>
      <c r="G232" s="252"/>
      <c r="H232" s="253"/>
      <c r="J232" s="34">
        <v>10</v>
      </c>
      <c r="K232" s="2"/>
      <c r="L232" s="205"/>
      <c r="P232" s="34">
        <v>10</v>
      </c>
      <c r="Q232" s="2"/>
      <c r="R232" s="205"/>
      <c r="T232" s="34">
        <v>10</v>
      </c>
      <c r="U232" s="252"/>
      <c r="V232" s="253"/>
      <c r="X232" s="34">
        <v>10</v>
      </c>
      <c r="Y232" s="252"/>
      <c r="Z232" s="253"/>
      <c r="AC232" s="5"/>
      <c r="AG232" s="34">
        <v>10</v>
      </c>
      <c r="AH232" s="2"/>
      <c r="AI232" s="205"/>
      <c r="AK232" s="34">
        <v>10</v>
      </c>
      <c r="AL232" s="2"/>
      <c r="AM232" s="205"/>
      <c r="AO232" s="34">
        <v>10</v>
      </c>
      <c r="AP232" s="2"/>
      <c r="AQ232" s="205"/>
      <c r="AU232" s="34">
        <v>10</v>
      </c>
      <c r="AV232" s="141"/>
      <c r="AW232" s="205"/>
      <c r="AY232" s="34">
        <v>10</v>
      </c>
      <c r="AZ232" s="141"/>
      <c r="BA232" s="205"/>
      <c r="BC232" s="34">
        <v>10</v>
      </c>
      <c r="BD232" s="141"/>
      <c r="BE232" s="205"/>
      <c r="BH232" s="5"/>
      <c r="BL232" s="34">
        <v>10</v>
      </c>
      <c r="BM232" s="3"/>
      <c r="BN232" s="77"/>
      <c r="BP232" s="34">
        <v>10</v>
      </c>
      <c r="BQ232" s="3"/>
      <c r="BR232" s="77"/>
      <c r="BV232" s="34">
        <v>10</v>
      </c>
      <c r="BW232" s="3"/>
      <c r="BX232" s="77"/>
      <c r="BZ232" s="34">
        <v>10</v>
      </c>
      <c r="CA232" s="60"/>
      <c r="CB232" s="77"/>
    </row>
    <row r="233" spans="2:80">
      <c r="B233" s="34">
        <v>11</v>
      </c>
      <c r="C233" s="252"/>
      <c r="D233" s="253"/>
      <c r="F233" s="34">
        <v>11</v>
      </c>
      <c r="G233" s="252"/>
      <c r="H233" s="253"/>
      <c r="J233" s="34">
        <v>11</v>
      </c>
      <c r="K233" s="2"/>
      <c r="L233" s="205"/>
      <c r="P233" s="34">
        <v>11</v>
      </c>
      <c r="Q233" s="2"/>
      <c r="R233" s="205"/>
      <c r="T233" s="34">
        <v>11</v>
      </c>
      <c r="U233" s="252"/>
      <c r="V233" s="253"/>
      <c r="W233" s="2"/>
      <c r="X233" s="34">
        <v>11</v>
      </c>
      <c r="Y233" s="252"/>
      <c r="Z233" s="253"/>
      <c r="AC233" s="5"/>
      <c r="AG233" s="34">
        <v>11</v>
      </c>
      <c r="AH233" s="2"/>
      <c r="AI233" s="205"/>
      <c r="AK233" s="34">
        <v>11</v>
      </c>
      <c r="AL233" s="2"/>
      <c r="AM233" s="205"/>
      <c r="AO233" s="34">
        <v>11</v>
      </c>
      <c r="AP233" s="2"/>
      <c r="AQ233" s="205"/>
      <c r="AU233" s="34">
        <v>11</v>
      </c>
      <c r="AV233" s="141"/>
      <c r="AW233" s="205"/>
      <c r="AY233" s="34">
        <v>11</v>
      </c>
      <c r="AZ233" s="141"/>
      <c r="BA233" s="205"/>
      <c r="BC233" s="34">
        <v>11</v>
      </c>
      <c r="BD233" s="141"/>
      <c r="BE233" s="205"/>
      <c r="BH233" s="5"/>
      <c r="BL233" s="34">
        <v>11</v>
      </c>
      <c r="BM233" s="3"/>
      <c r="BN233" s="4"/>
      <c r="BP233" s="34">
        <v>11</v>
      </c>
      <c r="BQ233" s="3"/>
      <c r="BR233" s="77"/>
      <c r="BV233" s="34">
        <v>11</v>
      </c>
      <c r="BW233" s="3"/>
      <c r="BX233" s="77"/>
      <c r="BZ233" s="34">
        <v>11</v>
      </c>
      <c r="CA233" s="60"/>
      <c r="CB233" s="77"/>
    </row>
    <row r="234" spans="2:80">
      <c r="B234" s="34">
        <v>12</v>
      </c>
      <c r="C234" s="252"/>
      <c r="D234" s="253"/>
      <c r="F234" s="34">
        <v>12</v>
      </c>
      <c r="G234" s="252"/>
      <c r="H234" s="253"/>
      <c r="J234" s="34">
        <v>12</v>
      </c>
      <c r="K234" s="2"/>
      <c r="L234" s="205"/>
      <c r="P234" s="34">
        <v>12</v>
      </c>
      <c r="Q234" s="2"/>
      <c r="R234" s="205"/>
      <c r="T234" s="34">
        <v>12</v>
      </c>
      <c r="U234" s="252"/>
      <c r="V234" s="253"/>
      <c r="X234" s="34">
        <v>12</v>
      </c>
      <c r="Y234" s="252"/>
      <c r="Z234" s="253"/>
      <c r="AC234" s="5"/>
      <c r="AG234" s="34">
        <v>12</v>
      </c>
      <c r="AH234" s="2"/>
      <c r="AI234" s="205"/>
      <c r="AK234" s="34">
        <v>12</v>
      </c>
      <c r="AL234" s="2"/>
      <c r="AM234" s="205"/>
      <c r="AO234" s="34">
        <v>12</v>
      </c>
      <c r="AP234" s="2"/>
      <c r="AQ234" s="205"/>
      <c r="AU234" s="34">
        <v>12</v>
      </c>
      <c r="AV234" s="141"/>
      <c r="AW234" s="205"/>
      <c r="AY234" s="34">
        <v>12</v>
      </c>
      <c r="AZ234" s="141"/>
      <c r="BA234" s="205"/>
      <c r="BC234" s="34">
        <v>12</v>
      </c>
      <c r="BD234" s="141"/>
      <c r="BE234" s="205"/>
      <c r="BH234" s="5"/>
      <c r="BL234" s="34">
        <v>12</v>
      </c>
      <c r="BM234" s="3"/>
      <c r="BN234" s="77"/>
      <c r="BP234" s="34">
        <v>12</v>
      </c>
      <c r="BQ234" s="3"/>
      <c r="BR234" s="77"/>
      <c r="BV234" s="34">
        <v>12</v>
      </c>
      <c r="BW234" s="3"/>
      <c r="BX234" s="77"/>
      <c r="BZ234" s="34">
        <v>12</v>
      </c>
      <c r="CA234" s="60"/>
      <c r="CB234" s="77"/>
    </row>
    <row r="235" spans="2:80">
      <c r="B235" s="34">
        <v>13</v>
      </c>
      <c r="C235" s="252"/>
      <c r="D235" s="253"/>
      <c r="F235" s="34">
        <v>13</v>
      </c>
      <c r="G235" s="252"/>
      <c r="H235" s="253"/>
      <c r="J235" s="34">
        <v>13</v>
      </c>
      <c r="K235" s="2"/>
      <c r="L235" s="205"/>
      <c r="P235" s="34">
        <v>13</v>
      </c>
      <c r="Q235" s="2"/>
      <c r="R235" s="205"/>
      <c r="T235" s="34">
        <v>13</v>
      </c>
      <c r="U235" s="252"/>
      <c r="V235" s="253"/>
      <c r="X235" s="34">
        <v>13</v>
      </c>
      <c r="Y235" s="252"/>
      <c r="Z235" s="253"/>
      <c r="AC235" s="5"/>
      <c r="AG235" s="34">
        <v>13</v>
      </c>
      <c r="AH235" s="2"/>
      <c r="AI235" s="205"/>
      <c r="AK235" s="34">
        <v>13</v>
      </c>
      <c r="AL235" s="2"/>
      <c r="AM235" s="205"/>
      <c r="AO235" s="34">
        <v>13</v>
      </c>
      <c r="AP235" s="2"/>
      <c r="AQ235" s="205"/>
      <c r="AU235" s="34">
        <v>13</v>
      </c>
      <c r="AV235" s="141"/>
      <c r="AW235" s="205"/>
      <c r="AY235" s="34">
        <v>13</v>
      </c>
      <c r="AZ235" s="141"/>
      <c r="BA235" s="205"/>
      <c r="BC235" s="34">
        <v>13</v>
      </c>
      <c r="BD235" s="141"/>
      <c r="BE235" s="205"/>
      <c r="BH235" s="5"/>
      <c r="BL235" s="34">
        <v>13</v>
      </c>
      <c r="BM235" s="3"/>
      <c r="BN235" s="77"/>
      <c r="BP235" s="34">
        <v>13</v>
      </c>
      <c r="BQ235" s="3"/>
      <c r="BR235" s="77"/>
      <c r="BV235" s="34">
        <v>13</v>
      </c>
      <c r="BW235" s="3"/>
      <c r="BX235" s="77"/>
      <c r="BZ235" s="34">
        <v>13</v>
      </c>
      <c r="CA235" s="60"/>
      <c r="CB235" s="77"/>
    </row>
    <row r="236" spans="2:80">
      <c r="B236" s="34">
        <v>14</v>
      </c>
      <c r="C236" s="252"/>
      <c r="D236" s="253"/>
      <c r="F236" s="34">
        <v>14</v>
      </c>
      <c r="G236" s="252"/>
      <c r="H236" s="253"/>
      <c r="J236" s="34">
        <v>14</v>
      </c>
      <c r="K236" s="2"/>
      <c r="L236" s="205"/>
      <c r="P236" s="34">
        <v>14</v>
      </c>
      <c r="Q236" s="2"/>
      <c r="R236" s="205"/>
      <c r="T236" s="34">
        <v>14</v>
      </c>
      <c r="U236" s="252"/>
      <c r="V236" s="253"/>
      <c r="X236" s="34">
        <v>14</v>
      </c>
      <c r="Y236" s="252"/>
      <c r="Z236" s="253"/>
      <c r="AC236" s="5"/>
      <c r="AG236" s="34">
        <v>14</v>
      </c>
      <c r="AH236" s="2"/>
      <c r="AI236" s="205"/>
      <c r="AK236" s="34">
        <v>14</v>
      </c>
      <c r="AL236" s="2"/>
      <c r="AM236" s="205"/>
      <c r="AO236" s="34">
        <v>14</v>
      </c>
      <c r="AP236" s="2"/>
      <c r="AQ236" s="205"/>
      <c r="AU236" s="34">
        <v>14</v>
      </c>
      <c r="AV236" s="141"/>
      <c r="AW236" s="205"/>
      <c r="AY236" s="34">
        <v>14</v>
      </c>
      <c r="AZ236" s="141"/>
      <c r="BA236" s="205"/>
      <c r="BC236" s="34">
        <v>14</v>
      </c>
      <c r="BD236" s="141"/>
      <c r="BE236" s="205"/>
      <c r="BH236" s="5"/>
      <c r="BL236" s="34">
        <v>14</v>
      </c>
      <c r="BM236" s="3"/>
      <c r="BN236" s="77"/>
      <c r="BP236" s="34">
        <v>14</v>
      </c>
      <c r="BQ236" s="3"/>
      <c r="BR236" s="77"/>
      <c r="BV236" s="34">
        <v>14</v>
      </c>
      <c r="BW236" s="3"/>
      <c r="BX236" s="77"/>
      <c r="BZ236" s="34">
        <v>14</v>
      </c>
      <c r="CA236" s="60"/>
      <c r="CB236" s="77"/>
    </row>
    <row r="237" spans="2:80">
      <c r="B237" s="34">
        <v>15</v>
      </c>
      <c r="C237" s="252"/>
      <c r="D237" s="253"/>
      <c r="F237" s="34">
        <v>15</v>
      </c>
      <c r="G237" s="252"/>
      <c r="H237" s="253"/>
      <c r="J237" s="34">
        <v>15</v>
      </c>
      <c r="K237" s="2"/>
      <c r="L237" s="205"/>
      <c r="P237" s="34">
        <v>15</v>
      </c>
      <c r="Q237" s="2"/>
      <c r="R237" s="205"/>
      <c r="T237" s="34">
        <v>15</v>
      </c>
      <c r="U237" s="252"/>
      <c r="V237" s="253"/>
      <c r="X237" s="34">
        <v>15</v>
      </c>
      <c r="Y237" s="252"/>
      <c r="Z237" s="253"/>
      <c r="AC237" s="5"/>
      <c r="AG237" s="34">
        <v>15</v>
      </c>
      <c r="AH237" s="2"/>
      <c r="AI237" s="205"/>
      <c r="AK237" s="34">
        <v>15</v>
      </c>
      <c r="AL237" s="2"/>
      <c r="AM237" s="205"/>
      <c r="AO237" s="34">
        <v>15</v>
      </c>
      <c r="AP237" s="2"/>
      <c r="AQ237" s="205"/>
      <c r="AU237" s="34">
        <v>15</v>
      </c>
      <c r="AV237" s="141"/>
      <c r="AW237" s="205"/>
      <c r="AY237" s="34">
        <v>15</v>
      </c>
      <c r="AZ237" s="141"/>
      <c r="BA237" s="205"/>
      <c r="BC237" s="34">
        <v>15</v>
      </c>
      <c r="BD237" s="141"/>
      <c r="BE237" s="205"/>
      <c r="BH237" s="5"/>
      <c r="BL237" s="34">
        <v>15</v>
      </c>
      <c r="BM237" s="3"/>
      <c r="BN237" s="77"/>
      <c r="BP237" s="34">
        <v>15</v>
      </c>
      <c r="BQ237" s="3"/>
      <c r="BR237" s="77"/>
      <c r="BV237" s="34">
        <v>15</v>
      </c>
      <c r="BW237" s="3"/>
      <c r="BX237" s="77"/>
      <c r="BZ237" s="34">
        <v>15</v>
      </c>
      <c r="CA237" s="60"/>
      <c r="CB237" s="77"/>
    </row>
    <row r="238" spans="2:80">
      <c r="B238" s="34">
        <v>16</v>
      </c>
      <c r="C238" s="2"/>
      <c r="D238" s="205"/>
      <c r="F238" s="34">
        <v>16</v>
      </c>
      <c r="G238" s="252"/>
      <c r="H238" s="253"/>
      <c r="J238" s="34">
        <v>16</v>
      </c>
      <c r="K238" s="2"/>
      <c r="L238" s="205"/>
      <c r="P238" s="34">
        <v>16</v>
      </c>
      <c r="Q238" s="2"/>
      <c r="R238" s="205"/>
      <c r="T238" s="34">
        <v>16</v>
      </c>
      <c r="U238" s="252"/>
      <c r="V238" s="253"/>
      <c r="X238" s="34">
        <v>16</v>
      </c>
      <c r="Y238" s="252"/>
      <c r="Z238" s="253"/>
      <c r="AC238" s="5"/>
      <c r="AG238" s="34">
        <v>16</v>
      </c>
      <c r="AH238" s="2"/>
      <c r="AI238" s="205"/>
      <c r="AK238" s="34">
        <v>16</v>
      </c>
      <c r="AL238" s="2"/>
      <c r="AM238" s="205"/>
      <c r="AO238" s="34">
        <v>16</v>
      </c>
      <c r="AP238" s="2"/>
      <c r="AQ238" s="205"/>
      <c r="AU238" s="34">
        <v>16</v>
      </c>
      <c r="AV238" s="141"/>
      <c r="AW238" s="205"/>
      <c r="AY238" s="34">
        <v>16</v>
      </c>
      <c r="AZ238" s="141"/>
      <c r="BA238" s="205"/>
      <c r="BC238" s="34">
        <v>16</v>
      </c>
      <c r="BD238" s="141"/>
      <c r="BE238" s="205"/>
      <c r="BH238" s="5"/>
      <c r="BL238" s="34">
        <v>16</v>
      </c>
      <c r="BM238" s="3"/>
      <c r="BN238" s="77"/>
      <c r="BP238" s="34">
        <v>16</v>
      </c>
      <c r="BQ238" s="3"/>
      <c r="BR238" s="77"/>
      <c r="BV238" s="34">
        <v>16</v>
      </c>
      <c r="BW238" s="3"/>
      <c r="BX238" s="77"/>
      <c r="BZ238" s="34">
        <v>16</v>
      </c>
      <c r="CA238" s="60"/>
      <c r="CB238" s="77"/>
    </row>
    <row r="239" spans="2:80">
      <c r="B239" s="34">
        <v>17</v>
      </c>
      <c r="C239" s="2"/>
      <c r="D239" s="205"/>
      <c r="F239" s="34">
        <v>17</v>
      </c>
      <c r="G239" s="2"/>
      <c r="H239" s="205"/>
      <c r="J239" s="34">
        <v>17</v>
      </c>
      <c r="K239" s="2"/>
      <c r="L239" s="205"/>
      <c r="P239" s="34">
        <v>17</v>
      </c>
      <c r="Q239" s="2"/>
      <c r="R239" s="205"/>
      <c r="T239" s="34">
        <v>17</v>
      </c>
      <c r="U239" s="252"/>
      <c r="V239" s="253"/>
      <c r="X239" s="34">
        <v>17</v>
      </c>
      <c r="Y239" s="252"/>
      <c r="Z239" s="253"/>
      <c r="AC239" s="5"/>
      <c r="AG239" s="34">
        <v>17</v>
      </c>
      <c r="AH239" s="2"/>
      <c r="AI239" s="205"/>
      <c r="AK239" s="34">
        <v>17</v>
      </c>
      <c r="AL239" s="2"/>
      <c r="AM239" s="205"/>
      <c r="AO239" s="34">
        <v>17</v>
      </c>
      <c r="AP239" s="2"/>
      <c r="AQ239" s="205"/>
      <c r="AU239" s="34">
        <v>17</v>
      </c>
      <c r="AV239" s="141"/>
      <c r="AW239" s="205"/>
      <c r="AY239" s="34">
        <v>17</v>
      </c>
      <c r="AZ239" s="141"/>
      <c r="BA239" s="205"/>
      <c r="BC239" s="34">
        <v>17</v>
      </c>
      <c r="BD239" s="141"/>
      <c r="BE239" s="205"/>
      <c r="BH239" s="5"/>
      <c r="BL239" s="34">
        <v>17</v>
      </c>
      <c r="BM239" s="3"/>
      <c r="BN239" s="77"/>
      <c r="BP239" s="34">
        <v>17</v>
      </c>
      <c r="BQ239" s="3"/>
      <c r="BR239" s="77"/>
      <c r="BV239" s="34">
        <v>17</v>
      </c>
      <c r="BW239" s="3"/>
      <c r="BX239" s="77"/>
      <c r="BZ239" s="34">
        <v>17</v>
      </c>
      <c r="CA239" s="60"/>
      <c r="CB239" s="77"/>
    </row>
    <row r="240" spans="2:80">
      <c r="B240" s="34">
        <v>18</v>
      </c>
      <c r="C240" s="2"/>
      <c r="D240" s="205"/>
      <c r="F240" s="34">
        <v>18</v>
      </c>
      <c r="G240" s="2"/>
      <c r="H240" s="205"/>
      <c r="J240" s="34">
        <v>18</v>
      </c>
      <c r="K240" s="2"/>
      <c r="L240" s="205"/>
      <c r="P240" s="34">
        <v>18</v>
      </c>
      <c r="Q240" s="2"/>
      <c r="R240" s="205"/>
      <c r="T240" s="34">
        <v>18</v>
      </c>
      <c r="U240" s="2"/>
      <c r="V240" s="205"/>
      <c r="X240" s="34">
        <v>18</v>
      </c>
      <c r="Y240" s="2"/>
      <c r="Z240" s="205"/>
      <c r="AC240" s="5"/>
      <c r="AG240" s="34">
        <v>18</v>
      </c>
      <c r="AH240" s="2"/>
      <c r="AI240" s="205"/>
      <c r="AK240" s="34">
        <v>18</v>
      </c>
      <c r="AL240" s="2"/>
      <c r="AM240" s="205"/>
      <c r="AO240" s="34">
        <v>18</v>
      </c>
      <c r="AP240" s="2"/>
      <c r="AQ240" s="205"/>
      <c r="AU240" s="34">
        <v>18</v>
      </c>
      <c r="AV240" s="141"/>
      <c r="AW240" s="205"/>
      <c r="AY240" s="34">
        <v>18</v>
      </c>
      <c r="AZ240" s="141"/>
      <c r="BA240" s="205"/>
      <c r="BC240" s="34">
        <v>18</v>
      </c>
      <c r="BD240" s="141"/>
      <c r="BE240" s="205"/>
      <c r="BH240" s="5"/>
      <c r="BL240" s="34">
        <v>18</v>
      </c>
      <c r="BM240" s="3"/>
      <c r="BN240" s="77"/>
      <c r="BP240" s="34">
        <v>18</v>
      </c>
      <c r="BQ240" s="3"/>
      <c r="BR240" s="77"/>
      <c r="BV240" s="34">
        <v>18</v>
      </c>
      <c r="BW240" s="3"/>
      <c r="BX240" s="77"/>
      <c r="BZ240" s="34">
        <v>18</v>
      </c>
      <c r="CA240" s="60"/>
      <c r="CB240" s="77"/>
    </row>
    <row r="241" spans="2:86">
      <c r="B241" s="34">
        <v>19</v>
      </c>
      <c r="C241" s="2"/>
      <c r="D241" s="205"/>
      <c r="F241" s="34">
        <v>19</v>
      </c>
      <c r="G241" s="2"/>
      <c r="H241" s="205"/>
      <c r="J241" s="34">
        <v>19</v>
      </c>
      <c r="K241" s="2"/>
      <c r="L241" s="205"/>
      <c r="P241" s="34">
        <v>19</v>
      </c>
      <c r="Q241" s="2"/>
      <c r="R241" s="205"/>
      <c r="T241" s="34">
        <v>19</v>
      </c>
      <c r="U241" s="2"/>
      <c r="V241" s="205"/>
      <c r="X241" s="34">
        <v>19</v>
      </c>
      <c r="Y241" s="2"/>
      <c r="Z241" s="205"/>
      <c r="AC241" s="5"/>
      <c r="AG241" s="34">
        <v>19</v>
      </c>
      <c r="AH241" s="2"/>
      <c r="AI241" s="205"/>
      <c r="AK241" s="34">
        <v>19</v>
      </c>
      <c r="AL241" s="2"/>
      <c r="AM241" s="205"/>
      <c r="AO241" s="34">
        <v>19</v>
      </c>
      <c r="AP241" s="2"/>
      <c r="AQ241" s="205"/>
      <c r="AU241" s="34">
        <v>19</v>
      </c>
      <c r="AV241" s="141"/>
      <c r="AW241" s="205"/>
      <c r="AY241" s="34">
        <v>19</v>
      </c>
      <c r="AZ241" s="141"/>
      <c r="BA241" s="205"/>
      <c r="BC241" s="34">
        <v>19</v>
      </c>
      <c r="BD241" s="141"/>
      <c r="BE241" s="205"/>
      <c r="BH241" s="5"/>
      <c r="BL241" s="34">
        <v>19</v>
      </c>
      <c r="BM241" s="3"/>
      <c r="BN241" s="77"/>
      <c r="BP241" s="34">
        <v>19</v>
      </c>
      <c r="BQ241" s="3"/>
      <c r="BR241" s="4"/>
      <c r="BV241" s="34">
        <v>19</v>
      </c>
      <c r="BW241" s="3"/>
      <c r="BX241" s="77"/>
      <c r="BZ241" s="34">
        <v>19</v>
      </c>
      <c r="CA241" s="60"/>
      <c r="CB241" s="77"/>
    </row>
    <row r="242" spans="2:86">
      <c r="B242" s="34">
        <v>20</v>
      </c>
      <c r="C242" s="2"/>
      <c r="D242" s="205"/>
      <c r="F242" s="34">
        <v>20</v>
      </c>
      <c r="G242" s="2"/>
      <c r="H242" s="205"/>
      <c r="J242" s="34">
        <v>20</v>
      </c>
      <c r="K242" s="2"/>
      <c r="L242" s="205"/>
      <c r="P242" s="34">
        <v>20</v>
      </c>
      <c r="Q242" s="2"/>
      <c r="R242" s="205"/>
      <c r="T242" s="34">
        <v>20</v>
      </c>
      <c r="U242" s="2"/>
      <c r="V242" s="205"/>
      <c r="X242" s="34">
        <v>20</v>
      </c>
      <c r="Y242" s="2"/>
      <c r="Z242" s="205"/>
      <c r="AC242" s="5"/>
      <c r="AG242" s="34">
        <v>20</v>
      </c>
      <c r="AH242" s="2"/>
      <c r="AI242" s="205"/>
      <c r="AK242" s="34">
        <v>20</v>
      </c>
      <c r="AL242" s="2"/>
      <c r="AM242" s="205"/>
      <c r="AO242" s="34">
        <v>20</v>
      </c>
      <c r="AP242" s="2"/>
      <c r="AQ242" s="205"/>
      <c r="AU242" s="34">
        <v>20</v>
      </c>
      <c r="AV242" s="141"/>
      <c r="AW242" s="205"/>
      <c r="AY242" s="34">
        <v>20</v>
      </c>
      <c r="AZ242" s="141"/>
      <c r="BA242" s="205"/>
      <c r="BC242" s="34">
        <v>20</v>
      </c>
      <c r="BD242" s="141"/>
      <c r="BE242" s="205"/>
      <c r="BH242" s="5"/>
      <c r="BL242" s="34">
        <v>20</v>
      </c>
      <c r="BM242" s="3"/>
      <c r="BN242" s="77"/>
      <c r="BP242" s="34">
        <v>20</v>
      </c>
      <c r="BQ242" s="3"/>
      <c r="BR242" s="77"/>
      <c r="BV242" s="34">
        <v>20</v>
      </c>
      <c r="BW242" s="3"/>
      <c r="BX242" s="77"/>
      <c r="BZ242" s="34">
        <v>20</v>
      </c>
      <c r="CA242" s="60"/>
      <c r="CB242" s="77"/>
    </row>
    <row r="243" spans="2:86">
      <c r="B243" s="34">
        <v>21</v>
      </c>
      <c r="C243" s="2"/>
      <c r="D243" s="205"/>
      <c r="F243" s="34">
        <v>21</v>
      </c>
      <c r="G243" s="2"/>
      <c r="H243" s="205"/>
      <c r="J243" s="34">
        <v>21</v>
      </c>
      <c r="K243" s="2"/>
      <c r="L243" s="205"/>
      <c r="P243" s="34">
        <v>21</v>
      </c>
      <c r="Q243" s="2"/>
      <c r="R243" s="205"/>
      <c r="T243" s="34">
        <v>21</v>
      </c>
      <c r="U243" s="2"/>
      <c r="V243" s="205"/>
      <c r="X243" s="34">
        <v>21</v>
      </c>
      <c r="Y243" s="2"/>
      <c r="Z243" s="205"/>
      <c r="AC243" s="5"/>
      <c r="AG243" s="34">
        <v>21</v>
      </c>
      <c r="AH243" s="2"/>
      <c r="AI243" s="205"/>
      <c r="AK243" s="34">
        <v>21</v>
      </c>
      <c r="AL243" s="2"/>
      <c r="AM243" s="205"/>
      <c r="AO243" s="34">
        <v>21</v>
      </c>
      <c r="AP243" s="2"/>
      <c r="AQ243" s="205"/>
      <c r="AU243" s="34">
        <v>21</v>
      </c>
      <c r="AV243" s="141"/>
      <c r="AW243" s="205"/>
      <c r="AY243" s="34">
        <v>21</v>
      </c>
      <c r="AZ243" s="141"/>
      <c r="BA243" s="205"/>
      <c r="BC243" s="34">
        <v>21</v>
      </c>
      <c r="BD243" s="141"/>
      <c r="BE243" s="205"/>
      <c r="BH243" s="5"/>
      <c r="BL243" s="34">
        <v>21</v>
      </c>
      <c r="BM243" s="3"/>
      <c r="BN243" s="77"/>
      <c r="BP243" s="34">
        <v>21</v>
      </c>
      <c r="BQ243" s="3"/>
      <c r="BR243" s="77"/>
      <c r="BV243" s="34">
        <v>21</v>
      </c>
      <c r="BW243" s="3"/>
      <c r="BX243" s="4"/>
      <c r="BZ243" s="34">
        <v>21</v>
      </c>
      <c r="CA243" s="60"/>
      <c r="CB243" s="77"/>
    </row>
    <row r="244" spans="2:86">
      <c r="B244" s="34">
        <v>22</v>
      </c>
      <c r="C244" s="3"/>
      <c r="D244" s="77"/>
      <c r="F244" s="34">
        <v>22</v>
      </c>
      <c r="G244" s="2"/>
      <c r="H244" s="205"/>
      <c r="J244" s="34">
        <v>22</v>
      </c>
      <c r="K244" s="2"/>
      <c r="L244" s="205"/>
      <c r="P244" s="34">
        <v>22</v>
      </c>
      <c r="Q244" s="3"/>
      <c r="R244" s="77"/>
      <c r="T244" s="34">
        <v>22</v>
      </c>
      <c r="U244" s="2"/>
      <c r="V244" s="205"/>
      <c r="X244" s="34">
        <v>22</v>
      </c>
      <c r="Y244" s="2"/>
      <c r="Z244" s="205"/>
      <c r="AC244" s="5"/>
      <c r="AG244" s="34">
        <v>22</v>
      </c>
      <c r="AH244" s="2"/>
      <c r="AI244" s="205"/>
      <c r="AK244" s="34">
        <v>22</v>
      </c>
      <c r="AL244" s="2"/>
      <c r="AM244" s="205"/>
      <c r="AO244" s="34">
        <v>22</v>
      </c>
      <c r="AP244" s="2"/>
      <c r="AQ244" s="205"/>
      <c r="AU244" s="34">
        <v>22</v>
      </c>
      <c r="AV244" s="141"/>
      <c r="AW244" s="205"/>
      <c r="AY244" s="34">
        <v>22</v>
      </c>
      <c r="AZ244" s="141"/>
      <c r="BA244" s="205"/>
      <c r="BC244" s="34">
        <v>22</v>
      </c>
      <c r="BD244" s="141"/>
      <c r="BE244" s="205"/>
      <c r="BH244" s="5"/>
      <c r="BL244" s="34">
        <v>22</v>
      </c>
      <c r="BM244" s="3"/>
      <c r="BN244" s="4"/>
      <c r="BP244" s="34">
        <v>22</v>
      </c>
      <c r="BQ244" s="3"/>
      <c r="BR244" s="4"/>
      <c r="BV244" s="34">
        <v>22</v>
      </c>
      <c r="BW244" s="3"/>
      <c r="BX244" s="4"/>
      <c r="BZ244" s="34">
        <v>22</v>
      </c>
      <c r="CA244" s="60"/>
      <c r="CB244" s="4"/>
    </row>
    <row r="245" spans="2:86">
      <c r="B245" s="34">
        <v>23</v>
      </c>
      <c r="C245" s="3"/>
      <c r="D245" s="77"/>
      <c r="F245" s="34">
        <v>23</v>
      </c>
      <c r="G245" s="3"/>
      <c r="H245" s="77"/>
      <c r="J245" s="34">
        <v>23</v>
      </c>
      <c r="K245" s="3"/>
      <c r="L245" s="77"/>
      <c r="P245" s="34">
        <v>23</v>
      </c>
      <c r="Q245" s="3"/>
      <c r="R245" s="77"/>
      <c r="T245" s="34">
        <v>23</v>
      </c>
      <c r="U245" s="3"/>
      <c r="V245" s="77"/>
      <c r="X245" s="34">
        <v>23</v>
      </c>
      <c r="Y245" s="3"/>
      <c r="Z245" s="77"/>
      <c r="AC245" s="5"/>
      <c r="AG245" s="34">
        <v>23</v>
      </c>
      <c r="AH245" s="2"/>
      <c r="AI245" s="205"/>
      <c r="AK245" s="34">
        <v>23</v>
      </c>
      <c r="AL245" s="2"/>
      <c r="AM245" s="205"/>
      <c r="AO245" s="34">
        <v>23</v>
      </c>
      <c r="AP245" s="2"/>
      <c r="AQ245" s="205"/>
      <c r="AU245" s="34">
        <v>23</v>
      </c>
      <c r="AV245" s="2"/>
      <c r="AW245" s="205"/>
      <c r="AY245" s="34">
        <v>23</v>
      </c>
      <c r="AZ245" s="2"/>
      <c r="BA245" s="205"/>
      <c r="BC245" s="34">
        <v>23</v>
      </c>
      <c r="BD245" s="2"/>
      <c r="BE245" s="205"/>
      <c r="BH245" s="5"/>
      <c r="BL245" s="34">
        <v>23</v>
      </c>
      <c r="BM245" s="3"/>
      <c r="BN245" s="4"/>
      <c r="BP245" s="34">
        <v>23</v>
      </c>
      <c r="BQ245" s="3"/>
      <c r="BR245" s="4"/>
      <c r="BV245" s="34">
        <v>23</v>
      </c>
      <c r="BW245" s="3"/>
      <c r="BX245" s="4"/>
      <c r="BZ245" s="34">
        <v>23</v>
      </c>
      <c r="CA245" s="60"/>
      <c r="CB245" s="4"/>
    </row>
    <row r="246" spans="2:86">
      <c r="AC246" s="5"/>
      <c r="AU246"/>
      <c r="AV246" s="8"/>
      <c r="BC246"/>
      <c r="BD246" s="8"/>
      <c r="BH246" s="5"/>
    </row>
    <row r="247" spans="2:86">
      <c r="AC247" s="5"/>
      <c r="AU247"/>
      <c r="BC247"/>
      <c r="BH247" s="5"/>
    </row>
    <row r="248" spans="2:86">
      <c r="AC248" s="5"/>
      <c r="AU248"/>
      <c r="BC248"/>
      <c r="BH248" s="5"/>
    </row>
    <row r="249" spans="2:86" s="1" customFormat="1" ht="20.25">
      <c r="B249" s="54"/>
      <c r="C249" s="55">
        <f>'NRB 공장 내부 배치도'!C14</f>
        <v>0</v>
      </c>
      <c r="D249" s="199"/>
      <c r="F249" s="54"/>
      <c r="G249" s="55">
        <f>'NRB 공장 내부 배치도'!D14</f>
        <v>0</v>
      </c>
      <c r="H249" s="199"/>
      <c r="J249" s="54"/>
      <c r="K249" s="55">
        <f>'NRB 공장 내부 배치도'!E14</f>
        <v>0</v>
      </c>
      <c r="L249" s="199"/>
      <c r="P249" s="54"/>
      <c r="Q249" s="55">
        <f>'NRB 공장 내부 배치도'!G14</f>
        <v>0</v>
      </c>
      <c r="R249" s="199"/>
      <c r="T249" s="54"/>
      <c r="U249" s="55">
        <f>'NRB 공장 내부 배치도'!H14</f>
        <v>0</v>
      </c>
      <c r="V249" s="199"/>
      <c r="X249" s="54"/>
      <c r="Y249" s="243" t="str">
        <f>'NRB 공장 내부 배치도'!I14</f>
        <v>BH조립다이
403-10-6</v>
      </c>
      <c r="Z249" s="199"/>
      <c r="AC249" s="71"/>
      <c r="AG249" s="54"/>
      <c r="AH249" s="55">
        <f>'NRB 공장 내부 배치도'!L14</f>
        <v>0</v>
      </c>
      <c r="AI249" s="199"/>
      <c r="AK249" s="54"/>
      <c r="AL249" s="243">
        <f>'NRB 공장 내부 배치도'!M14</f>
        <v>0</v>
      </c>
      <c r="AM249" s="199"/>
      <c r="AO249" s="54"/>
      <c r="AP249" s="55">
        <f>'NRB 공장 내부 배치도'!N14</f>
        <v>0</v>
      </c>
      <c r="AQ249" s="199"/>
      <c r="AR249"/>
      <c r="AU249" s="54"/>
      <c r="AV249" s="55">
        <f>'NRB 공장 내부 배치도'!P14</f>
        <v>0</v>
      </c>
      <c r="AW249" s="199"/>
      <c r="AY249" s="54"/>
      <c r="AZ249" s="55">
        <f>'NRB 공장 내부 배치도'!Q14</f>
        <v>0</v>
      </c>
      <c r="BA249" s="199"/>
      <c r="BC249" s="54"/>
      <c r="BD249" s="55">
        <f>'NRB 공장 내부 배치도'!R14</f>
        <v>0</v>
      </c>
      <c r="BE249" s="199"/>
      <c r="BF249" s="204"/>
      <c r="BH249" s="71"/>
      <c r="BL249" s="54"/>
      <c r="BM249" s="55">
        <f>'NRB 공장 내부 배치도'!U14</f>
        <v>0</v>
      </c>
      <c r="BN249" s="56"/>
      <c r="BP249" s="54"/>
      <c r="BQ249" s="55">
        <f>'NRB 공장 내부 배치도'!V14</f>
        <v>0</v>
      </c>
      <c r="BR249" s="56"/>
      <c r="BV249" s="54"/>
      <c r="BW249" s="55">
        <f>'NRB 공장 내부 배치도'!X14</f>
        <v>0</v>
      </c>
      <c r="BX249" s="56"/>
      <c r="BZ249" s="54"/>
      <c r="CA249" s="55">
        <f>'NRB 공장 내부 배치도'!Y14</f>
        <v>0</v>
      </c>
      <c r="CB249" s="56"/>
      <c r="CF249" s="71"/>
      <c r="CG249" s="71"/>
      <c r="CH249" s="71"/>
    </row>
    <row r="250" spans="2:86">
      <c r="B250" s="34">
        <v>1</v>
      </c>
      <c r="C250" s="252"/>
      <c r="D250" s="253"/>
      <c r="F250" s="34">
        <v>1</v>
      </c>
      <c r="G250" s="252"/>
      <c r="H250" s="253"/>
      <c r="J250" s="34">
        <v>1</v>
      </c>
      <c r="K250" s="2"/>
      <c r="L250" s="205"/>
      <c r="P250" s="34">
        <v>1</v>
      </c>
      <c r="Q250" s="2"/>
      <c r="R250" s="205"/>
      <c r="T250" s="34">
        <v>1</v>
      </c>
      <c r="U250" s="252"/>
      <c r="V250" s="253"/>
      <c r="X250" s="34">
        <v>1</v>
      </c>
      <c r="Y250" s="252"/>
      <c r="Z250" s="253"/>
      <c r="AC250" s="5"/>
      <c r="AG250" s="34">
        <v>1</v>
      </c>
      <c r="AH250" s="2"/>
      <c r="AI250" s="205"/>
      <c r="AK250" s="34">
        <v>1</v>
      </c>
      <c r="AL250" s="2"/>
      <c r="AM250" s="205"/>
      <c r="AO250" s="34">
        <v>1</v>
      </c>
      <c r="AP250" s="2"/>
      <c r="AQ250" s="205"/>
      <c r="AU250" s="34">
        <v>1</v>
      </c>
      <c r="AV250" s="141"/>
      <c r="AW250" s="205"/>
      <c r="AY250" s="34">
        <v>1</v>
      </c>
      <c r="AZ250" s="141"/>
      <c r="BA250" s="205"/>
      <c r="BC250" s="34">
        <v>1</v>
      </c>
      <c r="BD250" s="141"/>
      <c r="BE250" s="205"/>
      <c r="BH250" s="5"/>
      <c r="BL250" s="34">
        <v>1</v>
      </c>
      <c r="BM250" s="3"/>
      <c r="BN250" s="77"/>
      <c r="BP250" s="34">
        <v>1</v>
      </c>
      <c r="BQ250" s="3"/>
      <c r="BR250" s="77"/>
      <c r="BV250" s="34">
        <v>1</v>
      </c>
      <c r="BW250" s="3"/>
      <c r="BX250" s="77"/>
      <c r="BZ250" s="34">
        <v>1</v>
      </c>
      <c r="CA250" s="3"/>
      <c r="CB250" s="77"/>
    </row>
    <row r="251" spans="2:86">
      <c r="B251" s="34">
        <v>2</v>
      </c>
      <c r="C251" s="252"/>
      <c r="D251" s="253"/>
      <c r="F251" s="34">
        <v>2</v>
      </c>
      <c r="G251" s="252"/>
      <c r="H251" s="253"/>
      <c r="J251" s="34">
        <v>2</v>
      </c>
      <c r="K251" s="2"/>
      <c r="L251" s="205"/>
      <c r="P251" s="34">
        <v>2</v>
      </c>
      <c r="Q251" s="2"/>
      <c r="R251" s="205"/>
      <c r="T251" s="34">
        <v>2</v>
      </c>
      <c r="U251" s="252"/>
      <c r="V251" s="253"/>
      <c r="X251" s="34">
        <v>2</v>
      </c>
      <c r="Y251" s="252"/>
      <c r="Z251" s="253"/>
      <c r="AC251" s="5"/>
      <c r="AG251" s="34">
        <v>2</v>
      </c>
      <c r="AH251" s="2"/>
      <c r="AI251" s="205"/>
      <c r="AK251" s="34">
        <v>2</v>
      </c>
      <c r="AL251" s="2"/>
      <c r="AM251" s="205"/>
      <c r="AO251" s="34">
        <v>2</v>
      </c>
      <c r="AP251" s="2"/>
      <c r="AQ251" s="205"/>
      <c r="AU251" s="34">
        <v>2</v>
      </c>
      <c r="AV251" s="141"/>
      <c r="AW251" s="205"/>
      <c r="AY251" s="34">
        <v>2</v>
      </c>
      <c r="AZ251" s="141"/>
      <c r="BA251" s="205"/>
      <c r="BC251" s="34">
        <v>2</v>
      </c>
      <c r="BD251" s="141"/>
      <c r="BE251" s="205"/>
      <c r="BH251" s="5"/>
      <c r="BL251" s="34">
        <v>2</v>
      </c>
      <c r="BM251" s="3"/>
      <c r="BN251" s="77"/>
      <c r="BP251" s="34">
        <v>2</v>
      </c>
      <c r="BQ251" s="3"/>
      <c r="BR251" s="77"/>
      <c r="BV251" s="34">
        <v>2</v>
      </c>
      <c r="BW251" s="3"/>
      <c r="BX251" s="77"/>
      <c r="BZ251" s="34">
        <v>2</v>
      </c>
      <c r="CA251" s="3"/>
      <c r="CB251" s="77"/>
    </row>
    <row r="252" spans="2:86">
      <c r="B252" s="34">
        <v>3</v>
      </c>
      <c r="C252" s="252"/>
      <c r="D252" s="254"/>
      <c r="F252" s="34">
        <v>3</v>
      </c>
      <c r="G252" s="252"/>
      <c r="H252" s="253"/>
      <c r="J252" s="34">
        <v>3</v>
      </c>
      <c r="K252" s="2"/>
      <c r="L252" s="205"/>
      <c r="P252" s="34">
        <v>3</v>
      </c>
      <c r="Q252" s="2"/>
      <c r="R252" s="205"/>
      <c r="T252" s="34">
        <v>3</v>
      </c>
      <c r="U252" s="252"/>
      <c r="V252" s="253"/>
      <c r="X252" s="34">
        <v>3</v>
      </c>
      <c r="Y252" s="252"/>
      <c r="Z252" s="253"/>
      <c r="AC252" s="5"/>
      <c r="AG252" s="34">
        <v>3</v>
      </c>
      <c r="AH252" s="2"/>
      <c r="AI252" s="205"/>
      <c r="AK252" s="34">
        <v>3</v>
      </c>
      <c r="AL252" s="2"/>
      <c r="AM252" s="205"/>
      <c r="AO252" s="34">
        <v>3</v>
      </c>
      <c r="AP252" s="2"/>
      <c r="AQ252" s="205"/>
      <c r="AU252" s="34">
        <v>3</v>
      </c>
      <c r="AV252" s="141"/>
      <c r="AW252" s="205"/>
      <c r="AY252" s="34">
        <v>3</v>
      </c>
      <c r="AZ252" s="141"/>
      <c r="BA252" s="205"/>
      <c r="BC252" s="34">
        <v>3</v>
      </c>
      <c r="BD252" s="141"/>
      <c r="BE252" s="205"/>
      <c r="BH252" s="5"/>
      <c r="BL252" s="34">
        <v>3</v>
      </c>
      <c r="BM252" s="3"/>
      <c r="BN252" s="77"/>
      <c r="BP252" s="34">
        <v>3</v>
      </c>
      <c r="BQ252" s="3"/>
      <c r="BR252" s="77"/>
      <c r="BV252" s="34">
        <v>3</v>
      </c>
      <c r="BW252" s="3"/>
      <c r="BX252" s="77"/>
      <c r="BZ252" s="34">
        <v>3</v>
      </c>
      <c r="CA252" s="3"/>
      <c r="CB252" s="77"/>
    </row>
    <row r="253" spans="2:86">
      <c r="B253" s="34">
        <v>4</v>
      </c>
      <c r="C253" s="252"/>
      <c r="D253" s="253"/>
      <c r="F253" s="34">
        <v>4</v>
      </c>
      <c r="G253" s="252"/>
      <c r="H253" s="253"/>
      <c r="J253" s="34">
        <v>4</v>
      </c>
      <c r="K253" s="2"/>
      <c r="L253" s="205"/>
      <c r="P253" s="34">
        <v>4</v>
      </c>
      <c r="Q253" s="2"/>
      <c r="R253" s="205"/>
      <c r="T253" s="34">
        <v>4</v>
      </c>
      <c r="U253" s="252"/>
      <c r="V253" s="253"/>
      <c r="X253" s="34">
        <v>4</v>
      </c>
      <c r="Y253" s="252"/>
      <c r="Z253" s="253"/>
      <c r="AC253" s="5"/>
      <c r="AG253" s="34">
        <v>4</v>
      </c>
      <c r="AH253" s="2"/>
      <c r="AI253" s="205"/>
      <c r="AK253" s="34">
        <v>4</v>
      </c>
      <c r="AL253" s="2"/>
      <c r="AM253" s="205"/>
      <c r="AO253" s="34">
        <v>4</v>
      </c>
      <c r="AP253" s="2"/>
      <c r="AQ253" s="205"/>
      <c r="AU253" s="34">
        <v>4</v>
      </c>
      <c r="AV253" s="141"/>
      <c r="AW253" s="205"/>
      <c r="AY253" s="34">
        <v>4</v>
      </c>
      <c r="AZ253" s="141"/>
      <c r="BA253" s="205"/>
      <c r="BC253" s="34">
        <v>4</v>
      </c>
      <c r="BD253" s="141"/>
      <c r="BE253" s="205"/>
      <c r="BH253" s="5"/>
      <c r="BL253" s="34">
        <v>4</v>
      </c>
      <c r="BM253" s="3"/>
      <c r="BN253" s="77"/>
      <c r="BP253" s="34">
        <v>4</v>
      </c>
      <c r="BQ253" s="3"/>
      <c r="BR253" s="77"/>
      <c r="BV253" s="34">
        <v>4</v>
      </c>
      <c r="BW253" s="3"/>
      <c r="BX253" s="77"/>
      <c r="BZ253" s="34">
        <v>4</v>
      </c>
      <c r="CA253" s="3"/>
      <c r="CB253" s="77"/>
    </row>
    <row r="254" spans="2:86">
      <c r="B254" s="34">
        <v>5</v>
      </c>
      <c r="C254" s="252"/>
      <c r="D254" s="253"/>
      <c r="F254" s="34">
        <v>5</v>
      </c>
      <c r="G254" s="252"/>
      <c r="H254" s="253"/>
      <c r="J254" s="34">
        <v>5</v>
      </c>
      <c r="K254" s="2"/>
      <c r="L254" s="205"/>
      <c r="P254" s="34">
        <v>5</v>
      </c>
      <c r="Q254" s="2"/>
      <c r="R254" s="205"/>
      <c r="T254" s="34">
        <v>5</v>
      </c>
      <c r="U254" s="252"/>
      <c r="V254" s="253"/>
      <c r="X254" s="34">
        <v>5</v>
      </c>
      <c r="Y254" s="252"/>
      <c r="Z254" s="253"/>
      <c r="AC254" s="5"/>
      <c r="AG254" s="34">
        <v>5</v>
      </c>
      <c r="AH254" s="2"/>
      <c r="AI254" s="205"/>
      <c r="AK254" s="34">
        <v>5</v>
      </c>
      <c r="AL254" s="2"/>
      <c r="AM254" s="205"/>
      <c r="AO254" s="34">
        <v>5</v>
      </c>
      <c r="AP254" s="2"/>
      <c r="AQ254" s="205"/>
      <c r="AR254" s="1"/>
      <c r="AU254" s="34">
        <v>5</v>
      </c>
      <c r="AV254" s="141"/>
      <c r="AW254" s="205"/>
      <c r="AY254" s="34">
        <v>5</v>
      </c>
      <c r="AZ254" s="141"/>
      <c r="BA254" s="205"/>
      <c r="BC254" s="34">
        <v>5</v>
      </c>
      <c r="BD254" s="141"/>
      <c r="BE254" s="205"/>
      <c r="BH254" s="5"/>
      <c r="BL254" s="34">
        <v>5</v>
      </c>
      <c r="BM254" s="3"/>
      <c r="BN254" s="77"/>
      <c r="BP254" s="34">
        <v>5</v>
      </c>
      <c r="BQ254" s="3"/>
      <c r="BR254" s="77"/>
      <c r="BV254" s="34">
        <v>5</v>
      </c>
      <c r="BW254" s="3"/>
      <c r="BX254" s="77"/>
      <c r="BZ254" s="34">
        <v>5</v>
      </c>
      <c r="CA254" s="3"/>
      <c r="CB254" s="77"/>
    </row>
    <row r="255" spans="2:86">
      <c r="B255" s="34">
        <v>6</v>
      </c>
      <c r="C255" s="252"/>
      <c r="D255" s="253"/>
      <c r="F255" s="34">
        <v>6</v>
      </c>
      <c r="G255" s="252"/>
      <c r="H255" s="253"/>
      <c r="J255" s="34">
        <v>6</v>
      </c>
      <c r="K255" s="2"/>
      <c r="L255" s="205"/>
      <c r="P255" s="34">
        <v>6</v>
      </c>
      <c r="Q255" s="2"/>
      <c r="R255" s="205"/>
      <c r="T255" s="34">
        <v>6</v>
      </c>
      <c r="U255" s="252"/>
      <c r="V255" s="253"/>
      <c r="X255" s="34">
        <v>6</v>
      </c>
      <c r="Y255" s="252"/>
      <c r="Z255" s="253"/>
      <c r="AC255" s="5"/>
      <c r="AG255" s="34">
        <v>6</v>
      </c>
      <c r="AH255" s="2"/>
      <c r="AI255" s="205"/>
      <c r="AK255" s="34">
        <v>6</v>
      </c>
      <c r="AL255" s="2"/>
      <c r="AM255" s="205"/>
      <c r="AO255" s="34">
        <v>6</v>
      </c>
      <c r="AP255" s="2"/>
      <c r="AQ255" s="205"/>
      <c r="AU255" s="34">
        <v>6</v>
      </c>
      <c r="AV255" s="141"/>
      <c r="AW255" s="205"/>
      <c r="AY255" s="34">
        <v>6</v>
      </c>
      <c r="AZ255" s="141"/>
      <c r="BA255" s="205"/>
      <c r="BC255" s="34">
        <v>6</v>
      </c>
      <c r="BD255" s="141"/>
      <c r="BE255" s="205"/>
      <c r="BH255" s="5"/>
      <c r="BL255" s="34">
        <v>6</v>
      </c>
      <c r="BM255" s="3"/>
      <c r="BN255" s="77"/>
      <c r="BP255" s="34">
        <v>6</v>
      </c>
      <c r="BQ255" s="3"/>
      <c r="BR255" s="77"/>
      <c r="BV255" s="34">
        <v>6</v>
      </c>
      <c r="BW255" s="3"/>
      <c r="BX255" s="77"/>
      <c r="BZ255" s="34">
        <v>6</v>
      </c>
      <c r="CA255" s="3"/>
      <c r="CB255" s="77"/>
    </row>
    <row r="256" spans="2:86">
      <c r="B256" s="34">
        <v>7</v>
      </c>
      <c r="C256" s="252"/>
      <c r="D256" s="253"/>
      <c r="F256" s="34">
        <v>7</v>
      </c>
      <c r="G256" s="252"/>
      <c r="H256" s="253"/>
      <c r="J256" s="34">
        <v>7</v>
      </c>
      <c r="K256" s="2"/>
      <c r="L256" s="205"/>
      <c r="P256" s="34">
        <v>7</v>
      </c>
      <c r="Q256" s="2"/>
      <c r="R256" s="205"/>
      <c r="T256" s="34">
        <v>7</v>
      </c>
      <c r="U256" s="252"/>
      <c r="V256" s="253"/>
      <c r="X256" s="34">
        <v>7</v>
      </c>
      <c r="Y256" s="252"/>
      <c r="Z256" s="253"/>
      <c r="AC256" s="5"/>
      <c r="AG256" s="34">
        <v>7</v>
      </c>
      <c r="AH256" s="2"/>
      <c r="AI256" s="205"/>
      <c r="AK256" s="34">
        <v>7</v>
      </c>
      <c r="AL256" s="2"/>
      <c r="AM256" s="205"/>
      <c r="AO256" s="34">
        <v>7</v>
      </c>
      <c r="AP256" s="2"/>
      <c r="AQ256" s="205"/>
      <c r="AU256" s="34">
        <v>7</v>
      </c>
      <c r="AV256" s="141"/>
      <c r="AW256" s="205"/>
      <c r="AY256" s="34">
        <v>7</v>
      </c>
      <c r="AZ256" s="141"/>
      <c r="BA256" s="205"/>
      <c r="BC256" s="34">
        <v>7</v>
      </c>
      <c r="BD256" s="141"/>
      <c r="BE256" s="205"/>
      <c r="BH256" s="5"/>
      <c r="BL256" s="34">
        <v>7</v>
      </c>
      <c r="BM256" s="3"/>
      <c r="BN256" s="77"/>
      <c r="BP256" s="34">
        <v>7</v>
      </c>
      <c r="BQ256" s="3"/>
      <c r="BR256" s="77"/>
      <c r="BV256" s="34">
        <v>7</v>
      </c>
      <c r="BW256" s="3"/>
      <c r="BX256" s="77"/>
      <c r="BZ256" s="34">
        <v>7</v>
      </c>
      <c r="CA256" s="3"/>
      <c r="CB256" s="77"/>
    </row>
    <row r="257" spans="2:80">
      <c r="B257" s="34">
        <v>8</v>
      </c>
      <c r="C257" s="252"/>
      <c r="D257" s="253"/>
      <c r="F257" s="34">
        <v>8</v>
      </c>
      <c r="G257" s="252"/>
      <c r="H257" s="253"/>
      <c r="J257" s="34">
        <v>8</v>
      </c>
      <c r="K257" s="2"/>
      <c r="L257" s="205"/>
      <c r="P257" s="34">
        <v>8</v>
      </c>
      <c r="Q257" s="2"/>
      <c r="R257" s="205"/>
      <c r="T257" s="34">
        <v>8</v>
      </c>
      <c r="U257" s="252"/>
      <c r="V257" s="253"/>
      <c r="X257" s="34">
        <v>8</v>
      </c>
      <c r="Y257" s="252"/>
      <c r="Z257" s="253"/>
      <c r="AC257" s="5"/>
      <c r="AG257" s="34">
        <v>8</v>
      </c>
      <c r="AH257" s="2"/>
      <c r="AI257" s="205"/>
      <c r="AK257" s="34">
        <v>8</v>
      </c>
      <c r="AL257" s="2"/>
      <c r="AM257" s="205"/>
      <c r="AO257" s="34">
        <v>8</v>
      </c>
      <c r="AP257" s="2"/>
      <c r="AQ257" s="205"/>
      <c r="AU257" s="34">
        <v>8</v>
      </c>
      <c r="AV257" s="141"/>
      <c r="AW257" s="205"/>
      <c r="AY257" s="34">
        <v>8</v>
      </c>
      <c r="AZ257" s="141"/>
      <c r="BA257" s="205"/>
      <c r="BC257" s="34">
        <v>8</v>
      </c>
      <c r="BD257" s="141"/>
      <c r="BE257" s="205"/>
      <c r="BH257" s="5"/>
      <c r="BL257" s="34">
        <v>8</v>
      </c>
      <c r="BM257" s="3"/>
      <c r="BN257" s="77"/>
      <c r="BP257" s="34">
        <v>8</v>
      </c>
      <c r="BQ257" s="3"/>
      <c r="BR257" s="77"/>
      <c r="BV257" s="34">
        <v>8</v>
      </c>
      <c r="BW257" s="3"/>
      <c r="BX257" s="77"/>
      <c r="BZ257" s="34">
        <v>8</v>
      </c>
      <c r="CA257" s="3"/>
      <c r="CB257" s="77"/>
    </row>
    <row r="258" spans="2:80">
      <c r="B258" s="34">
        <v>9</v>
      </c>
      <c r="C258" s="252"/>
      <c r="D258" s="253"/>
      <c r="F258" s="34">
        <v>9</v>
      </c>
      <c r="G258" s="252"/>
      <c r="H258" s="253"/>
      <c r="J258" s="34">
        <v>9</v>
      </c>
      <c r="K258" s="109"/>
      <c r="L258" s="205"/>
      <c r="P258" s="34">
        <v>9</v>
      </c>
      <c r="Q258" s="2"/>
      <c r="R258" s="205"/>
      <c r="T258" s="34">
        <v>9</v>
      </c>
      <c r="U258" s="252"/>
      <c r="V258" s="253"/>
      <c r="X258" s="34">
        <v>9</v>
      </c>
      <c r="Y258" s="252"/>
      <c r="Z258" s="253"/>
      <c r="AC258" s="5"/>
      <c r="AG258" s="34">
        <v>9</v>
      </c>
      <c r="AH258" s="2"/>
      <c r="AI258" s="205"/>
      <c r="AK258" s="34">
        <v>9</v>
      </c>
      <c r="AL258" s="2"/>
      <c r="AM258" s="205"/>
      <c r="AO258" s="34">
        <v>9</v>
      </c>
      <c r="AP258" s="2"/>
      <c r="AQ258" s="205"/>
      <c r="AU258" s="34">
        <v>9</v>
      </c>
      <c r="AV258" s="141"/>
      <c r="AW258" s="205"/>
      <c r="AY258" s="34">
        <v>9</v>
      </c>
      <c r="AZ258" s="141"/>
      <c r="BA258" s="205"/>
      <c r="BC258" s="34">
        <v>9</v>
      </c>
      <c r="BD258" s="141"/>
      <c r="BE258" s="205"/>
      <c r="BH258" s="5"/>
      <c r="BL258" s="34">
        <v>9</v>
      </c>
      <c r="BM258" s="3"/>
      <c r="BN258" s="77"/>
      <c r="BP258" s="34">
        <v>9</v>
      </c>
      <c r="BQ258" s="3"/>
      <c r="BR258" s="77"/>
      <c r="BV258" s="34">
        <v>9</v>
      </c>
      <c r="BW258" s="3"/>
      <c r="BX258" s="77"/>
      <c r="BZ258" s="34">
        <v>9</v>
      </c>
      <c r="CA258" s="3"/>
      <c r="CB258" s="77"/>
    </row>
    <row r="259" spans="2:80">
      <c r="B259" s="34">
        <v>10</v>
      </c>
      <c r="C259" s="252"/>
      <c r="D259" s="253"/>
      <c r="F259" s="34">
        <v>10</v>
      </c>
      <c r="G259" s="252"/>
      <c r="H259" s="253"/>
      <c r="J259" s="34">
        <v>10</v>
      </c>
      <c r="K259" s="2"/>
      <c r="L259" s="205"/>
      <c r="P259" s="34">
        <v>10</v>
      </c>
      <c r="Q259" s="2"/>
      <c r="R259" s="205"/>
      <c r="T259" s="34">
        <v>10</v>
      </c>
      <c r="U259" s="252"/>
      <c r="V259" s="253"/>
      <c r="X259" s="34">
        <v>10</v>
      </c>
      <c r="Y259" s="252"/>
      <c r="Z259" s="253"/>
      <c r="AC259" s="5"/>
      <c r="AG259" s="34">
        <v>10</v>
      </c>
      <c r="AH259" s="2"/>
      <c r="AI259" s="205"/>
      <c r="AK259" s="34">
        <v>10</v>
      </c>
      <c r="AL259" s="2"/>
      <c r="AM259" s="205"/>
      <c r="AO259" s="34">
        <v>10</v>
      </c>
      <c r="AP259" s="2"/>
      <c r="AQ259" s="205"/>
      <c r="AU259" s="34">
        <v>10</v>
      </c>
      <c r="AV259" s="141"/>
      <c r="AW259" s="205"/>
      <c r="AY259" s="34">
        <v>10</v>
      </c>
      <c r="AZ259" s="141"/>
      <c r="BA259" s="205"/>
      <c r="BC259" s="34">
        <v>10</v>
      </c>
      <c r="BD259" s="141"/>
      <c r="BE259" s="205"/>
      <c r="BH259" s="5"/>
      <c r="BL259" s="34">
        <v>10</v>
      </c>
      <c r="BM259" s="3"/>
      <c r="BN259" s="77"/>
      <c r="BP259" s="34">
        <v>10</v>
      </c>
      <c r="BQ259" s="3"/>
      <c r="BR259" s="77"/>
      <c r="BV259" s="34">
        <v>10</v>
      </c>
      <c r="BW259" s="3"/>
      <c r="BX259" s="77"/>
      <c r="BZ259" s="34">
        <v>10</v>
      </c>
      <c r="CA259" s="3"/>
      <c r="CB259" s="77"/>
    </row>
    <row r="260" spans="2:80">
      <c r="B260" s="34">
        <v>11</v>
      </c>
      <c r="C260" s="252"/>
      <c r="D260" s="253"/>
      <c r="F260" s="34">
        <v>11</v>
      </c>
      <c r="G260" s="252"/>
      <c r="H260" s="253"/>
      <c r="J260" s="34">
        <v>11</v>
      </c>
      <c r="K260" s="2"/>
      <c r="L260" s="205"/>
      <c r="P260" s="34">
        <v>11</v>
      </c>
      <c r="Q260" s="2"/>
      <c r="R260" s="205"/>
      <c r="T260" s="34">
        <v>11</v>
      </c>
      <c r="U260" s="252"/>
      <c r="V260" s="253"/>
      <c r="X260" s="34">
        <v>11</v>
      </c>
      <c r="Y260" s="252"/>
      <c r="Z260" s="253"/>
      <c r="AC260" s="5"/>
      <c r="AG260" s="34">
        <v>11</v>
      </c>
      <c r="AH260" s="2"/>
      <c r="AI260" s="205"/>
      <c r="AK260" s="34">
        <v>11</v>
      </c>
      <c r="AL260" s="2"/>
      <c r="AM260" s="205"/>
      <c r="AO260" s="34">
        <v>11</v>
      </c>
      <c r="AP260" s="2"/>
      <c r="AQ260" s="205"/>
      <c r="AU260" s="34">
        <v>11</v>
      </c>
      <c r="AV260" s="141"/>
      <c r="AW260" s="205"/>
      <c r="AY260" s="34">
        <v>11</v>
      </c>
      <c r="AZ260" s="141"/>
      <c r="BA260" s="205"/>
      <c r="BC260" s="34">
        <v>11</v>
      </c>
      <c r="BD260" s="141"/>
      <c r="BE260" s="205"/>
      <c r="BH260" s="5"/>
      <c r="BL260" s="34">
        <v>11</v>
      </c>
      <c r="BM260" s="3"/>
      <c r="BN260" s="77"/>
      <c r="BP260" s="34">
        <v>11</v>
      </c>
      <c r="BQ260" s="3"/>
      <c r="BR260" s="77"/>
      <c r="BV260" s="34">
        <v>11</v>
      </c>
      <c r="BW260" s="3"/>
      <c r="BX260" s="77"/>
      <c r="BZ260" s="34">
        <v>11</v>
      </c>
      <c r="CA260" s="3"/>
      <c r="CB260" s="77"/>
    </row>
    <row r="261" spans="2:80">
      <c r="B261" s="34">
        <v>12</v>
      </c>
      <c r="C261" s="252"/>
      <c r="D261" s="253"/>
      <c r="F261" s="34">
        <v>12</v>
      </c>
      <c r="G261" s="252"/>
      <c r="H261" s="253"/>
      <c r="J261" s="34">
        <v>12</v>
      </c>
      <c r="K261" s="2"/>
      <c r="L261" s="205"/>
      <c r="P261" s="34">
        <v>12</v>
      </c>
      <c r="Q261" s="2"/>
      <c r="R261" s="205"/>
      <c r="T261" s="34">
        <v>12</v>
      </c>
      <c r="U261" s="252"/>
      <c r="V261" s="253"/>
      <c r="X261" s="34">
        <v>12</v>
      </c>
      <c r="Y261" s="252"/>
      <c r="Z261" s="253"/>
      <c r="AC261" s="5"/>
      <c r="AG261" s="34">
        <v>12</v>
      </c>
      <c r="AH261" s="2"/>
      <c r="AI261" s="205"/>
      <c r="AK261" s="34">
        <v>12</v>
      </c>
      <c r="AL261" s="2"/>
      <c r="AM261" s="205"/>
      <c r="AO261" s="34">
        <v>12</v>
      </c>
      <c r="AP261" s="2"/>
      <c r="AQ261" s="205"/>
      <c r="AU261" s="34">
        <v>12</v>
      </c>
      <c r="AV261" s="141"/>
      <c r="AW261" s="205"/>
      <c r="AY261" s="34">
        <v>12</v>
      </c>
      <c r="AZ261" s="141"/>
      <c r="BA261" s="205"/>
      <c r="BC261" s="34">
        <v>12</v>
      </c>
      <c r="BD261" s="141"/>
      <c r="BE261" s="205"/>
      <c r="BH261" s="5"/>
      <c r="BL261" s="34">
        <v>12</v>
      </c>
      <c r="BM261" s="3"/>
      <c r="BN261" s="77"/>
      <c r="BP261" s="34">
        <v>12</v>
      </c>
      <c r="BQ261" s="3"/>
      <c r="BR261" s="77"/>
      <c r="BV261" s="34">
        <v>12</v>
      </c>
      <c r="BW261" s="3"/>
      <c r="BX261" s="77"/>
      <c r="BZ261" s="34">
        <v>12</v>
      </c>
      <c r="CA261" s="3"/>
      <c r="CB261" s="77"/>
    </row>
    <row r="262" spans="2:80">
      <c r="B262" s="34">
        <v>13</v>
      </c>
      <c r="C262" s="252"/>
      <c r="D262" s="253"/>
      <c r="F262" s="34">
        <v>13</v>
      </c>
      <c r="G262" s="252"/>
      <c r="H262" s="253"/>
      <c r="J262" s="34">
        <v>13</v>
      </c>
      <c r="K262" s="2"/>
      <c r="L262" s="205"/>
      <c r="P262" s="34">
        <v>13</v>
      </c>
      <c r="Q262" s="109"/>
      <c r="R262" s="205"/>
      <c r="T262" s="34">
        <v>13</v>
      </c>
      <c r="U262" s="252"/>
      <c r="V262" s="253"/>
      <c r="X262" s="34">
        <v>13</v>
      </c>
      <c r="Y262" s="252"/>
      <c r="Z262" s="253"/>
      <c r="AC262" s="5"/>
      <c r="AG262" s="34">
        <v>13</v>
      </c>
      <c r="AH262" s="2"/>
      <c r="AI262" s="205"/>
      <c r="AK262" s="34">
        <v>13</v>
      </c>
      <c r="AL262" s="109"/>
      <c r="AM262" s="205"/>
      <c r="AO262" s="34">
        <v>13</v>
      </c>
      <c r="AP262" s="2"/>
      <c r="AQ262" s="205"/>
      <c r="AU262" s="34">
        <v>13</v>
      </c>
      <c r="AV262" s="141"/>
      <c r="AW262" s="205"/>
      <c r="AY262" s="34">
        <v>13</v>
      </c>
      <c r="AZ262" s="141"/>
      <c r="BA262" s="205"/>
      <c r="BC262" s="34">
        <v>13</v>
      </c>
      <c r="BD262" s="141"/>
      <c r="BE262" s="205"/>
      <c r="BH262" s="5"/>
      <c r="BL262" s="34">
        <v>13</v>
      </c>
      <c r="BM262" s="3"/>
      <c r="BN262" s="77"/>
      <c r="BP262" s="34">
        <v>13</v>
      </c>
      <c r="BQ262" s="3"/>
      <c r="BR262" s="77"/>
      <c r="BV262" s="34">
        <v>13</v>
      </c>
      <c r="BW262" s="3"/>
      <c r="BX262" s="77"/>
      <c r="BZ262" s="34">
        <v>13</v>
      </c>
      <c r="CA262" s="3"/>
      <c r="CB262" s="77"/>
    </row>
    <row r="263" spans="2:80">
      <c r="B263" s="34">
        <v>14</v>
      </c>
      <c r="C263" s="252"/>
      <c r="D263" s="253"/>
      <c r="F263" s="34">
        <v>14</v>
      </c>
      <c r="G263" s="252"/>
      <c r="H263" s="253"/>
      <c r="J263" s="34">
        <v>14</v>
      </c>
      <c r="K263" s="2"/>
      <c r="L263" s="205"/>
      <c r="P263" s="34">
        <v>14</v>
      </c>
      <c r="Q263" s="2"/>
      <c r="R263" s="205"/>
      <c r="T263" s="34">
        <v>14</v>
      </c>
      <c r="U263" s="252"/>
      <c r="V263" s="253"/>
      <c r="X263" s="34">
        <v>14</v>
      </c>
      <c r="Y263" s="252"/>
      <c r="Z263" s="253"/>
      <c r="AC263" s="5"/>
      <c r="AG263" s="34">
        <v>14</v>
      </c>
      <c r="AH263" s="2"/>
      <c r="AI263" s="205"/>
      <c r="AK263" s="34">
        <v>14</v>
      </c>
      <c r="AL263" s="2"/>
      <c r="AM263" s="205"/>
      <c r="AO263" s="34">
        <v>14</v>
      </c>
      <c r="AP263" s="2"/>
      <c r="AQ263" s="205"/>
      <c r="AU263" s="34">
        <v>14</v>
      </c>
      <c r="AV263" s="141"/>
      <c r="AW263" s="205"/>
      <c r="AY263" s="34">
        <v>14</v>
      </c>
      <c r="AZ263" s="141"/>
      <c r="BA263" s="205"/>
      <c r="BC263" s="34">
        <v>14</v>
      </c>
      <c r="BD263" s="141"/>
      <c r="BE263" s="205"/>
      <c r="BH263" s="5"/>
      <c r="BL263" s="34">
        <v>14</v>
      </c>
      <c r="BM263" s="3"/>
      <c r="BN263" s="77"/>
      <c r="BP263" s="34">
        <v>14</v>
      </c>
      <c r="BQ263" s="3"/>
      <c r="BR263" s="77"/>
      <c r="BV263" s="34">
        <v>14</v>
      </c>
      <c r="BW263" s="3"/>
      <c r="BX263" s="77"/>
      <c r="BZ263" s="34">
        <v>14</v>
      </c>
      <c r="CA263" s="3"/>
      <c r="CB263" s="77"/>
    </row>
    <row r="264" spans="2:80">
      <c r="B264" s="34">
        <v>15</v>
      </c>
      <c r="C264" s="252"/>
      <c r="D264" s="253"/>
      <c r="F264" s="34">
        <v>15</v>
      </c>
      <c r="G264" s="252"/>
      <c r="H264" s="205"/>
      <c r="J264" s="34">
        <v>15</v>
      </c>
      <c r="K264" s="2"/>
      <c r="L264" s="205"/>
      <c r="P264" s="34">
        <v>15</v>
      </c>
      <c r="Q264" s="2"/>
      <c r="R264" s="205"/>
      <c r="T264" s="34">
        <v>15</v>
      </c>
      <c r="U264" s="252"/>
      <c r="V264" s="253"/>
      <c r="X264" s="34">
        <v>15</v>
      </c>
      <c r="Y264" s="252"/>
      <c r="Z264" s="253"/>
      <c r="AC264" s="5"/>
      <c r="AG264" s="34">
        <v>15</v>
      </c>
      <c r="AH264" s="2"/>
      <c r="AI264" s="205"/>
      <c r="AK264" s="34">
        <v>15</v>
      </c>
      <c r="AL264" s="2"/>
      <c r="AM264" s="205"/>
      <c r="AO264" s="34">
        <v>15</v>
      </c>
      <c r="AP264" s="2"/>
      <c r="AQ264" s="205"/>
      <c r="AU264" s="34">
        <v>15</v>
      </c>
      <c r="AV264" s="141"/>
      <c r="AW264" s="205"/>
      <c r="AY264" s="34">
        <v>15</v>
      </c>
      <c r="AZ264" s="141"/>
      <c r="BA264" s="205"/>
      <c r="BC264" s="34">
        <v>15</v>
      </c>
      <c r="BD264" s="141"/>
      <c r="BE264" s="205"/>
      <c r="BH264" s="5"/>
      <c r="BL264" s="34">
        <v>15</v>
      </c>
      <c r="BM264" s="3"/>
      <c r="BN264" s="77"/>
      <c r="BP264" s="34">
        <v>15</v>
      </c>
      <c r="BQ264" s="3"/>
      <c r="BR264" s="77"/>
      <c r="BV264" s="34">
        <v>15</v>
      </c>
      <c r="BW264" s="3"/>
      <c r="BX264" s="77"/>
      <c r="BZ264" s="34">
        <v>15</v>
      </c>
      <c r="CA264" s="3"/>
      <c r="CB264" s="77"/>
    </row>
    <row r="265" spans="2:80">
      <c r="B265" s="34">
        <v>16</v>
      </c>
      <c r="C265" s="252"/>
      <c r="D265" s="253"/>
      <c r="F265" s="34">
        <v>16</v>
      </c>
      <c r="G265" s="2"/>
      <c r="H265" s="205"/>
      <c r="J265" s="34">
        <v>16</v>
      </c>
      <c r="K265" s="2"/>
      <c r="L265" s="205"/>
      <c r="P265" s="34">
        <v>16</v>
      </c>
      <c r="Q265" s="2"/>
      <c r="R265" s="205"/>
      <c r="T265" s="34">
        <v>16</v>
      </c>
      <c r="U265" s="2"/>
      <c r="V265" s="205"/>
      <c r="X265" s="34">
        <v>16</v>
      </c>
      <c r="Y265" s="252"/>
      <c r="Z265" s="253"/>
      <c r="AC265" s="5"/>
      <c r="AG265" s="34">
        <v>16</v>
      </c>
      <c r="AH265" s="2"/>
      <c r="AI265" s="205"/>
      <c r="AK265" s="34">
        <v>16</v>
      </c>
      <c r="AL265" s="2"/>
      <c r="AM265" s="205"/>
      <c r="AO265" s="34">
        <v>16</v>
      </c>
      <c r="AP265" s="2"/>
      <c r="AQ265" s="205"/>
      <c r="AU265" s="34">
        <v>16</v>
      </c>
      <c r="AV265" s="141"/>
      <c r="AW265" s="205"/>
      <c r="AY265" s="34">
        <v>16</v>
      </c>
      <c r="AZ265" s="141"/>
      <c r="BA265" s="205"/>
      <c r="BC265" s="34">
        <v>16</v>
      </c>
      <c r="BD265" s="141"/>
      <c r="BE265" s="205"/>
      <c r="BH265" s="5"/>
      <c r="BL265" s="34">
        <v>16</v>
      </c>
      <c r="BM265" s="3"/>
      <c r="BN265" s="77"/>
      <c r="BP265" s="34">
        <v>16</v>
      </c>
      <c r="BQ265" s="3"/>
      <c r="BR265" s="77"/>
      <c r="BV265" s="34">
        <v>16</v>
      </c>
      <c r="BW265" s="3"/>
      <c r="BX265" s="77"/>
      <c r="BZ265" s="34">
        <v>16</v>
      </c>
      <c r="CA265" s="3"/>
      <c r="CB265" s="77"/>
    </row>
    <row r="266" spans="2:80">
      <c r="B266" s="34">
        <v>17</v>
      </c>
      <c r="C266" s="2"/>
      <c r="D266" s="205"/>
      <c r="F266" s="34">
        <v>17</v>
      </c>
      <c r="G266" s="2"/>
      <c r="H266" s="205"/>
      <c r="J266" s="34">
        <v>17</v>
      </c>
      <c r="K266" s="2"/>
      <c r="L266" s="205"/>
      <c r="P266" s="34">
        <v>17</v>
      </c>
      <c r="Q266" s="2"/>
      <c r="R266" s="205"/>
      <c r="T266" s="34">
        <v>17</v>
      </c>
      <c r="U266" s="2"/>
      <c r="V266" s="205"/>
      <c r="X266" s="34">
        <v>17</v>
      </c>
      <c r="Y266" s="252"/>
      <c r="Z266" s="253"/>
      <c r="AC266" s="5"/>
      <c r="AG266" s="34">
        <v>17</v>
      </c>
      <c r="AH266" s="2"/>
      <c r="AI266" s="205"/>
      <c r="AK266" s="34">
        <v>17</v>
      </c>
      <c r="AL266" s="2"/>
      <c r="AM266" s="205"/>
      <c r="AN266" s="108"/>
      <c r="AO266" s="34">
        <v>17</v>
      </c>
      <c r="AP266" s="2"/>
      <c r="AQ266" s="205"/>
      <c r="AU266" s="34">
        <v>17</v>
      </c>
      <c r="AV266" s="141"/>
      <c r="AW266" s="205"/>
      <c r="AY266" s="34">
        <v>17</v>
      </c>
      <c r="AZ266" s="141"/>
      <c r="BA266" s="205"/>
      <c r="BC266" s="34">
        <v>17</v>
      </c>
      <c r="BD266" s="141"/>
      <c r="BE266" s="205"/>
      <c r="BH266" s="5"/>
      <c r="BL266" s="34">
        <v>17</v>
      </c>
      <c r="BM266" s="3"/>
      <c r="BN266" s="77"/>
      <c r="BP266" s="34">
        <v>17</v>
      </c>
      <c r="BQ266" s="3"/>
      <c r="BR266" s="77"/>
      <c r="BV266" s="34">
        <v>17</v>
      </c>
      <c r="BW266" s="3"/>
      <c r="BX266" s="77"/>
      <c r="BZ266" s="34">
        <v>17</v>
      </c>
      <c r="CA266" s="3"/>
      <c r="CB266" s="77"/>
    </row>
    <row r="267" spans="2:80">
      <c r="B267" s="34">
        <v>18</v>
      </c>
      <c r="C267" s="2"/>
      <c r="D267" s="205"/>
      <c r="F267" s="34">
        <v>18</v>
      </c>
      <c r="G267" s="2"/>
      <c r="H267" s="205"/>
      <c r="J267" s="34">
        <v>18</v>
      </c>
      <c r="K267" s="2"/>
      <c r="L267" s="205"/>
      <c r="P267" s="34">
        <v>18</v>
      </c>
      <c r="Q267" s="2"/>
      <c r="R267" s="205"/>
      <c r="T267" s="34">
        <v>18</v>
      </c>
      <c r="U267" s="2"/>
      <c r="V267" s="205"/>
      <c r="X267" s="34">
        <v>18</v>
      </c>
      <c r="Y267" s="252"/>
      <c r="Z267" s="253"/>
      <c r="AC267" s="5"/>
      <c r="AG267" s="34">
        <v>18</v>
      </c>
      <c r="AH267" s="2"/>
      <c r="AI267" s="205"/>
      <c r="AK267" s="34">
        <v>18</v>
      </c>
      <c r="AL267" s="2"/>
      <c r="AM267" s="205"/>
      <c r="AO267" s="34">
        <v>18</v>
      </c>
      <c r="AP267" s="2"/>
      <c r="AQ267" s="205"/>
      <c r="AU267" s="34">
        <v>18</v>
      </c>
      <c r="AV267" s="141"/>
      <c r="AW267" s="205"/>
      <c r="AY267" s="34">
        <v>18</v>
      </c>
      <c r="AZ267" s="141"/>
      <c r="BA267" s="205"/>
      <c r="BC267" s="34">
        <v>18</v>
      </c>
      <c r="BD267" s="141"/>
      <c r="BE267" s="205"/>
      <c r="BH267" s="5"/>
      <c r="BL267" s="34">
        <v>18</v>
      </c>
      <c r="BM267" s="3"/>
      <c r="BN267" s="77"/>
      <c r="BP267" s="34">
        <v>18</v>
      </c>
      <c r="BQ267" s="3"/>
      <c r="BR267" s="77"/>
      <c r="BV267" s="34">
        <v>18</v>
      </c>
      <c r="BW267" s="3"/>
      <c r="BX267" s="77"/>
      <c r="BZ267" s="34">
        <v>18</v>
      </c>
      <c r="CA267" s="3"/>
      <c r="CB267" s="77"/>
    </row>
    <row r="268" spans="2:80">
      <c r="B268" s="34">
        <v>19</v>
      </c>
      <c r="C268" s="2"/>
      <c r="D268" s="205"/>
      <c r="F268" s="34">
        <v>19</v>
      </c>
      <c r="G268" s="2"/>
      <c r="H268" s="205"/>
      <c r="J268" s="34">
        <v>19</v>
      </c>
      <c r="K268" s="2"/>
      <c r="L268" s="205"/>
      <c r="P268" s="34">
        <v>19</v>
      </c>
      <c r="Q268" s="2"/>
      <c r="R268" s="205"/>
      <c r="T268" s="34">
        <v>19</v>
      </c>
      <c r="U268" s="2"/>
      <c r="V268" s="205"/>
      <c r="X268" s="34">
        <v>19</v>
      </c>
      <c r="Y268" s="2"/>
      <c r="Z268" s="205"/>
      <c r="AC268" s="5"/>
      <c r="AG268" s="34">
        <v>19</v>
      </c>
      <c r="AH268" s="2"/>
      <c r="AI268" s="205"/>
      <c r="AK268" s="34">
        <v>19</v>
      </c>
      <c r="AL268" s="2"/>
      <c r="AM268" s="205"/>
      <c r="AO268" s="34">
        <v>19</v>
      </c>
      <c r="AP268" s="2"/>
      <c r="AQ268" s="205"/>
      <c r="AU268" s="34">
        <v>19</v>
      </c>
      <c r="AV268" s="141"/>
      <c r="AW268" s="205"/>
      <c r="AY268" s="34">
        <v>19</v>
      </c>
      <c r="AZ268" s="141"/>
      <c r="BA268" s="205"/>
      <c r="BC268" s="34">
        <v>19</v>
      </c>
      <c r="BD268" s="141"/>
      <c r="BE268" s="205"/>
      <c r="BH268" s="5"/>
      <c r="BL268" s="34">
        <v>19</v>
      </c>
      <c r="BM268" s="3"/>
      <c r="BN268" s="77"/>
      <c r="BP268" s="34">
        <v>19</v>
      </c>
      <c r="BQ268" s="3"/>
      <c r="BR268" s="4"/>
      <c r="BV268" s="34">
        <v>19</v>
      </c>
      <c r="BW268" s="3"/>
      <c r="BX268" s="77"/>
      <c r="BZ268" s="34">
        <v>19</v>
      </c>
      <c r="CA268" s="3"/>
      <c r="CB268" s="77"/>
    </row>
    <row r="269" spans="2:80">
      <c r="B269" s="34">
        <v>20</v>
      </c>
      <c r="C269" s="2"/>
      <c r="D269" s="205"/>
      <c r="F269" s="34">
        <v>20</v>
      </c>
      <c r="G269" s="2"/>
      <c r="H269" s="205"/>
      <c r="J269" s="34">
        <v>20</v>
      </c>
      <c r="K269" s="2"/>
      <c r="L269" s="205"/>
      <c r="P269" s="34">
        <v>20</v>
      </c>
      <c r="Q269" s="2"/>
      <c r="R269" s="205"/>
      <c r="T269" s="34">
        <v>20</v>
      </c>
      <c r="U269" s="2"/>
      <c r="V269" s="205"/>
      <c r="X269" s="34">
        <v>20</v>
      </c>
      <c r="Y269" s="2"/>
      <c r="Z269" s="205"/>
      <c r="AC269" s="5"/>
      <c r="AG269" s="34">
        <v>20</v>
      </c>
      <c r="AH269" s="2"/>
      <c r="AI269" s="205"/>
      <c r="AK269" s="34">
        <v>20</v>
      </c>
      <c r="AL269" s="2"/>
      <c r="AM269" s="205"/>
      <c r="AO269" s="34">
        <v>20</v>
      </c>
      <c r="AP269" s="2"/>
      <c r="AQ269" s="205"/>
      <c r="AU269" s="34">
        <v>20</v>
      </c>
      <c r="AV269" s="141"/>
      <c r="AW269" s="205"/>
      <c r="AY269" s="34">
        <v>20</v>
      </c>
      <c r="AZ269" s="141"/>
      <c r="BA269" s="205"/>
      <c r="BC269" s="34">
        <v>20</v>
      </c>
      <c r="BD269" s="141"/>
      <c r="BE269" s="205"/>
      <c r="BH269" s="5"/>
      <c r="BL269" s="34">
        <v>20</v>
      </c>
      <c r="BM269" s="3"/>
      <c r="BN269" s="77"/>
      <c r="BP269" s="34">
        <v>20</v>
      </c>
      <c r="BQ269" s="3"/>
      <c r="BR269" s="77"/>
      <c r="BV269" s="34">
        <v>20</v>
      </c>
      <c r="BW269" s="3"/>
      <c r="BX269" s="77"/>
      <c r="BZ269" s="34">
        <v>20</v>
      </c>
      <c r="CA269" s="3"/>
      <c r="CB269" s="77"/>
    </row>
    <row r="270" spans="2:80">
      <c r="B270" s="34">
        <v>21</v>
      </c>
      <c r="C270" s="2"/>
      <c r="D270" s="205"/>
      <c r="F270" s="34">
        <v>21</v>
      </c>
      <c r="G270" s="2"/>
      <c r="H270" s="205"/>
      <c r="J270" s="34">
        <v>21</v>
      </c>
      <c r="K270" s="2"/>
      <c r="L270" s="205"/>
      <c r="P270" s="34">
        <v>21</v>
      </c>
      <c r="Q270" s="2"/>
      <c r="R270" s="205"/>
      <c r="T270" s="34">
        <v>21</v>
      </c>
      <c r="U270" s="2"/>
      <c r="V270" s="205"/>
      <c r="X270" s="34">
        <v>21</v>
      </c>
      <c r="Y270" s="2"/>
      <c r="Z270" s="205"/>
      <c r="AC270" s="5"/>
      <c r="AG270" s="34">
        <v>21</v>
      </c>
      <c r="AH270" s="2"/>
      <c r="AI270" s="205"/>
      <c r="AK270" s="34">
        <v>21</v>
      </c>
      <c r="AL270" s="2"/>
      <c r="AM270" s="205"/>
      <c r="AO270" s="34">
        <v>21</v>
      </c>
      <c r="AP270" s="2"/>
      <c r="AQ270" s="205"/>
      <c r="AU270" s="34">
        <v>21</v>
      </c>
      <c r="AV270" s="141"/>
      <c r="AW270" s="205"/>
      <c r="AY270" s="34">
        <v>21</v>
      </c>
      <c r="AZ270" s="141"/>
      <c r="BA270" s="205"/>
      <c r="BC270" s="34">
        <v>21</v>
      </c>
      <c r="BD270" s="141"/>
      <c r="BE270" s="205"/>
      <c r="BH270" s="5"/>
      <c r="BL270" s="34">
        <v>21</v>
      </c>
      <c r="BM270" s="3"/>
      <c r="BN270" s="77"/>
      <c r="BP270" s="34">
        <v>21</v>
      </c>
      <c r="BQ270" s="3"/>
      <c r="BR270" s="77"/>
      <c r="BV270" s="34">
        <v>21</v>
      </c>
      <c r="BW270" s="3"/>
      <c r="BX270" s="77"/>
      <c r="BZ270" s="34">
        <v>21</v>
      </c>
      <c r="CA270" s="3"/>
      <c r="CB270" s="77"/>
    </row>
    <row r="271" spans="2:80">
      <c r="B271" s="34">
        <v>22</v>
      </c>
      <c r="C271" s="3"/>
      <c r="D271" s="77"/>
      <c r="F271" s="34">
        <v>22</v>
      </c>
      <c r="G271" s="3"/>
      <c r="H271" s="77"/>
      <c r="J271" s="34">
        <v>22</v>
      </c>
      <c r="K271" s="3"/>
      <c r="L271" s="77"/>
      <c r="P271" s="34">
        <v>22</v>
      </c>
      <c r="Q271" s="3"/>
      <c r="R271" s="77"/>
      <c r="T271" s="34">
        <v>22</v>
      </c>
      <c r="U271" s="2"/>
      <c r="V271" s="205"/>
      <c r="X271" s="34">
        <v>22</v>
      </c>
      <c r="Y271" s="3"/>
      <c r="Z271" s="77"/>
      <c r="AC271" s="5"/>
      <c r="AG271" s="34">
        <v>22</v>
      </c>
      <c r="AH271" s="2"/>
      <c r="AI271" s="205"/>
      <c r="AK271" s="34">
        <v>22</v>
      </c>
      <c r="AL271" s="2"/>
      <c r="AM271" s="205"/>
      <c r="AO271" s="34">
        <v>22</v>
      </c>
      <c r="AP271" s="2"/>
      <c r="AQ271" s="205"/>
      <c r="AU271" s="34">
        <v>22</v>
      </c>
      <c r="AV271" s="141"/>
      <c r="AW271" s="205"/>
      <c r="AY271" s="34">
        <v>22</v>
      </c>
      <c r="AZ271" s="141"/>
      <c r="BA271" s="205"/>
      <c r="BC271" s="34">
        <v>22</v>
      </c>
      <c r="BD271" s="141"/>
      <c r="BE271" s="205"/>
      <c r="BH271" s="5"/>
      <c r="BL271" s="34">
        <v>22</v>
      </c>
      <c r="BM271" s="3"/>
      <c r="BN271" s="77"/>
      <c r="BP271" s="34">
        <v>22</v>
      </c>
      <c r="BQ271" s="3"/>
      <c r="BR271" s="4"/>
      <c r="BV271" s="34">
        <v>22</v>
      </c>
      <c r="BW271" s="3"/>
      <c r="BX271" s="4"/>
      <c r="BZ271" s="34">
        <v>22</v>
      </c>
      <c r="CA271" s="3"/>
      <c r="CB271" s="4"/>
    </row>
    <row r="272" spans="2:80">
      <c r="B272" s="34">
        <v>23</v>
      </c>
      <c r="C272" s="3"/>
      <c r="D272" s="77"/>
      <c r="F272" s="34">
        <v>23</v>
      </c>
      <c r="G272" s="3"/>
      <c r="H272" s="77"/>
      <c r="J272" s="34">
        <v>23</v>
      </c>
      <c r="K272" s="3"/>
      <c r="L272" s="77"/>
      <c r="P272" s="34">
        <v>23</v>
      </c>
      <c r="Q272" s="3"/>
      <c r="R272" s="77"/>
      <c r="T272" s="34">
        <v>23</v>
      </c>
      <c r="U272" s="2"/>
      <c r="V272" s="205"/>
      <c r="X272" s="34">
        <v>23</v>
      </c>
      <c r="Y272" s="3"/>
      <c r="Z272" s="77"/>
      <c r="AC272" s="5"/>
      <c r="AG272" s="34">
        <v>23</v>
      </c>
      <c r="AH272" s="2"/>
      <c r="AI272" s="205"/>
      <c r="AK272" s="34">
        <v>23</v>
      </c>
      <c r="AL272" s="2"/>
      <c r="AM272" s="205"/>
      <c r="AO272" s="34">
        <v>23</v>
      </c>
      <c r="AP272" s="2"/>
      <c r="AQ272" s="205"/>
      <c r="AU272" s="34">
        <v>23</v>
      </c>
      <c r="AV272" s="2"/>
      <c r="AW272" s="205"/>
      <c r="AY272" s="34">
        <v>23</v>
      </c>
      <c r="AZ272" s="2"/>
      <c r="BA272" s="205"/>
      <c r="BC272" s="34">
        <v>23</v>
      </c>
      <c r="BD272" s="2"/>
      <c r="BE272" s="205"/>
      <c r="BH272" s="5"/>
      <c r="BL272" s="34">
        <v>23</v>
      </c>
      <c r="BM272" s="3"/>
      <c r="BN272" s="4"/>
      <c r="BP272" s="34">
        <v>23</v>
      </c>
      <c r="BQ272" s="3"/>
      <c r="BR272" s="4"/>
      <c r="BV272" s="34">
        <v>23</v>
      </c>
      <c r="BW272" s="3"/>
      <c r="BX272" s="4"/>
      <c r="BZ272" s="34">
        <v>23</v>
      </c>
      <c r="CA272" s="3"/>
      <c r="CB272" s="4"/>
    </row>
    <row r="273" spans="2:86">
      <c r="AC273" s="5"/>
      <c r="AG273" s="10"/>
      <c r="AH273" s="139"/>
      <c r="AI273" s="108"/>
      <c r="AK273" s="10"/>
      <c r="AL273" s="8"/>
      <c r="AO273" s="10"/>
      <c r="AP273" s="139"/>
      <c r="AQ273" s="108"/>
      <c r="AU273"/>
      <c r="BC273"/>
      <c r="BH273" s="5"/>
    </row>
    <row r="274" spans="2:86">
      <c r="AC274" s="5"/>
      <c r="AU274"/>
      <c r="BC274"/>
      <c r="BH274" s="5"/>
    </row>
    <row r="275" spans="2:86">
      <c r="AC275" s="5"/>
      <c r="AU275"/>
      <c r="BC275"/>
      <c r="BH275" s="5"/>
    </row>
    <row r="276" spans="2:86" s="1" customFormat="1" ht="20.25">
      <c r="B276" s="54"/>
      <c r="C276" s="55">
        <f>'NRB 공장 내부 배치도'!C15</f>
        <v>0</v>
      </c>
      <c r="D276" s="199"/>
      <c r="F276" s="54"/>
      <c r="G276" s="55">
        <f>'NRB 공장 내부 배치도'!D15</f>
        <v>0</v>
      </c>
      <c r="H276" s="199"/>
      <c r="J276" s="54"/>
      <c r="K276" s="55">
        <f>'NRB 공장 내부 배치도'!E15</f>
        <v>0</v>
      </c>
      <c r="L276" s="199"/>
      <c r="P276" s="54"/>
      <c r="Q276" s="55">
        <f>'NRB 공장 내부 배치도'!G15</f>
        <v>0</v>
      </c>
      <c r="R276" s="199"/>
      <c r="S276"/>
      <c r="T276" s="54"/>
      <c r="U276" s="55">
        <f>'NRB 공장 내부 배치도'!H15</f>
        <v>0</v>
      </c>
      <c r="V276" s="199"/>
      <c r="X276" s="54"/>
      <c r="Y276" s="55" t="str">
        <f>'NRB 공장 내부 배치도'!I15</f>
        <v>BH조립다이
403-10-8</v>
      </c>
      <c r="Z276" s="199"/>
      <c r="AC276" s="71"/>
      <c r="AG276" s="54"/>
      <c r="AH276" s="55">
        <f>'NRB 공장 내부 배치도'!L15</f>
        <v>0</v>
      </c>
      <c r="AI276" s="199"/>
      <c r="AK276" s="54"/>
      <c r="AL276" s="55">
        <f>'NRB 공장 내부 배치도'!M15</f>
        <v>0</v>
      </c>
      <c r="AM276" s="199"/>
      <c r="AO276" s="54"/>
      <c r="AP276" s="55">
        <f>'NRB 공장 내부 배치도'!N15</f>
        <v>0</v>
      </c>
      <c r="AQ276" s="199"/>
      <c r="AU276" s="54"/>
      <c r="AV276" s="55">
        <f>'NRB 공장 내부 배치도'!P15</f>
        <v>0</v>
      </c>
      <c r="AW276" s="199"/>
      <c r="AY276" s="54"/>
      <c r="AZ276" s="55">
        <f>'NRB 공장 내부 배치도'!Q15</f>
        <v>0</v>
      </c>
      <c r="BA276" s="199"/>
      <c r="BC276" s="54"/>
      <c r="BD276" s="55">
        <f>'NRB 공장 내부 배치도'!R15</f>
        <v>0</v>
      </c>
      <c r="BE276" s="199"/>
      <c r="BF276" s="204"/>
      <c r="BH276" s="71"/>
      <c r="BL276" s="54"/>
      <c r="BM276" s="55">
        <f>'NRB 공장 내부 배치도'!U16</f>
        <v>0</v>
      </c>
      <c r="BN276" s="56"/>
      <c r="BP276" s="54"/>
      <c r="BQ276" s="55">
        <f>'NRB 공장 내부 배치도'!V16</f>
        <v>0</v>
      </c>
      <c r="BR276" s="56"/>
      <c r="BV276" s="54"/>
      <c r="BW276" s="55">
        <f>'NRB 공장 내부 배치도'!X15</f>
        <v>0</v>
      </c>
      <c r="BX276" s="56"/>
      <c r="BZ276" s="54"/>
      <c r="CA276" s="55">
        <f>'NRB 공장 내부 배치도'!Y15</f>
        <v>0</v>
      </c>
      <c r="CB276" s="56"/>
      <c r="CF276" s="71"/>
      <c r="CG276" s="71"/>
      <c r="CH276" s="71"/>
    </row>
    <row r="277" spans="2:86" ht="20.25">
      <c r="B277" s="34">
        <v>1</v>
      </c>
      <c r="C277" s="252"/>
      <c r="D277" s="253"/>
      <c r="F277" s="34">
        <v>1</v>
      </c>
      <c r="G277" s="252"/>
      <c r="H277" s="253"/>
      <c r="J277" s="34">
        <v>1</v>
      </c>
      <c r="K277" s="3"/>
      <c r="L277" s="205"/>
      <c r="P277" s="34">
        <v>1</v>
      </c>
      <c r="Q277" s="2"/>
      <c r="R277" s="205"/>
      <c r="T277" s="34">
        <v>1</v>
      </c>
      <c r="U277" s="252"/>
      <c r="V277" s="253"/>
      <c r="X277" s="34">
        <v>1</v>
      </c>
      <c r="Y277" s="252"/>
      <c r="Z277" s="253"/>
      <c r="AC277" s="5"/>
      <c r="AG277" s="34">
        <v>1</v>
      </c>
      <c r="AH277" s="60"/>
      <c r="AI277" s="205"/>
      <c r="AK277" s="34">
        <v>1</v>
      </c>
      <c r="AL277" s="2"/>
      <c r="AM277" s="205"/>
      <c r="AO277" s="34">
        <v>1</v>
      </c>
      <c r="AP277" s="60"/>
      <c r="AQ277" s="205"/>
      <c r="AU277" s="34">
        <v>1</v>
      </c>
      <c r="AV277" s="2"/>
      <c r="AW277" s="205"/>
      <c r="AY277" s="34">
        <v>1</v>
      </c>
      <c r="AZ277" s="2"/>
      <c r="BA277" s="205"/>
      <c r="BC277" s="34">
        <v>1</v>
      </c>
      <c r="BD277" s="2"/>
      <c r="BE277" s="205"/>
      <c r="BH277" s="5"/>
      <c r="BL277" s="34">
        <v>1</v>
      </c>
      <c r="BM277" s="55"/>
      <c r="BN277" s="77"/>
      <c r="BP277" s="34">
        <v>1</v>
      </c>
      <c r="BQ277" s="3"/>
      <c r="BR277" s="77"/>
      <c r="BV277" s="34">
        <v>1</v>
      </c>
      <c r="BW277" s="3"/>
      <c r="BX277" s="77"/>
      <c r="BZ277" s="34">
        <v>1</v>
      </c>
      <c r="CA277" s="3"/>
      <c r="CB277" s="77"/>
    </row>
    <row r="278" spans="2:86">
      <c r="B278" s="34">
        <v>2</v>
      </c>
      <c r="C278" s="252"/>
      <c r="D278" s="253"/>
      <c r="F278" s="34">
        <v>2</v>
      </c>
      <c r="G278" s="252"/>
      <c r="H278" s="253"/>
      <c r="J278" s="34">
        <v>2</v>
      </c>
      <c r="K278" s="3"/>
      <c r="L278" s="77"/>
      <c r="P278" s="34">
        <v>2</v>
      </c>
      <c r="Q278" s="2"/>
      <c r="R278" s="205"/>
      <c r="T278" s="34">
        <v>2</v>
      </c>
      <c r="U278" s="252"/>
      <c r="V278" s="253"/>
      <c r="X278" s="34">
        <v>2</v>
      </c>
      <c r="Y278" s="252"/>
      <c r="Z278" s="253"/>
      <c r="AC278" s="5"/>
      <c r="AG278" s="34">
        <v>2</v>
      </c>
      <c r="AH278" s="60"/>
      <c r="AI278" s="205"/>
      <c r="AK278" s="34">
        <v>2</v>
      </c>
      <c r="AL278" s="2"/>
      <c r="AM278" s="205"/>
      <c r="AO278" s="34">
        <v>2</v>
      </c>
      <c r="AP278" s="60"/>
      <c r="AQ278" s="205"/>
      <c r="AU278" s="34">
        <v>2</v>
      </c>
      <c r="AV278" s="2"/>
      <c r="AW278" s="205"/>
      <c r="AY278" s="34">
        <v>2</v>
      </c>
      <c r="AZ278" s="2"/>
      <c r="BA278" s="205"/>
      <c r="BC278" s="34">
        <v>2</v>
      </c>
      <c r="BD278" s="2"/>
      <c r="BE278" s="205"/>
      <c r="BH278" s="5"/>
      <c r="BL278" s="34">
        <v>2</v>
      </c>
      <c r="BM278" s="3"/>
      <c r="BN278" s="77"/>
      <c r="BP278" s="34">
        <v>2</v>
      </c>
      <c r="BQ278" s="3"/>
      <c r="BR278" s="77"/>
      <c r="BV278" s="34">
        <v>2</v>
      </c>
      <c r="BW278" s="3"/>
      <c r="BX278" s="77"/>
      <c r="BZ278" s="34">
        <v>2</v>
      </c>
      <c r="CA278" s="3"/>
      <c r="CB278" s="77"/>
    </row>
    <row r="279" spans="2:86">
      <c r="B279" s="34">
        <v>3</v>
      </c>
      <c r="C279" s="252"/>
      <c r="D279" s="253"/>
      <c r="F279" s="34">
        <v>3</v>
      </c>
      <c r="G279" s="252"/>
      <c r="H279" s="253"/>
      <c r="J279" s="34">
        <v>3</v>
      </c>
      <c r="K279" s="3"/>
      <c r="L279" s="77"/>
      <c r="P279" s="34">
        <v>3</v>
      </c>
      <c r="Q279" s="2"/>
      <c r="R279" s="205"/>
      <c r="T279" s="34">
        <v>3</v>
      </c>
      <c r="U279" s="252"/>
      <c r="V279" s="253"/>
      <c r="X279" s="34">
        <v>3</v>
      </c>
      <c r="Y279" s="252"/>
      <c r="Z279" s="253"/>
      <c r="AC279" s="5"/>
      <c r="AG279" s="34">
        <v>3</v>
      </c>
      <c r="AH279" s="60"/>
      <c r="AI279" s="205"/>
      <c r="AK279" s="34">
        <v>3</v>
      </c>
      <c r="AL279" s="2"/>
      <c r="AM279" s="205"/>
      <c r="AO279" s="34">
        <v>3</v>
      </c>
      <c r="AP279" s="60"/>
      <c r="AQ279" s="205"/>
      <c r="AU279" s="34">
        <v>3</v>
      </c>
      <c r="AV279" s="2"/>
      <c r="AW279" s="205"/>
      <c r="AY279" s="34">
        <v>3</v>
      </c>
      <c r="AZ279" s="2"/>
      <c r="BA279" s="205"/>
      <c r="BC279" s="34">
        <v>3</v>
      </c>
      <c r="BD279" s="2"/>
      <c r="BE279" s="205"/>
      <c r="BH279" s="5"/>
      <c r="BL279" s="34">
        <v>3</v>
      </c>
      <c r="BM279" s="3"/>
      <c r="BN279" s="77"/>
      <c r="BP279" s="34">
        <v>3</v>
      </c>
      <c r="BQ279" s="3"/>
      <c r="BR279" s="77"/>
      <c r="BV279" s="34">
        <v>3</v>
      </c>
      <c r="BW279" s="3"/>
      <c r="BX279" s="77"/>
      <c r="BZ279" s="34">
        <v>3</v>
      </c>
      <c r="CA279" s="3"/>
      <c r="CB279" s="77"/>
    </row>
    <row r="280" spans="2:86">
      <c r="B280" s="34">
        <v>4</v>
      </c>
      <c r="C280" s="252"/>
      <c r="D280" s="253"/>
      <c r="F280" s="34">
        <v>4</v>
      </c>
      <c r="G280" s="252"/>
      <c r="H280" s="253"/>
      <c r="J280" s="34">
        <v>4</v>
      </c>
      <c r="K280" s="3"/>
      <c r="L280" s="77"/>
      <c r="P280" s="34">
        <v>4</v>
      </c>
      <c r="Q280" s="2"/>
      <c r="R280" s="205"/>
      <c r="T280" s="34">
        <v>4</v>
      </c>
      <c r="U280" s="252"/>
      <c r="V280" s="253"/>
      <c r="X280" s="34">
        <v>4</v>
      </c>
      <c r="Y280" s="252"/>
      <c r="Z280" s="253"/>
      <c r="AC280" s="5"/>
      <c r="AG280" s="34">
        <v>4</v>
      </c>
      <c r="AH280" s="60"/>
      <c r="AI280" s="77"/>
      <c r="AK280" s="34">
        <v>4</v>
      </c>
      <c r="AL280" s="2"/>
      <c r="AM280" s="205"/>
      <c r="AO280" s="34">
        <v>4</v>
      </c>
      <c r="AP280" s="60"/>
      <c r="AQ280" s="77"/>
      <c r="AU280" s="34">
        <v>4</v>
      </c>
      <c r="AV280" s="2"/>
      <c r="AW280" s="205"/>
      <c r="AY280" s="34">
        <v>4</v>
      </c>
      <c r="AZ280" s="2"/>
      <c r="BA280" s="205"/>
      <c r="BC280" s="34">
        <v>4</v>
      </c>
      <c r="BD280" s="2"/>
      <c r="BE280" s="205"/>
      <c r="BH280" s="5"/>
      <c r="BL280" s="34">
        <v>4</v>
      </c>
      <c r="BM280" s="3"/>
      <c r="BN280" s="77"/>
      <c r="BP280" s="34">
        <v>4</v>
      </c>
      <c r="BQ280" s="3"/>
      <c r="BR280" s="77"/>
      <c r="BV280" s="34">
        <v>4</v>
      </c>
      <c r="BW280" s="3"/>
      <c r="BX280" s="77"/>
      <c r="BZ280" s="34">
        <v>4</v>
      </c>
      <c r="CA280" s="3"/>
      <c r="CB280" s="77"/>
    </row>
    <row r="281" spans="2:86">
      <c r="B281" s="34">
        <v>5</v>
      </c>
      <c r="C281" s="252"/>
      <c r="D281" s="253"/>
      <c r="F281" s="34">
        <v>5</v>
      </c>
      <c r="G281" s="252"/>
      <c r="H281" s="254"/>
      <c r="J281" s="34">
        <v>5</v>
      </c>
      <c r="K281" s="3"/>
      <c r="L281" s="77"/>
      <c r="P281" s="34">
        <v>5</v>
      </c>
      <c r="Q281" s="2"/>
      <c r="R281" s="205"/>
      <c r="T281" s="34">
        <v>5</v>
      </c>
      <c r="U281" s="252"/>
      <c r="V281" s="253"/>
      <c r="X281" s="34">
        <v>5</v>
      </c>
      <c r="Y281" s="252"/>
      <c r="Z281" s="253"/>
      <c r="AC281" s="5"/>
      <c r="AG281" s="34">
        <v>5</v>
      </c>
      <c r="AH281" s="60"/>
      <c r="AI281" s="77"/>
      <c r="AK281" s="34">
        <v>5</v>
      </c>
      <c r="AL281" s="2"/>
      <c r="AM281" s="205"/>
      <c r="AO281" s="34">
        <v>5</v>
      </c>
      <c r="AP281" s="60"/>
      <c r="AQ281" s="77"/>
      <c r="AU281" s="34">
        <v>5</v>
      </c>
      <c r="AV281" s="2"/>
      <c r="AW281" s="205"/>
      <c r="AY281" s="34">
        <v>5</v>
      </c>
      <c r="AZ281" s="2"/>
      <c r="BA281" s="205"/>
      <c r="BC281" s="34">
        <v>5</v>
      </c>
      <c r="BD281" s="2"/>
      <c r="BE281" s="205"/>
      <c r="BH281" s="5"/>
      <c r="BL281" s="34">
        <v>5</v>
      </c>
      <c r="BM281" s="3"/>
      <c r="BN281" s="77"/>
      <c r="BP281" s="34">
        <v>5</v>
      </c>
      <c r="BQ281" s="3"/>
      <c r="BR281" s="77"/>
      <c r="BV281" s="34">
        <v>5</v>
      </c>
      <c r="BW281" s="3"/>
      <c r="BX281" s="77"/>
      <c r="BZ281" s="34">
        <v>5</v>
      </c>
      <c r="CA281" s="3"/>
      <c r="CB281" s="77"/>
    </row>
    <row r="282" spans="2:86">
      <c r="B282" s="34">
        <v>6</v>
      </c>
      <c r="C282" s="252"/>
      <c r="D282" s="253"/>
      <c r="F282" s="34">
        <v>6</v>
      </c>
      <c r="G282" s="252"/>
      <c r="H282" s="253"/>
      <c r="J282" s="34">
        <v>6</v>
      </c>
      <c r="K282" s="3"/>
      <c r="L282" s="77"/>
      <c r="P282" s="34">
        <v>6</v>
      </c>
      <c r="Q282" s="2"/>
      <c r="R282" s="205"/>
      <c r="T282" s="34">
        <v>6</v>
      </c>
      <c r="U282" s="252"/>
      <c r="V282" s="253"/>
      <c r="X282" s="34">
        <v>6</v>
      </c>
      <c r="Y282" s="252"/>
      <c r="Z282" s="253"/>
      <c r="AC282" s="5"/>
      <c r="AG282" s="34">
        <v>6</v>
      </c>
      <c r="AH282" s="60"/>
      <c r="AI282" s="77"/>
      <c r="AK282" s="34">
        <v>6</v>
      </c>
      <c r="AL282" s="2"/>
      <c r="AM282" s="205"/>
      <c r="AO282" s="34">
        <v>6</v>
      </c>
      <c r="AP282" s="60"/>
      <c r="AQ282" s="77"/>
      <c r="AU282" s="34">
        <v>6</v>
      </c>
      <c r="AV282" s="2"/>
      <c r="AW282" s="205"/>
      <c r="AY282" s="34">
        <v>6</v>
      </c>
      <c r="AZ282" s="2"/>
      <c r="BA282" s="205"/>
      <c r="BC282" s="34">
        <v>6</v>
      </c>
      <c r="BD282" s="2"/>
      <c r="BE282" s="205"/>
      <c r="BH282" s="5"/>
      <c r="BL282" s="34">
        <v>6</v>
      </c>
      <c r="BM282" s="3"/>
      <c r="BN282" s="77"/>
      <c r="BP282" s="34">
        <v>6</v>
      </c>
      <c r="BQ282" s="3"/>
      <c r="BR282" s="77"/>
      <c r="BV282" s="34">
        <v>6</v>
      </c>
      <c r="BW282" s="3"/>
      <c r="BX282" s="77"/>
      <c r="BZ282" s="34">
        <v>6</v>
      </c>
      <c r="CA282" s="3"/>
      <c r="CB282" s="77"/>
    </row>
    <row r="283" spans="2:86">
      <c r="B283" s="34">
        <v>7</v>
      </c>
      <c r="C283" s="252"/>
      <c r="D283" s="253"/>
      <c r="F283" s="34">
        <v>7</v>
      </c>
      <c r="G283" s="252"/>
      <c r="H283" s="253"/>
      <c r="J283" s="34">
        <v>7</v>
      </c>
      <c r="K283" s="3"/>
      <c r="L283" s="77"/>
      <c r="P283" s="34">
        <v>7</v>
      </c>
      <c r="Q283" s="2"/>
      <c r="R283" s="205"/>
      <c r="T283" s="34">
        <v>7</v>
      </c>
      <c r="U283" s="252"/>
      <c r="V283" s="253"/>
      <c r="X283" s="34">
        <v>7</v>
      </c>
      <c r="Y283" s="252"/>
      <c r="Z283" s="253"/>
      <c r="AC283" s="5"/>
      <c r="AG283" s="34">
        <v>7</v>
      </c>
      <c r="AH283" s="60"/>
      <c r="AI283" s="77"/>
      <c r="AK283" s="34">
        <v>7</v>
      </c>
      <c r="AL283" s="2"/>
      <c r="AM283" s="205"/>
      <c r="AO283" s="34">
        <v>7</v>
      </c>
      <c r="AP283" s="60"/>
      <c r="AQ283" s="77"/>
      <c r="AU283" s="34">
        <v>7</v>
      </c>
      <c r="AV283" s="2"/>
      <c r="AW283" s="205"/>
      <c r="AY283" s="34">
        <v>7</v>
      </c>
      <c r="AZ283" s="2"/>
      <c r="BA283" s="205"/>
      <c r="BC283" s="34">
        <v>7</v>
      </c>
      <c r="BD283" s="2"/>
      <c r="BE283" s="205"/>
      <c r="BH283" s="5"/>
      <c r="BL283" s="34">
        <v>7</v>
      </c>
      <c r="BM283" s="3"/>
      <c r="BN283" s="77"/>
      <c r="BP283" s="34">
        <v>7</v>
      </c>
      <c r="BQ283" s="3"/>
      <c r="BR283" s="77"/>
      <c r="BV283" s="34">
        <v>7</v>
      </c>
      <c r="BW283" s="3"/>
      <c r="BX283" s="77"/>
      <c r="BZ283" s="34">
        <v>7</v>
      </c>
      <c r="CA283" s="3"/>
      <c r="CB283" s="77"/>
    </row>
    <row r="284" spans="2:86">
      <c r="B284" s="34">
        <v>8</v>
      </c>
      <c r="C284" s="252"/>
      <c r="D284" s="253"/>
      <c r="F284" s="34">
        <v>8</v>
      </c>
      <c r="G284" s="252"/>
      <c r="H284" s="253"/>
      <c r="J284" s="34">
        <v>8</v>
      </c>
      <c r="K284" s="3"/>
      <c r="L284" s="77"/>
      <c r="P284" s="34">
        <v>8</v>
      </c>
      <c r="Q284" s="2"/>
      <c r="R284" s="205"/>
      <c r="T284" s="34">
        <v>8</v>
      </c>
      <c r="U284" s="252"/>
      <c r="V284" s="253"/>
      <c r="X284" s="34">
        <v>8</v>
      </c>
      <c r="Y284" s="252"/>
      <c r="Z284" s="253"/>
      <c r="AC284" s="5"/>
      <c r="AG284" s="34">
        <v>8</v>
      </c>
      <c r="AH284" s="60"/>
      <c r="AI284" s="77"/>
      <c r="AK284" s="34">
        <v>8</v>
      </c>
      <c r="AL284" s="2"/>
      <c r="AM284" s="205"/>
      <c r="AO284" s="34">
        <v>8</v>
      </c>
      <c r="AP284" s="60"/>
      <c r="AQ284" s="77"/>
      <c r="AU284" s="34">
        <v>8</v>
      </c>
      <c r="AV284" s="2"/>
      <c r="AW284" s="205"/>
      <c r="AY284" s="34">
        <v>8</v>
      </c>
      <c r="AZ284" s="2"/>
      <c r="BA284" s="205"/>
      <c r="BC284" s="34">
        <v>8</v>
      </c>
      <c r="BD284" s="2"/>
      <c r="BE284" s="205"/>
      <c r="BH284" s="5"/>
      <c r="BL284" s="34">
        <v>8</v>
      </c>
      <c r="BM284" s="3"/>
      <c r="BN284" s="77"/>
      <c r="BP284" s="34">
        <v>8</v>
      </c>
      <c r="BQ284" s="3"/>
      <c r="BR284" s="77"/>
      <c r="BV284" s="34">
        <v>8</v>
      </c>
      <c r="BW284" s="3"/>
      <c r="BX284" s="77"/>
      <c r="BZ284" s="34">
        <v>8</v>
      </c>
      <c r="CA284" s="3"/>
      <c r="CB284" s="77"/>
    </row>
    <row r="285" spans="2:86">
      <c r="B285" s="34">
        <v>9</v>
      </c>
      <c r="C285" s="252"/>
      <c r="D285" s="253"/>
      <c r="F285" s="34">
        <v>9</v>
      </c>
      <c r="G285" s="252"/>
      <c r="H285" s="253"/>
      <c r="J285" s="34">
        <v>9</v>
      </c>
      <c r="K285" s="27"/>
      <c r="L285" s="77"/>
      <c r="P285" s="34">
        <v>9</v>
      </c>
      <c r="Q285" s="2"/>
      <c r="R285" s="205"/>
      <c r="T285" s="34">
        <v>9</v>
      </c>
      <c r="U285" s="252"/>
      <c r="V285" s="253"/>
      <c r="X285" s="34">
        <v>9</v>
      </c>
      <c r="Y285" s="252"/>
      <c r="Z285" s="253"/>
      <c r="AC285" s="5"/>
      <c r="AG285" s="34">
        <v>9</v>
      </c>
      <c r="AH285" s="60"/>
      <c r="AI285" s="77"/>
      <c r="AK285" s="34">
        <v>9</v>
      </c>
      <c r="AL285" s="2"/>
      <c r="AM285" s="205"/>
      <c r="AO285" s="34">
        <v>9</v>
      </c>
      <c r="AP285" s="60"/>
      <c r="AQ285" s="77"/>
      <c r="AU285" s="34">
        <v>9</v>
      </c>
      <c r="AV285" s="2"/>
      <c r="AW285" s="205"/>
      <c r="AY285" s="34">
        <v>9</v>
      </c>
      <c r="AZ285" s="2"/>
      <c r="BA285" s="205"/>
      <c r="BC285" s="34">
        <v>9</v>
      </c>
      <c r="BD285" s="2"/>
      <c r="BE285" s="205"/>
      <c r="BH285" s="5"/>
      <c r="BL285" s="34">
        <v>9</v>
      </c>
      <c r="BM285" s="3"/>
      <c r="BN285" s="77"/>
      <c r="BP285" s="34">
        <v>9</v>
      </c>
      <c r="BQ285" s="3"/>
      <c r="BR285" s="77"/>
      <c r="BV285" s="34">
        <v>9</v>
      </c>
      <c r="BW285" s="3"/>
      <c r="BX285" s="77"/>
      <c r="BZ285" s="34">
        <v>9</v>
      </c>
      <c r="CA285" s="3"/>
      <c r="CB285" s="77"/>
    </row>
    <row r="286" spans="2:86">
      <c r="B286" s="34">
        <v>10</v>
      </c>
      <c r="C286" s="252"/>
      <c r="D286" s="253"/>
      <c r="F286" s="34">
        <v>10</v>
      </c>
      <c r="G286" s="252"/>
      <c r="H286" s="253"/>
      <c r="J286" s="34">
        <v>10</v>
      </c>
      <c r="K286" s="3"/>
      <c r="L286" s="77"/>
      <c r="P286" s="34">
        <v>10</v>
      </c>
      <c r="Q286" s="2"/>
      <c r="R286" s="205"/>
      <c r="T286" s="34">
        <v>10</v>
      </c>
      <c r="U286" s="252"/>
      <c r="V286" s="253"/>
      <c r="X286" s="34">
        <v>10</v>
      </c>
      <c r="Y286" s="252"/>
      <c r="Z286" s="253"/>
      <c r="AC286" s="5"/>
      <c r="AG286" s="34">
        <v>10</v>
      </c>
      <c r="AH286" s="60"/>
      <c r="AI286" s="77"/>
      <c r="AK286" s="34">
        <v>10</v>
      </c>
      <c r="AL286" s="2"/>
      <c r="AM286" s="205"/>
      <c r="AO286" s="34">
        <v>10</v>
      </c>
      <c r="AP286" s="60"/>
      <c r="AQ286" s="77"/>
      <c r="AU286" s="34">
        <v>10</v>
      </c>
      <c r="AV286" s="2"/>
      <c r="AW286" s="205"/>
      <c r="AY286" s="34">
        <v>10</v>
      </c>
      <c r="AZ286" s="2"/>
      <c r="BA286" s="205"/>
      <c r="BC286" s="34">
        <v>10</v>
      </c>
      <c r="BD286" s="2"/>
      <c r="BE286" s="205"/>
      <c r="BH286" s="5"/>
      <c r="BL286" s="34">
        <v>10</v>
      </c>
      <c r="BM286" s="3"/>
      <c r="BN286" s="77"/>
      <c r="BP286" s="34">
        <v>10</v>
      </c>
      <c r="BQ286" s="3"/>
      <c r="BR286" s="77"/>
      <c r="BV286" s="34">
        <v>10</v>
      </c>
      <c r="BW286" s="3"/>
      <c r="BX286" s="77"/>
      <c r="BZ286" s="34">
        <v>10</v>
      </c>
      <c r="CA286" s="3"/>
      <c r="CB286" s="77"/>
    </row>
    <row r="287" spans="2:86">
      <c r="B287" s="34">
        <v>11</v>
      </c>
      <c r="C287" s="252"/>
      <c r="D287" s="253"/>
      <c r="F287" s="34">
        <v>11</v>
      </c>
      <c r="G287" s="252"/>
      <c r="H287" s="253"/>
      <c r="J287" s="34">
        <v>11</v>
      </c>
      <c r="K287" s="3"/>
      <c r="L287" s="77"/>
      <c r="P287" s="34">
        <v>11</v>
      </c>
      <c r="Q287" s="2"/>
      <c r="R287" s="205"/>
      <c r="T287" s="34">
        <v>11</v>
      </c>
      <c r="U287" s="252"/>
      <c r="V287" s="253"/>
      <c r="X287" s="34">
        <v>11</v>
      </c>
      <c r="Y287" s="252"/>
      <c r="Z287" s="253"/>
      <c r="AC287" s="5"/>
      <c r="AG287" s="34">
        <v>11</v>
      </c>
      <c r="AH287" s="60"/>
      <c r="AI287" s="77"/>
      <c r="AK287" s="34">
        <v>11</v>
      </c>
      <c r="AL287" s="2"/>
      <c r="AM287" s="205"/>
      <c r="AO287" s="34">
        <v>11</v>
      </c>
      <c r="AP287" s="60"/>
      <c r="AQ287" s="77"/>
      <c r="AU287" s="34">
        <v>11</v>
      </c>
      <c r="AV287" s="2"/>
      <c r="AW287" s="205"/>
      <c r="AY287" s="34">
        <v>11</v>
      </c>
      <c r="AZ287" s="2"/>
      <c r="BA287" s="205"/>
      <c r="BC287" s="34">
        <v>11</v>
      </c>
      <c r="BD287" s="2"/>
      <c r="BE287" s="205"/>
      <c r="BH287" s="5"/>
      <c r="BL287" s="34">
        <v>11</v>
      </c>
      <c r="BM287" s="3"/>
      <c r="BN287" s="4"/>
      <c r="BP287" s="34">
        <v>11</v>
      </c>
      <c r="BQ287" s="3"/>
      <c r="BR287" s="77"/>
      <c r="BV287" s="34">
        <v>11</v>
      </c>
      <c r="BW287" s="3"/>
      <c r="BX287" s="77"/>
      <c r="BZ287" s="34">
        <v>11</v>
      </c>
      <c r="CA287" s="3"/>
      <c r="CB287" s="4"/>
    </row>
    <row r="288" spans="2:86">
      <c r="B288" s="34">
        <v>12</v>
      </c>
      <c r="C288" s="252"/>
      <c r="D288" s="253"/>
      <c r="F288" s="34">
        <v>12</v>
      </c>
      <c r="G288" s="252"/>
      <c r="H288" s="253"/>
      <c r="J288" s="34">
        <v>12</v>
      </c>
      <c r="K288" s="3"/>
      <c r="L288" s="77"/>
      <c r="P288" s="34">
        <v>12</v>
      </c>
      <c r="Q288" s="2"/>
      <c r="R288" s="205"/>
      <c r="T288" s="34">
        <v>12</v>
      </c>
      <c r="U288" s="252"/>
      <c r="V288" s="253"/>
      <c r="X288" s="34">
        <v>12</v>
      </c>
      <c r="Y288" s="252"/>
      <c r="Z288" s="253"/>
      <c r="AC288" s="5"/>
      <c r="AG288" s="34">
        <v>12</v>
      </c>
      <c r="AH288" s="60"/>
      <c r="AI288" s="77"/>
      <c r="AK288" s="34">
        <v>12</v>
      </c>
      <c r="AL288" s="2"/>
      <c r="AM288" s="205"/>
      <c r="AO288" s="34">
        <v>12</v>
      </c>
      <c r="AP288" s="60"/>
      <c r="AQ288" s="77"/>
      <c r="AU288" s="34">
        <v>12</v>
      </c>
      <c r="AV288" s="2"/>
      <c r="AW288" s="205"/>
      <c r="AY288" s="34">
        <v>12</v>
      </c>
      <c r="AZ288" s="2"/>
      <c r="BA288" s="205"/>
      <c r="BC288" s="34">
        <v>12</v>
      </c>
      <c r="BD288" s="2"/>
      <c r="BE288" s="205"/>
      <c r="BH288" s="5"/>
      <c r="BL288" s="34">
        <v>12</v>
      </c>
      <c r="BM288" s="3"/>
      <c r="BN288" s="77"/>
      <c r="BP288" s="34">
        <v>12</v>
      </c>
      <c r="BQ288" s="3"/>
      <c r="BR288" s="77"/>
      <c r="BV288" s="34">
        <v>12</v>
      </c>
      <c r="BW288" s="3"/>
      <c r="BX288" s="77"/>
      <c r="BZ288" s="34">
        <v>12</v>
      </c>
      <c r="CA288" s="3"/>
      <c r="CB288" s="77"/>
    </row>
    <row r="289" spans="2:86">
      <c r="B289" s="34">
        <v>13</v>
      </c>
      <c r="C289" s="252"/>
      <c r="D289" s="253"/>
      <c r="F289" s="34">
        <v>13</v>
      </c>
      <c r="G289" s="252"/>
      <c r="H289" s="253"/>
      <c r="J289" s="34">
        <v>13</v>
      </c>
      <c r="K289" s="3"/>
      <c r="L289" s="77"/>
      <c r="P289" s="34">
        <v>13</v>
      </c>
      <c r="Q289" s="2"/>
      <c r="R289" s="205"/>
      <c r="T289" s="34">
        <v>13</v>
      </c>
      <c r="U289" s="252"/>
      <c r="V289" s="253"/>
      <c r="X289" s="34">
        <v>13</v>
      </c>
      <c r="Y289" s="252"/>
      <c r="Z289" s="253"/>
      <c r="AC289" s="5"/>
      <c r="AG289" s="34">
        <v>13</v>
      </c>
      <c r="AH289" s="60"/>
      <c r="AI289" s="77"/>
      <c r="AK289" s="34">
        <v>13</v>
      </c>
      <c r="AL289" s="109"/>
      <c r="AM289" s="205"/>
      <c r="AO289" s="34">
        <v>13</v>
      </c>
      <c r="AP289" s="60"/>
      <c r="AQ289" s="77"/>
      <c r="AU289" s="34">
        <v>13</v>
      </c>
      <c r="AV289" s="2"/>
      <c r="AW289" s="205"/>
      <c r="AY289" s="34">
        <v>13</v>
      </c>
      <c r="AZ289" s="2"/>
      <c r="BA289" s="205"/>
      <c r="BC289" s="34">
        <v>13</v>
      </c>
      <c r="BD289" s="2"/>
      <c r="BE289" s="205"/>
      <c r="BH289" s="5"/>
      <c r="BL289" s="34">
        <v>13</v>
      </c>
      <c r="BM289" s="3"/>
      <c r="BN289" s="77"/>
      <c r="BP289" s="34">
        <v>13</v>
      </c>
      <c r="BQ289" s="3"/>
      <c r="BR289" s="77"/>
      <c r="BV289" s="34">
        <v>13</v>
      </c>
      <c r="BW289" s="3"/>
      <c r="BX289" s="77"/>
      <c r="BZ289" s="34">
        <v>13</v>
      </c>
      <c r="CA289" s="3"/>
      <c r="CB289" s="77"/>
    </row>
    <row r="290" spans="2:86">
      <c r="B290" s="34">
        <v>14</v>
      </c>
      <c r="C290" s="252"/>
      <c r="D290" s="253"/>
      <c r="F290" s="34">
        <v>14</v>
      </c>
      <c r="G290" s="252"/>
      <c r="H290" s="253"/>
      <c r="J290" s="34">
        <v>14</v>
      </c>
      <c r="K290" s="3"/>
      <c r="L290" s="77"/>
      <c r="P290" s="34">
        <v>14</v>
      </c>
      <c r="Q290" s="2"/>
      <c r="R290" s="205"/>
      <c r="T290" s="34">
        <v>14</v>
      </c>
      <c r="U290" s="252"/>
      <c r="V290" s="253"/>
      <c r="X290" s="34">
        <v>14</v>
      </c>
      <c r="Y290" s="252"/>
      <c r="Z290" s="253"/>
      <c r="AC290" s="5"/>
      <c r="AG290" s="34">
        <v>14</v>
      </c>
      <c r="AH290" s="60"/>
      <c r="AI290" s="77"/>
      <c r="AK290" s="34">
        <v>14</v>
      </c>
      <c r="AL290" s="2"/>
      <c r="AM290" s="205"/>
      <c r="AO290" s="34">
        <v>14</v>
      </c>
      <c r="AP290" s="60"/>
      <c r="AQ290" s="77"/>
      <c r="AU290" s="34">
        <v>14</v>
      </c>
      <c r="AV290" s="2"/>
      <c r="AW290" s="205"/>
      <c r="AY290" s="34">
        <v>14</v>
      </c>
      <c r="AZ290" s="2"/>
      <c r="BA290" s="205"/>
      <c r="BC290" s="34">
        <v>14</v>
      </c>
      <c r="BD290" s="2"/>
      <c r="BE290" s="205"/>
      <c r="BH290" s="5"/>
      <c r="BL290" s="34">
        <v>14</v>
      </c>
      <c r="BM290" s="3"/>
      <c r="BN290" s="77"/>
      <c r="BP290" s="34">
        <v>14</v>
      </c>
      <c r="BQ290" s="3"/>
      <c r="BR290" s="77"/>
      <c r="BV290" s="34">
        <v>14</v>
      </c>
      <c r="BW290" s="3"/>
      <c r="BX290" s="77"/>
      <c r="BZ290" s="34">
        <v>14</v>
      </c>
      <c r="CA290" s="3"/>
      <c r="CB290" s="77"/>
    </row>
    <row r="291" spans="2:86">
      <c r="B291" s="34">
        <v>15</v>
      </c>
      <c r="C291" s="252"/>
      <c r="D291" s="253"/>
      <c r="F291" s="34">
        <v>15</v>
      </c>
      <c r="G291" s="252"/>
      <c r="H291" s="253"/>
      <c r="J291" s="34">
        <v>15</v>
      </c>
      <c r="K291" s="3"/>
      <c r="L291" s="77"/>
      <c r="P291" s="34">
        <v>15</v>
      </c>
      <c r="Q291" s="2"/>
      <c r="R291" s="205"/>
      <c r="T291" s="34">
        <v>15</v>
      </c>
      <c r="U291" s="252"/>
      <c r="V291" s="253"/>
      <c r="X291" s="34">
        <v>15</v>
      </c>
      <c r="Y291" s="252"/>
      <c r="Z291" s="253"/>
      <c r="AC291" s="5"/>
      <c r="AG291" s="34">
        <v>15</v>
      </c>
      <c r="AH291" s="60"/>
      <c r="AI291" s="77"/>
      <c r="AK291" s="34">
        <v>15</v>
      </c>
      <c r="AL291" s="2"/>
      <c r="AM291" s="205"/>
      <c r="AO291" s="34">
        <v>15</v>
      </c>
      <c r="AP291" s="60"/>
      <c r="AQ291" s="77"/>
      <c r="AU291" s="34">
        <v>15</v>
      </c>
      <c r="AV291" s="2"/>
      <c r="AW291" s="205"/>
      <c r="AY291" s="34">
        <v>15</v>
      </c>
      <c r="AZ291" s="2"/>
      <c r="BA291" s="205"/>
      <c r="BC291" s="34">
        <v>15</v>
      </c>
      <c r="BD291" s="2"/>
      <c r="BE291" s="205"/>
      <c r="BH291" s="5"/>
      <c r="BL291" s="34">
        <v>15</v>
      </c>
      <c r="BM291" s="3"/>
      <c r="BN291" s="77"/>
      <c r="BP291" s="34">
        <v>15</v>
      </c>
      <c r="BQ291" s="3"/>
      <c r="BR291" s="77"/>
      <c r="BV291" s="34">
        <v>15</v>
      </c>
      <c r="BW291" s="3"/>
      <c r="BX291" s="77"/>
      <c r="BZ291" s="34">
        <v>15</v>
      </c>
      <c r="CA291" s="3"/>
      <c r="CB291" s="77"/>
    </row>
    <row r="292" spans="2:86">
      <c r="B292" s="34">
        <v>16</v>
      </c>
      <c r="C292" s="2"/>
      <c r="D292" s="205"/>
      <c r="F292" s="34">
        <v>16</v>
      </c>
      <c r="G292" s="252"/>
      <c r="H292" s="253"/>
      <c r="J292" s="34">
        <v>16</v>
      </c>
      <c r="K292" s="3"/>
      <c r="L292" s="77"/>
      <c r="P292" s="34">
        <v>16</v>
      </c>
      <c r="Q292" s="2"/>
      <c r="R292" s="205"/>
      <c r="T292" s="34">
        <v>16</v>
      </c>
      <c r="U292" s="2"/>
      <c r="V292" s="205"/>
      <c r="X292" s="34">
        <v>16</v>
      </c>
      <c r="Y292" s="252"/>
      <c r="Z292" s="253"/>
      <c r="AC292" s="5"/>
      <c r="AG292" s="34">
        <v>16</v>
      </c>
      <c r="AH292" s="60"/>
      <c r="AI292" s="77"/>
      <c r="AK292" s="34">
        <v>16</v>
      </c>
      <c r="AL292" s="2"/>
      <c r="AM292" s="205"/>
      <c r="AO292" s="34">
        <v>16</v>
      </c>
      <c r="AP292" s="60"/>
      <c r="AQ292" s="77"/>
      <c r="AU292" s="34">
        <v>16</v>
      </c>
      <c r="AV292" s="2"/>
      <c r="AW292" s="205"/>
      <c r="AY292" s="34">
        <v>16</v>
      </c>
      <c r="AZ292" s="2"/>
      <c r="BA292" s="205"/>
      <c r="BC292" s="34">
        <v>16</v>
      </c>
      <c r="BD292" s="2"/>
      <c r="BE292" s="205"/>
      <c r="BH292" s="5"/>
      <c r="BL292" s="34">
        <v>16</v>
      </c>
      <c r="BM292" s="3"/>
      <c r="BN292" s="77"/>
      <c r="BP292" s="34">
        <v>16</v>
      </c>
      <c r="BQ292" s="3"/>
      <c r="BR292" s="77"/>
      <c r="BV292" s="34">
        <v>16</v>
      </c>
      <c r="BW292" s="3"/>
      <c r="BX292" s="77"/>
      <c r="BZ292" s="34">
        <v>16</v>
      </c>
      <c r="CA292" s="3"/>
      <c r="CB292" s="77"/>
    </row>
    <row r="293" spans="2:86">
      <c r="B293" s="34">
        <v>17</v>
      </c>
      <c r="C293" s="2"/>
      <c r="D293" s="205"/>
      <c r="F293" s="34">
        <v>17</v>
      </c>
      <c r="G293" s="252"/>
      <c r="H293" s="253"/>
      <c r="J293" s="34">
        <v>17</v>
      </c>
      <c r="K293" s="2"/>
      <c r="L293" s="205"/>
      <c r="P293" s="34">
        <v>17</v>
      </c>
      <c r="Q293" s="2"/>
      <c r="R293" s="205"/>
      <c r="T293" s="34">
        <v>17</v>
      </c>
      <c r="U293" s="3"/>
      <c r="V293" s="77"/>
      <c r="X293" s="34">
        <v>17</v>
      </c>
      <c r="Y293" s="3"/>
      <c r="Z293" s="77"/>
      <c r="AC293" s="5"/>
      <c r="AG293" s="34">
        <v>17</v>
      </c>
      <c r="AH293" s="60"/>
      <c r="AI293" s="77"/>
      <c r="AK293" s="34">
        <v>17</v>
      </c>
      <c r="AL293" s="2"/>
      <c r="AM293" s="205"/>
      <c r="AO293" s="34">
        <v>17</v>
      </c>
      <c r="AP293" s="60"/>
      <c r="AQ293" s="77"/>
      <c r="AU293" s="34">
        <v>17</v>
      </c>
      <c r="AV293" s="2"/>
      <c r="AW293" s="205"/>
      <c r="AY293" s="34">
        <v>17</v>
      </c>
      <c r="AZ293" s="2"/>
      <c r="BA293" s="205"/>
      <c r="BC293" s="34">
        <v>17</v>
      </c>
      <c r="BD293" s="2"/>
      <c r="BE293" s="205"/>
      <c r="BH293" s="5"/>
      <c r="BL293" s="34">
        <v>17</v>
      </c>
      <c r="BM293" s="3"/>
      <c r="BN293" s="77"/>
      <c r="BP293" s="34">
        <v>17</v>
      </c>
      <c r="BQ293" s="3"/>
      <c r="BR293" s="77"/>
      <c r="BV293" s="34">
        <v>17</v>
      </c>
      <c r="BW293" s="3"/>
      <c r="BX293" s="77"/>
      <c r="BZ293" s="34">
        <v>17</v>
      </c>
      <c r="CA293" s="3"/>
      <c r="CB293" s="77"/>
    </row>
    <row r="294" spans="2:86">
      <c r="B294" s="34">
        <v>18</v>
      </c>
      <c r="C294" s="2"/>
      <c r="D294" s="205"/>
      <c r="F294" s="34">
        <v>18</v>
      </c>
      <c r="G294" s="252"/>
      <c r="H294" s="253"/>
      <c r="J294" s="34">
        <v>18</v>
      </c>
      <c r="K294" s="2"/>
      <c r="L294" s="205"/>
      <c r="P294" s="34">
        <v>18</v>
      </c>
      <c r="Q294" s="2"/>
      <c r="R294" s="205"/>
      <c r="T294" s="34">
        <v>18</v>
      </c>
      <c r="U294" s="3"/>
      <c r="V294" s="77"/>
      <c r="X294" s="34">
        <v>18</v>
      </c>
      <c r="Y294" s="3"/>
      <c r="Z294" s="77"/>
      <c r="AC294" s="5"/>
      <c r="AG294" s="34">
        <v>18</v>
      </c>
      <c r="AH294" s="60"/>
      <c r="AI294" s="77"/>
      <c r="AK294" s="34">
        <v>18</v>
      </c>
      <c r="AL294" s="2"/>
      <c r="AM294" s="205"/>
      <c r="AO294" s="34">
        <v>18</v>
      </c>
      <c r="AP294" s="60"/>
      <c r="AQ294" s="77"/>
      <c r="AU294" s="34">
        <v>18</v>
      </c>
      <c r="AV294" s="2"/>
      <c r="AW294" s="205"/>
      <c r="AY294" s="34">
        <v>18</v>
      </c>
      <c r="AZ294" s="2"/>
      <c r="BA294" s="205"/>
      <c r="BC294" s="34">
        <v>18</v>
      </c>
      <c r="BD294" s="2"/>
      <c r="BE294" s="205"/>
      <c r="BH294" s="5"/>
      <c r="BL294" s="34">
        <v>18</v>
      </c>
      <c r="BM294" s="3"/>
      <c r="BN294" s="77"/>
      <c r="BP294" s="34">
        <v>18</v>
      </c>
      <c r="BQ294" s="3"/>
      <c r="BR294" s="77"/>
      <c r="BV294" s="34">
        <v>18</v>
      </c>
      <c r="BW294" s="3"/>
      <c r="BX294" s="77"/>
      <c r="BZ294" s="34">
        <v>18</v>
      </c>
      <c r="CA294" s="3"/>
      <c r="CB294" s="77"/>
    </row>
    <row r="295" spans="2:86">
      <c r="B295" s="34">
        <v>19</v>
      </c>
      <c r="C295" s="2"/>
      <c r="D295" s="205"/>
      <c r="F295" s="34">
        <v>19</v>
      </c>
      <c r="G295" s="252"/>
      <c r="H295" s="253"/>
      <c r="J295" s="34">
        <v>19</v>
      </c>
      <c r="K295" s="2"/>
      <c r="L295" s="205"/>
      <c r="P295" s="34">
        <v>19</v>
      </c>
      <c r="Q295" s="3"/>
      <c r="R295" s="77"/>
      <c r="T295" s="34">
        <v>19</v>
      </c>
      <c r="U295" s="3"/>
      <c r="V295" s="77"/>
      <c r="X295" s="34">
        <v>19</v>
      </c>
      <c r="Y295" s="3"/>
      <c r="Z295" s="77"/>
      <c r="AC295" s="5"/>
      <c r="AG295" s="34">
        <v>19</v>
      </c>
      <c r="AH295" s="60"/>
      <c r="AI295" s="77"/>
      <c r="AK295" s="34">
        <v>19</v>
      </c>
      <c r="AL295" s="2"/>
      <c r="AM295" s="205"/>
      <c r="AO295" s="34">
        <v>19</v>
      </c>
      <c r="AP295" s="60"/>
      <c r="AQ295" s="77"/>
      <c r="AU295" s="34">
        <v>19</v>
      </c>
      <c r="AV295" s="2"/>
      <c r="AW295" s="205"/>
      <c r="AY295" s="34">
        <v>19</v>
      </c>
      <c r="AZ295" s="2"/>
      <c r="BA295" s="205"/>
      <c r="BC295" s="34">
        <v>19</v>
      </c>
      <c r="BD295" s="2"/>
      <c r="BE295" s="205"/>
      <c r="BH295" s="5"/>
      <c r="BL295" s="34">
        <v>19</v>
      </c>
      <c r="BM295" s="3"/>
      <c r="BN295" s="77"/>
      <c r="BP295" s="34">
        <v>19</v>
      </c>
      <c r="BQ295" s="3"/>
      <c r="BR295" s="4"/>
      <c r="BV295" s="34">
        <v>19</v>
      </c>
      <c r="BW295" s="3"/>
      <c r="BX295" s="77"/>
      <c r="BZ295" s="34">
        <v>19</v>
      </c>
      <c r="CA295" s="3"/>
      <c r="CB295" s="77"/>
    </row>
    <row r="296" spans="2:86">
      <c r="B296" s="34">
        <v>20</v>
      </c>
      <c r="C296" s="2"/>
      <c r="D296" s="205"/>
      <c r="F296" s="34">
        <v>20</v>
      </c>
      <c r="G296" s="252"/>
      <c r="H296" s="253"/>
      <c r="J296" s="34">
        <v>20</v>
      </c>
      <c r="K296" s="3"/>
      <c r="L296" s="77"/>
      <c r="P296" s="34">
        <v>20</v>
      </c>
      <c r="Q296" s="3"/>
      <c r="R296" s="77"/>
      <c r="T296" s="34">
        <v>20</v>
      </c>
      <c r="U296" s="3"/>
      <c r="V296" s="77"/>
      <c r="X296" s="34">
        <v>20</v>
      </c>
      <c r="Y296" s="3"/>
      <c r="Z296" s="77"/>
      <c r="AC296" s="5"/>
      <c r="AG296" s="34">
        <v>20</v>
      </c>
      <c r="AH296" s="60"/>
      <c r="AI296" s="77"/>
      <c r="AK296" s="34">
        <v>20</v>
      </c>
      <c r="AL296" s="2"/>
      <c r="AM296" s="205"/>
      <c r="AO296" s="34">
        <v>20</v>
      </c>
      <c r="AP296" s="60"/>
      <c r="AQ296" s="77"/>
      <c r="AU296" s="34">
        <v>20</v>
      </c>
      <c r="AV296" s="2"/>
      <c r="AW296" s="205"/>
      <c r="AY296" s="34">
        <v>20</v>
      </c>
      <c r="AZ296" s="2"/>
      <c r="BA296" s="205"/>
      <c r="BC296" s="34">
        <v>20</v>
      </c>
      <c r="BD296" s="2"/>
      <c r="BE296" s="205"/>
      <c r="BH296" s="5"/>
      <c r="BL296" s="34">
        <v>20</v>
      </c>
      <c r="BM296" s="3"/>
      <c r="BN296" s="77"/>
      <c r="BP296" s="34">
        <v>20</v>
      </c>
      <c r="BQ296" s="3"/>
      <c r="BR296" s="77"/>
      <c r="BV296" s="34">
        <v>20</v>
      </c>
      <c r="BW296" s="3"/>
      <c r="BX296" s="77"/>
      <c r="BZ296" s="34">
        <v>20</v>
      </c>
      <c r="CA296" s="3"/>
      <c r="CB296" s="77"/>
    </row>
    <row r="297" spans="2:86">
      <c r="B297" s="34">
        <v>21</v>
      </c>
      <c r="C297" s="2"/>
      <c r="D297" s="205"/>
      <c r="F297" s="34">
        <v>21</v>
      </c>
      <c r="G297" s="3"/>
      <c r="H297" s="77"/>
      <c r="J297" s="34">
        <v>21</v>
      </c>
      <c r="K297" s="3"/>
      <c r="L297" s="77"/>
      <c r="P297" s="34">
        <v>21</v>
      </c>
      <c r="Q297" s="3"/>
      <c r="R297" s="77"/>
      <c r="T297" s="34">
        <v>21</v>
      </c>
      <c r="U297" s="3"/>
      <c r="V297" s="77"/>
      <c r="X297" s="34">
        <v>21</v>
      </c>
      <c r="Y297" s="3"/>
      <c r="Z297" s="77"/>
      <c r="AC297" s="5"/>
      <c r="AG297" s="34">
        <v>21</v>
      </c>
      <c r="AH297" s="60"/>
      <c r="AI297" s="77"/>
      <c r="AK297" s="34">
        <v>21</v>
      </c>
      <c r="AL297" s="2"/>
      <c r="AM297" s="205"/>
      <c r="AO297" s="34">
        <v>21</v>
      </c>
      <c r="AP297" s="60"/>
      <c r="AQ297" s="77"/>
      <c r="AU297" s="34">
        <v>21</v>
      </c>
      <c r="AV297" s="2"/>
      <c r="AW297" s="205"/>
      <c r="AY297" s="34">
        <v>21</v>
      </c>
      <c r="AZ297" s="2"/>
      <c r="BA297" s="205"/>
      <c r="BC297" s="34">
        <v>21</v>
      </c>
      <c r="BD297" s="2"/>
      <c r="BE297" s="205"/>
      <c r="BH297" s="5"/>
      <c r="BL297" s="34">
        <v>21</v>
      </c>
      <c r="BM297" s="3"/>
      <c r="BN297" s="77"/>
      <c r="BP297" s="34">
        <v>21</v>
      </c>
      <c r="BQ297" s="3"/>
      <c r="BR297" s="77"/>
      <c r="BV297" s="34">
        <v>21</v>
      </c>
      <c r="BW297" s="3"/>
      <c r="BX297" s="4"/>
      <c r="BZ297" s="34">
        <v>21</v>
      </c>
      <c r="CA297" s="3"/>
      <c r="CB297" s="77"/>
    </row>
    <row r="298" spans="2:86">
      <c r="B298" s="34">
        <v>22</v>
      </c>
      <c r="C298" s="3"/>
      <c r="D298" s="77"/>
      <c r="F298" s="34">
        <v>22</v>
      </c>
      <c r="G298" s="3"/>
      <c r="H298" s="77"/>
      <c r="J298" s="34">
        <v>22</v>
      </c>
      <c r="K298" s="3"/>
      <c r="L298" s="77"/>
      <c r="P298" s="34">
        <v>22</v>
      </c>
      <c r="Q298" s="3"/>
      <c r="R298" s="77"/>
      <c r="T298" s="34">
        <v>22</v>
      </c>
      <c r="U298" s="3"/>
      <c r="V298" s="77"/>
      <c r="X298" s="34">
        <v>22</v>
      </c>
      <c r="Y298" s="3"/>
      <c r="Z298" s="77"/>
      <c r="AC298" s="5"/>
      <c r="AG298" s="34">
        <v>22</v>
      </c>
      <c r="AH298" s="60"/>
      <c r="AI298" s="77"/>
      <c r="AK298" s="34">
        <v>22</v>
      </c>
      <c r="AL298" s="2"/>
      <c r="AM298" s="205"/>
      <c r="AO298" s="34">
        <v>22</v>
      </c>
      <c r="AP298" s="60"/>
      <c r="AQ298" s="77"/>
      <c r="AU298" s="34">
        <v>22</v>
      </c>
      <c r="AV298" s="3"/>
      <c r="AW298" s="77"/>
      <c r="AY298" s="34">
        <v>22</v>
      </c>
      <c r="AZ298" s="2"/>
      <c r="BA298" s="77"/>
      <c r="BC298" s="34">
        <v>22</v>
      </c>
      <c r="BD298" s="3"/>
      <c r="BE298" s="77"/>
      <c r="BH298" s="5"/>
      <c r="BL298" s="34">
        <v>22</v>
      </c>
      <c r="BM298" s="3"/>
      <c r="BN298" s="4"/>
      <c r="BP298" s="34">
        <v>22</v>
      </c>
      <c r="BQ298" s="3"/>
      <c r="BR298" s="4"/>
      <c r="BV298" s="34">
        <v>22</v>
      </c>
      <c r="BW298" s="3"/>
      <c r="BX298" s="4"/>
      <c r="BZ298" s="34">
        <v>22</v>
      </c>
      <c r="CA298" s="3"/>
      <c r="CB298" s="4"/>
    </row>
    <row r="299" spans="2:86">
      <c r="B299" s="34">
        <v>23</v>
      </c>
      <c r="C299" s="3"/>
      <c r="D299" s="77"/>
      <c r="F299" s="34">
        <v>23</v>
      </c>
      <c r="G299" s="3"/>
      <c r="H299" s="77"/>
      <c r="J299" s="34">
        <v>23</v>
      </c>
      <c r="K299" s="3"/>
      <c r="L299" s="77"/>
      <c r="P299" s="34">
        <v>23</v>
      </c>
      <c r="Q299" s="3"/>
      <c r="R299" s="77"/>
      <c r="T299" s="34">
        <v>23</v>
      </c>
      <c r="U299" s="3"/>
      <c r="V299" s="77"/>
      <c r="X299" s="34">
        <v>23</v>
      </c>
      <c r="Y299" s="3"/>
      <c r="Z299" s="77"/>
      <c r="AC299" s="5"/>
      <c r="AG299" s="34">
        <v>23</v>
      </c>
      <c r="AH299" s="60"/>
      <c r="AI299" s="77"/>
      <c r="AK299" s="34">
        <v>23</v>
      </c>
      <c r="AL299" s="2"/>
      <c r="AM299" s="205"/>
      <c r="AO299" s="34">
        <v>23</v>
      </c>
      <c r="AP299" s="60"/>
      <c r="AQ299" s="77"/>
      <c r="AU299" s="34">
        <v>23</v>
      </c>
      <c r="AV299" s="3"/>
      <c r="AW299" s="77"/>
      <c r="AY299" s="34">
        <v>23</v>
      </c>
      <c r="AZ299" s="3"/>
      <c r="BA299" s="77"/>
      <c r="BC299" s="34">
        <v>23</v>
      </c>
      <c r="BD299" s="3"/>
      <c r="BE299" s="77"/>
      <c r="BH299" s="5"/>
      <c r="BL299" s="34">
        <v>23</v>
      </c>
      <c r="BM299" s="3"/>
      <c r="BN299" s="4"/>
      <c r="BP299" s="34">
        <v>23</v>
      </c>
      <c r="BQ299" s="3"/>
      <c r="BR299" s="4"/>
      <c r="BV299" s="34">
        <v>23</v>
      </c>
      <c r="BW299" s="3"/>
      <c r="BX299" s="4"/>
      <c r="BZ299" s="34">
        <v>23</v>
      </c>
      <c r="CA299" s="3"/>
      <c r="CB299" s="4"/>
    </row>
    <row r="300" spans="2:86">
      <c r="AC300" s="5"/>
      <c r="AU300"/>
      <c r="BC300"/>
      <c r="BH300" s="5"/>
    </row>
    <row r="301" spans="2:86">
      <c r="AC301" s="5"/>
      <c r="AM301" s="204" t="s">
        <v>20</v>
      </c>
      <c r="AU301"/>
      <c r="BC301"/>
      <c r="BH301" s="5"/>
    </row>
    <row r="302" spans="2:86" ht="31.5">
      <c r="G302" s="37"/>
      <c r="K302" s="37"/>
      <c r="Y302" s="37"/>
      <c r="AC302" s="5"/>
      <c r="AU302"/>
      <c r="BC302"/>
      <c r="BH302" s="5"/>
    </row>
    <row r="303" spans="2:86" s="1" customFormat="1" ht="20.25">
      <c r="B303" s="54"/>
      <c r="C303" s="55">
        <f>'NRB 공장 내부 배치도'!C16</f>
        <v>0</v>
      </c>
      <c r="D303" s="199"/>
      <c r="F303" s="54"/>
      <c r="G303" s="55">
        <f>'NRB 공장 내부 배치도'!D16</f>
        <v>0</v>
      </c>
      <c r="H303" s="199"/>
      <c r="J303" s="54"/>
      <c r="K303" s="55">
        <f>'NRB 공장 내부 배치도'!E16</f>
        <v>0</v>
      </c>
      <c r="L303" s="199"/>
      <c r="P303" s="54"/>
      <c r="Q303" s="55">
        <f>'NRB 공장 내부 배치도'!G16</f>
        <v>0</v>
      </c>
      <c r="R303" s="199"/>
      <c r="T303" s="54"/>
      <c r="U303" s="55" t="e">
        <f>'NRB 공장 내부 배치도'!#REF!</f>
        <v>#REF!</v>
      </c>
      <c r="V303" s="199"/>
      <c r="X303" s="54"/>
      <c r="Y303" s="55">
        <f>'NRB 공장 내부 배치도'!H16</f>
        <v>0</v>
      </c>
      <c r="Z303" s="199"/>
      <c r="AC303" s="71"/>
      <c r="AG303" s="85"/>
      <c r="AH303" s="86">
        <f>'NRB 공장 내부 배치도'!L16</f>
        <v>0</v>
      </c>
      <c r="AI303" s="201"/>
      <c r="AK303" s="54"/>
      <c r="AL303" s="55">
        <f>'NRB 공장 내부 배치도'!M16</f>
        <v>0</v>
      </c>
      <c r="AM303" s="199"/>
      <c r="AO303" s="85"/>
      <c r="AP303" s="86">
        <f>'NRB 공장 내부 배치도'!N16</f>
        <v>0</v>
      </c>
      <c r="AQ303" s="201"/>
      <c r="AU303" s="54"/>
      <c r="AV303" s="55">
        <f>'NRB 공장 내부 배치도'!P16</f>
        <v>0</v>
      </c>
      <c r="AW303" s="199"/>
      <c r="AY303" s="54"/>
      <c r="AZ303" s="55">
        <f>'NRB 공장 내부 배치도'!Q16</f>
        <v>0</v>
      </c>
      <c r="BA303" s="199"/>
      <c r="BC303" s="54"/>
      <c r="BD303" s="55">
        <f>'NRB 공장 내부 배치도'!R16</f>
        <v>0</v>
      </c>
      <c r="BE303" s="199"/>
      <c r="BF303" s="204"/>
      <c r="BH303" s="71"/>
      <c r="BL303" s="54"/>
      <c r="BM303" s="55">
        <f>'NRB 공장 내부 배치도'!U17</f>
        <v>0</v>
      </c>
      <c r="BN303" s="56"/>
      <c r="BP303" s="54"/>
      <c r="BQ303" s="55">
        <f>'NRB 공장 내부 배치도'!V17</f>
        <v>0</v>
      </c>
      <c r="BR303" s="56"/>
      <c r="BV303" s="54"/>
      <c r="BW303" s="55">
        <f>'NRB 공장 내부 배치도'!X16</f>
        <v>0</v>
      </c>
      <c r="BX303" s="56"/>
      <c r="BZ303" s="54"/>
      <c r="CA303" s="55">
        <f>'NRB 공장 내부 배치도'!Y16</f>
        <v>0</v>
      </c>
      <c r="CB303" s="56"/>
      <c r="CF303" s="71"/>
      <c r="CG303" s="71"/>
      <c r="CH303" s="71"/>
    </row>
    <row r="304" spans="2:86">
      <c r="B304" s="34">
        <v>1</v>
      </c>
      <c r="C304" s="2"/>
      <c r="D304" s="205"/>
      <c r="F304" s="34">
        <v>1</v>
      </c>
      <c r="G304" s="2"/>
      <c r="H304" s="205"/>
      <c r="J304" s="34">
        <v>1</v>
      </c>
      <c r="K304" s="2"/>
      <c r="L304" s="205"/>
      <c r="P304" s="34">
        <v>1</v>
      </c>
      <c r="Q304" s="2"/>
      <c r="R304" s="205"/>
      <c r="T304" s="34">
        <v>1</v>
      </c>
      <c r="U304" s="2"/>
      <c r="V304" s="205"/>
      <c r="X304" s="34">
        <v>1</v>
      </c>
      <c r="Y304" s="2"/>
      <c r="Z304" s="205"/>
      <c r="AC304" s="5"/>
      <c r="AG304" s="34">
        <v>1</v>
      </c>
      <c r="AH304" s="2"/>
      <c r="AI304" s="205"/>
      <c r="AK304" s="34">
        <v>1</v>
      </c>
      <c r="AL304" s="2"/>
      <c r="AM304" s="205"/>
      <c r="AO304" s="34">
        <v>1</v>
      </c>
      <c r="AP304" s="2"/>
      <c r="AQ304" s="205"/>
      <c r="AU304" s="34">
        <v>1</v>
      </c>
      <c r="AV304" s="3"/>
      <c r="AW304" s="77"/>
      <c r="AY304" s="34">
        <v>1</v>
      </c>
      <c r="AZ304" s="2"/>
      <c r="BA304" s="205"/>
      <c r="BC304" s="34">
        <v>1</v>
      </c>
      <c r="BD304" s="3"/>
      <c r="BE304" s="77"/>
      <c r="BH304" s="5"/>
      <c r="BL304" s="34">
        <v>1</v>
      </c>
      <c r="BM304" s="3"/>
      <c r="BN304" s="77"/>
      <c r="BP304" s="34">
        <v>1</v>
      </c>
      <c r="BQ304" s="3"/>
      <c r="BR304" s="77"/>
      <c r="BV304" s="34">
        <v>1</v>
      </c>
      <c r="BW304" s="3"/>
      <c r="BX304" s="77"/>
      <c r="BZ304" s="34">
        <v>1</v>
      </c>
      <c r="CA304" s="3"/>
      <c r="CB304" s="77"/>
    </row>
    <row r="305" spans="2:80">
      <c r="B305" s="34">
        <v>2</v>
      </c>
      <c r="C305" s="2"/>
      <c r="D305" s="205"/>
      <c r="F305" s="34">
        <v>2</v>
      </c>
      <c r="G305" s="2"/>
      <c r="H305" s="205"/>
      <c r="J305" s="34">
        <v>2</v>
      </c>
      <c r="K305" s="2"/>
      <c r="L305" s="205"/>
      <c r="P305" s="34">
        <v>2</v>
      </c>
      <c r="Q305" s="2"/>
      <c r="R305" s="205"/>
      <c r="T305" s="34">
        <v>2</v>
      </c>
      <c r="U305" s="2"/>
      <c r="V305" s="205"/>
      <c r="X305" s="34">
        <v>2</v>
      </c>
      <c r="Y305" s="2"/>
      <c r="Z305" s="205"/>
      <c r="AC305" s="5"/>
      <c r="AG305" s="34">
        <v>2</v>
      </c>
      <c r="AH305" s="2"/>
      <c r="AI305" s="205"/>
      <c r="AK305" s="34">
        <v>2</v>
      </c>
      <c r="AL305" s="2"/>
      <c r="AM305" s="205"/>
      <c r="AO305" s="34">
        <v>2</v>
      </c>
      <c r="AP305" s="2"/>
      <c r="AQ305" s="205"/>
      <c r="AU305" s="34">
        <v>2</v>
      </c>
      <c r="AV305" s="3"/>
      <c r="AW305" s="77"/>
      <c r="AY305" s="34">
        <v>2</v>
      </c>
      <c r="AZ305" s="2"/>
      <c r="BA305" s="205"/>
      <c r="BC305" s="34">
        <v>2</v>
      </c>
      <c r="BD305" s="3"/>
      <c r="BE305" s="77"/>
      <c r="BH305" s="5"/>
      <c r="BL305" s="34">
        <v>2</v>
      </c>
      <c r="BM305" s="2"/>
      <c r="BN305" s="77"/>
      <c r="BP305" s="34">
        <v>2</v>
      </c>
      <c r="BQ305" s="3"/>
      <c r="BR305" s="77"/>
      <c r="BV305" s="34">
        <v>2</v>
      </c>
      <c r="BW305" s="3"/>
      <c r="BX305" s="77"/>
      <c r="BZ305" s="34">
        <v>2</v>
      </c>
      <c r="CA305" s="3"/>
      <c r="CB305" s="77"/>
    </row>
    <row r="306" spans="2:80">
      <c r="B306" s="34">
        <v>3</v>
      </c>
      <c r="C306" s="2"/>
      <c r="D306" s="205"/>
      <c r="F306" s="34">
        <v>3</v>
      </c>
      <c r="G306" s="2"/>
      <c r="H306" s="205"/>
      <c r="J306" s="34">
        <v>3</v>
      </c>
      <c r="K306" s="2"/>
      <c r="L306" s="205"/>
      <c r="P306" s="34">
        <v>3</v>
      </c>
      <c r="Q306" s="2"/>
      <c r="R306" s="205"/>
      <c r="T306" s="34">
        <v>3</v>
      </c>
      <c r="U306" s="2"/>
      <c r="V306" s="205"/>
      <c r="X306" s="34">
        <v>3</v>
      </c>
      <c r="Y306" s="2"/>
      <c r="Z306" s="205"/>
      <c r="AC306" s="5"/>
      <c r="AG306" s="34">
        <v>3</v>
      </c>
      <c r="AH306" s="2"/>
      <c r="AI306" s="205"/>
      <c r="AK306" s="34">
        <v>3</v>
      </c>
      <c r="AL306" s="2"/>
      <c r="AM306" s="205"/>
      <c r="AO306" s="34">
        <v>3</v>
      </c>
      <c r="AP306" s="2"/>
      <c r="AQ306" s="205"/>
      <c r="AU306" s="34">
        <v>3</v>
      </c>
      <c r="AV306" s="3"/>
      <c r="AW306" s="77"/>
      <c r="AY306" s="34">
        <v>3</v>
      </c>
      <c r="AZ306" s="2"/>
      <c r="BA306" s="205"/>
      <c r="BC306" s="34">
        <v>3</v>
      </c>
      <c r="BD306" s="3"/>
      <c r="BE306" s="77"/>
      <c r="BH306" s="5"/>
      <c r="BL306" s="34">
        <v>3</v>
      </c>
      <c r="BM306" s="3"/>
      <c r="BN306" s="77"/>
      <c r="BP306" s="34">
        <v>3</v>
      </c>
      <c r="BQ306" s="3"/>
      <c r="BR306" s="77"/>
      <c r="BV306" s="34">
        <v>3</v>
      </c>
      <c r="BW306" s="3"/>
      <c r="BX306" s="77"/>
      <c r="BZ306" s="34">
        <v>3</v>
      </c>
      <c r="CA306" s="3"/>
      <c r="CB306" s="77"/>
    </row>
    <row r="307" spans="2:80">
      <c r="B307" s="34">
        <v>4</v>
      </c>
      <c r="C307" s="2"/>
      <c r="D307" s="205"/>
      <c r="F307" s="34">
        <v>4</v>
      </c>
      <c r="G307" s="2"/>
      <c r="H307" s="205"/>
      <c r="J307" s="34">
        <v>4</v>
      </c>
      <c r="K307" s="2"/>
      <c r="L307" s="205"/>
      <c r="P307" s="34">
        <v>4</v>
      </c>
      <c r="Q307" s="2"/>
      <c r="R307" s="205"/>
      <c r="T307" s="34">
        <v>4</v>
      </c>
      <c r="U307" s="2"/>
      <c r="V307" s="205"/>
      <c r="X307" s="34">
        <v>4</v>
      </c>
      <c r="Y307" s="2"/>
      <c r="Z307" s="205"/>
      <c r="AC307" s="5"/>
      <c r="AG307" s="34">
        <v>4</v>
      </c>
      <c r="AH307" s="2"/>
      <c r="AI307" s="205"/>
      <c r="AK307" s="34">
        <v>4</v>
      </c>
      <c r="AL307" s="2"/>
      <c r="AM307" s="205"/>
      <c r="AO307" s="34">
        <v>4</v>
      </c>
      <c r="AP307" s="2"/>
      <c r="AQ307" s="205"/>
      <c r="AU307" s="34">
        <v>4</v>
      </c>
      <c r="AV307" s="3"/>
      <c r="AW307" s="77"/>
      <c r="AY307" s="34">
        <v>4</v>
      </c>
      <c r="AZ307" s="2"/>
      <c r="BA307" s="205"/>
      <c r="BC307" s="34">
        <v>4</v>
      </c>
      <c r="BD307" s="3"/>
      <c r="BE307" s="77"/>
      <c r="BH307" s="5"/>
      <c r="BL307" s="34">
        <v>4</v>
      </c>
      <c r="BM307" s="3"/>
      <c r="BN307" s="77"/>
      <c r="BP307" s="34">
        <v>4</v>
      </c>
      <c r="BQ307" s="3"/>
      <c r="BR307" s="77"/>
      <c r="BV307" s="34">
        <v>4</v>
      </c>
      <c r="BW307" s="3"/>
      <c r="BX307" s="77"/>
      <c r="BZ307" s="34">
        <v>4</v>
      </c>
      <c r="CA307" s="3"/>
      <c r="CB307" s="77"/>
    </row>
    <row r="308" spans="2:80">
      <c r="B308" s="34">
        <v>5</v>
      </c>
      <c r="C308" s="2"/>
      <c r="D308" s="205"/>
      <c r="F308" s="34">
        <v>5</v>
      </c>
      <c r="G308" s="2"/>
      <c r="H308" s="205"/>
      <c r="J308" s="34">
        <v>5</v>
      </c>
      <c r="K308" s="2"/>
      <c r="L308" s="205"/>
      <c r="P308" s="34">
        <v>5</v>
      </c>
      <c r="Q308" s="2"/>
      <c r="R308" s="205"/>
      <c r="T308" s="34">
        <v>5</v>
      </c>
      <c r="U308" s="2"/>
      <c r="V308" s="205"/>
      <c r="X308" s="34">
        <v>5</v>
      </c>
      <c r="Y308" s="2"/>
      <c r="Z308" s="205"/>
      <c r="AC308" s="5"/>
      <c r="AG308" s="34">
        <v>5</v>
      </c>
      <c r="AH308" s="2"/>
      <c r="AI308" s="205"/>
      <c r="AK308" s="34">
        <v>5</v>
      </c>
      <c r="AL308" s="2"/>
      <c r="AM308" s="205"/>
      <c r="AO308" s="34">
        <v>5</v>
      </c>
      <c r="AP308" s="2"/>
      <c r="AQ308" s="205"/>
      <c r="AU308" s="34">
        <v>5</v>
      </c>
      <c r="AV308" s="3"/>
      <c r="AW308" s="77"/>
      <c r="AY308" s="34">
        <v>5</v>
      </c>
      <c r="AZ308" s="2"/>
      <c r="BA308" s="205"/>
      <c r="BC308" s="34">
        <v>5</v>
      </c>
      <c r="BD308" s="3"/>
      <c r="BE308" s="77"/>
      <c r="BH308" s="5"/>
      <c r="BL308" s="34">
        <v>5</v>
      </c>
      <c r="BM308" s="3"/>
      <c r="BN308" s="77"/>
      <c r="BP308" s="34">
        <v>5</v>
      </c>
      <c r="BQ308" s="3"/>
      <c r="BR308" s="77"/>
      <c r="BV308" s="34">
        <v>5</v>
      </c>
      <c r="BW308" s="3"/>
      <c r="BX308" s="77"/>
      <c r="BZ308" s="34">
        <v>5</v>
      </c>
      <c r="CA308" s="3"/>
      <c r="CB308" s="77"/>
    </row>
    <row r="309" spans="2:80">
      <c r="B309" s="34">
        <v>6</v>
      </c>
      <c r="C309" s="2"/>
      <c r="D309" s="205"/>
      <c r="F309" s="34">
        <v>6</v>
      </c>
      <c r="G309" s="2"/>
      <c r="H309" s="205"/>
      <c r="J309" s="34">
        <v>6</v>
      </c>
      <c r="K309" s="2"/>
      <c r="L309" s="205"/>
      <c r="P309" s="34">
        <v>6</v>
      </c>
      <c r="Q309" s="2"/>
      <c r="R309" s="205"/>
      <c r="T309" s="34">
        <v>6</v>
      </c>
      <c r="U309" s="2"/>
      <c r="V309" s="205"/>
      <c r="X309" s="34">
        <v>6</v>
      </c>
      <c r="Y309" s="2"/>
      <c r="Z309" s="205"/>
      <c r="AC309" s="5"/>
      <c r="AG309" s="34">
        <v>6</v>
      </c>
      <c r="AH309" s="2"/>
      <c r="AI309" s="205"/>
      <c r="AK309" s="34">
        <v>6</v>
      </c>
      <c r="AL309" s="2"/>
      <c r="AM309" s="205"/>
      <c r="AO309" s="34">
        <v>6</v>
      </c>
      <c r="AP309" s="2"/>
      <c r="AQ309" s="205"/>
      <c r="AU309" s="34">
        <v>6</v>
      </c>
      <c r="AV309" s="3"/>
      <c r="AW309" s="77"/>
      <c r="AY309" s="34">
        <v>6</v>
      </c>
      <c r="AZ309" s="2"/>
      <c r="BA309" s="205"/>
      <c r="BC309" s="34">
        <v>6</v>
      </c>
      <c r="BD309" s="3"/>
      <c r="BE309" s="77"/>
      <c r="BH309" s="5"/>
      <c r="BL309" s="34">
        <v>6</v>
      </c>
      <c r="BM309" s="3"/>
      <c r="BN309" s="77"/>
      <c r="BP309" s="34">
        <v>6</v>
      </c>
      <c r="BQ309" s="3"/>
      <c r="BR309" s="77"/>
      <c r="BV309" s="34">
        <v>6</v>
      </c>
      <c r="BW309" s="3"/>
      <c r="BX309" s="77"/>
      <c r="BZ309" s="34">
        <v>6</v>
      </c>
      <c r="CA309" s="3"/>
      <c r="CB309" s="77"/>
    </row>
    <row r="310" spans="2:80">
      <c r="B310" s="34">
        <v>7</v>
      </c>
      <c r="C310" s="2"/>
      <c r="D310" s="205"/>
      <c r="F310" s="34">
        <v>7</v>
      </c>
      <c r="G310" s="2"/>
      <c r="H310" s="205"/>
      <c r="J310" s="34">
        <v>7</v>
      </c>
      <c r="K310" s="2"/>
      <c r="L310" s="205"/>
      <c r="P310" s="34">
        <v>7</v>
      </c>
      <c r="Q310" s="2"/>
      <c r="R310" s="205"/>
      <c r="T310" s="34">
        <v>7</v>
      </c>
      <c r="U310" s="2"/>
      <c r="V310" s="205"/>
      <c r="X310" s="34">
        <v>7</v>
      </c>
      <c r="Y310" s="2"/>
      <c r="Z310" s="205"/>
      <c r="AC310" s="5"/>
      <c r="AG310" s="34">
        <v>7</v>
      </c>
      <c r="AH310" s="2"/>
      <c r="AI310" s="205"/>
      <c r="AK310" s="34">
        <v>7</v>
      </c>
      <c r="AL310" s="2"/>
      <c r="AM310" s="205"/>
      <c r="AO310" s="34">
        <v>7</v>
      </c>
      <c r="AP310" s="2"/>
      <c r="AQ310" s="205"/>
      <c r="AU310" s="34">
        <v>7</v>
      </c>
      <c r="AV310" s="3"/>
      <c r="AW310" s="77"/>
      <c r="AY310" s="34">
        <v>7</v>
      </c>
      <c r="AZ310" s="2"/>
      <c r="BA310" s="205"/>
      <c r="BC310" s="34">
        <v>7</v>
      </c>
      <c r="BD310" s="3"/>
      <c r="BE310" s="77"/>
      <c r="BH310" s="5"/>
      <c r="BL310" s="34">
        <v>7</v>
      </c>
      <c r="BM310" s="3"/>
      <c r="BN310" s="77"/>
      <c r="BP310" s="34">
        <v>7</v>
      </c>
      <c r="BQ310" s="3"/>
      <c r="BR310" s="77"/>
      <c r="BV310" s="34">
        <v>7</v>
      </c>
      <c r="BW310" s="3"/>
      <c r="BX310" s="77"/>
      <c r="BZ310" s="34">
        <v>7</v>
      </c>
      <c r="CA310" s="3"/>
      <c r="CB310" s="77"/>
    </row>
    <row r="311" spans="2:80">
      <c r="B311" s="34">
        <v>8</v>
      </c>
      <c r="C311" s="2"/>
      <c r="D311" s="205"/>
      <c r="F311" s="34">
        <v>8</v>
      </c>
      <c r="G311" s="2"/>
      <c r="H311" s="205"/>
      <c r="J311" s="34">
        <v>8</v>
      </c>
      <c r="K311" s="2"/>
      <c r="L311" s="205"/>
      <c r="P311" s="34">
        <v>8</v>
      </c>
      <c r="Q311" s="2"/>
      <c r="R311" s="205"/>
      <c r="T311" s="34">
        <v>8</v>
      </c>
      <c r="U311" s="2"/>
      <c r="V311" s="205"/>
      <c r="X311" s="34">
        <v>8</v>
      </c>
      <c r="Y311" s="2"/>
      <c r="Z311" s="205"/>
      <c r="AC311" s="5"/>
      <c r="AG311" s="34">
        <v>8</v>
      </c>
      <c r="AH311" s="2"/>
      <c r="AI311" s="205"/>
      <c r="AK311" s="34">
        <v>8</v>
      </c>
      <c r="AL311" s="2"/>
      <c r="AM311" s="205"/>
      <c r="AO311" s="34">
        <v>8</v>
      </c>
      <c r="AP311" s="2"/>
      <c r="AQ311" s="205"/>
      <c r="AU311" s="34">
        <v>8</v>
      </c>
      <c r="AV311" s="3"/>
      <c r="AW311" s="77"/>
      <c r="AY311" s="34">
        <v>8</v>
      </c>
      <c r="AZ311" s="2"/>
      <c r="BA311" s="205"/>
      <c r="BC311" s="34">
        <v>8</v>
      </c>
      <c r="BD311" s="3"/>
      <c r="BE311" s="77"/>
      <c r="BH311" s="5"/>
      <c r="BL311" s="34">
        <v>8</v>
      </c>
      <c r="BM311" s="3"/>
      <c r="BN311" s="77"/>
      <c r="BP311" s="34">
        <v>8</v>
      </c>
      <c r="BQ311" s="3"/>
      <c r="BR311" s="77"/>
      <c r="BV311" s="34">
        <v>8</v>
      </c>
      <c r="BW311" s="3"/>
      <c r="BX311" s="77"/>
      <c r="BZ311" s="34">
        <v>8</v>
      </c>
      <c r="CA311" s="3"/>
      <c r="CB311" s="77"/>
    </row>
    <row r="312" spans="2:80">
      <c r="B312" s="34">
        <v>9</v>
      </c>
      <c r="C312" s="2"/>
      <c r="D312" s="205"/>
      <c r="F312" s="34">
        <v>9</v>
      </c>
      <c r="G312" s="2"/>
      <c r="H312" s="205"/>
      <c r="J312" s="34">
        <v>9</v>
      </c>
      <c r="K312" s="2"/>
      <c r="L312" s="205"/>
      <c r="P312" s="34">
        <v>9</v>
      </c>
      <c r="Q312" s="2"/>
      <c r="R312" s="205"/>
      <c r="T312" s="34">
        <v>9</v>
      </c>
      <c r="U312" s="2"/>
      <c r="V312" s="205"/>
      <c r="X312" s="34">
        <v>9</v>
      </c>
      <c r="Y312" s="2"/>
      <c r="Z312" s="205"/>
      <c r="AC312" s="5"/>
      <c r="AG312" s="34">
        <v>9</v>
      </c>
      <c r="AH312" s="2"/>
      <c r="AI312" s="205"/>
      <c r="AK312" s="34">
        <v>9</v>
      </c>
      <c r="AL312" s="2"/>
      <c r="AM312" s="205"/>
      <c r="AO312" s="34">
        <v>9</v>
      </c>
      <c r="AP312" s="2"/>
      <c r="AQ312" s="205"/>
      <c r="AU312" s="34">
        <v>9</v>
      </c>
      <c r="AV312" s="3"/>
      <c r="AW312" s="77"/>
      <c r="AY312" s="34">
        <v>9</v>
      </c>
      <c r="AZ312" s="2"/>
      <c r="BA312" s="205"/>
      <c r="BC312" s="34">
        <v>9</v>
      </c>
      <c r="BD312" s="3"/>
      <c r="BE312" s="77"/>
      <c r="BH312" s="5"/>
      <c r="BL312" s="34">
        <v>9</v>
      </c>
      <c r="BM312" s="3"/>
      <c r="BN312" s="77"/>
      <c r="BP312" s="34">
        <v>9</v>
      </c>
      <c r="BQ312" s="3"/>
      <c r="BR312" s="77"/>
      <c r="BV312" s="34">
        <v>9</v>
      </c>
      <c r="BW312" s="3"/>
      <c r="BX312" s="77"/>
      <c r="BZ312" s="34">
        <v>9</v>
      </c>
      <c r="CA312" s="3"/>
      <c r="CB312" s="77"/>
    </row>
    <row r="313" spans="2:80">
      <c r="B313" s="34">
        <v>10</v>
      </c>
      <c r="C313" s="2"/>
      <c r="D313" s="245"/>
      <c r="F313" s="34">
        <v>10</v>
      </c>
      <c r="G313" s="2"/>
      <c r="H313" s="205"/>
      <c r="J313" s="34">
        <v>10</v>
      </c>
      <c r="K313" s="2"/>
      <c r="L313" s="205"/>
      <c r="P313" s="34">
        <v>10</v>
      </c>
      <c r="Q313" s="2"/>
      <c r="R313" s="205"/>
      <c r="T313" s="34">
        <v>10</v>
      </c>
      <c r="U313" s="2"/>
      <c r="V313" s="205"/>
      <c r="X313" s="34">
        <v>10</v>
      </c>
      <c r="Y313" s="2"/>
      <c r="Z313" s="205"/>
      <c r="AC313" s="5"/>
      <c r="AG313" s="34">
        <v>10</v>
      </c>
      <c r="AH313" s="2"/>
      <c r="AI313" s="205"/>
      <c r="AK313" s="34">
        <v>10</v>
      </c>
      <c r="AL313" s="2"/>
      <c r="AM313" s="205"/>
      <c r="AO313" s="34">
        <v>10</v>
      </c>
      <c r="AP313" s="2"/>
      <c r="AQ313" s="205"/>
      <c r="AU313" s="34">
        <v>10</v>
      </c>
      <c r="AV313" s="3"/>
      <c r="AW313" s="77"/>
      <c r="AY313" s="34">
        <v>10</v>
      </c>
      <c r="AZ313" s="2"/>
      <c r="BA313" s="205"/>
      <c r="BC313" s="34">
        <v>10</v>
      </c>
      <c r="BD313" s="3"/>
      <c r="BE313" s="77"/>
      <c r="BH313" s="5"/>
      <c r="BL313" s="34">
        <v>10</v>
      </c>
      <c r="BM313" s="3"/>
      <c r="BN313" s="77"/>
      <c r="BP313" s="34">
        <v>10</v>
      </c>
      <c r="BQ313" s="3"/>
      <c r="BR313" s="77"/>
      <c r="BV313" s="34">
        <v>10</v>
      </c>
      <c r="BW313" s="3"/>
      <c r="BX313" s="77"/>
      <c r="BZ313" s="34">
        <v>10</v>
      </c>
      <c r="CA313" s="3"/>
      <c r="CB313" s="77"/>
    </row>
    <row r="314" spans="2:80">
      <c r="B314" s="34">
        <v>11</v>
      </c>
      <c r="C314" s="61"/>
      <c r="D314" s="205"/>
      <c r="F314" s="34">
        <v>11</v>
      </c>
      <c r="G314" s="2"/>
      <c r="H314" s="205"/>
      <c r="J314" s="34">
        <v>11</v>
      </c>
      <c r="K314" s="2"/>
      <c r="L314" s="205"/>
      <c r="P314" s="34">
        <v>11</v>
      </c>
      <c r="Q314" s="2"/>
      <c r="R314" s="205"/>
      <c r="T314" s="34">
        <v>11</v>
      </c>
      <c r="U314" s="2"/>
      <c r="V314" s="205"/>
      <c r="X314" s="34">
        <v>11</v>
      </c>
      <c r="Y314" s="2"/>
      <c r="Z314" s="205"/>
      <c r="AC314" s="5"/>
      <c r="AG314" s="34">
        <v>11</v>
      </c>
      <c r="AH314" s="2"/>
      <c r="AI314" s="205"/>
      <c r="AK314" s="34">
        <v>11</v>
      </c>
      <c r="AL314" s="2"/>
      <c r="AM314" s="205"/>
      <c r="AO314" s="34">
        <v>11</v>
      </c>
      <c r="AP314" s="2"/>
      <c r="AQ314" s="205"/>
      <c r="AU314" s="34">
        <v>11</v>
      </c>
      <c r="AV314" s="3"/>
      <c r="AW314" s="77"/>
      <c r="AY314" s="34">
        <v>11</v>
      </c>
      <c r="AZ314" s="2"/>
      <c r="BA314" s="205"/>
      <c r="BC314" s="34">
        <v>11</v>
      </c>
      <c r="BD314" s="3"/>
      <c r="BE314" s="77"/>
      <c r="BH314" s="5"/>
      <c r="BL314" s="34">
        <v>11</v>
      </c>
      <c r="BM314" s="3"/>
      <c r="BN314" s="4"/>
      <c r="BP314" s="34">
        <v>11</v>
      </c>
      <c r="BQ314" s="3"/>
      <c r="BR314" s="77"/>
      <c r="BV314" s="34">
        <v>11</v>
      </c>
      <c r="BW314" s="3"/>
      <c r="BX314" s="77"/>
      <c r="BZ314" s="34">
        <v>11</v>
      </c>
      <c r="CA314" s="3"/>
      <c r="CB314" s="4"/>
    </row>
    <row r="315" spans="2:80">
      <c r="B315" s="34">
        <v>12</v>
      </c>
      <c r="C315" s="2"/>
      <c r="D315" s="246"/>
      <c r="F315" s="34">
        <v>12</v>
      </c>
      <c r="G315" s="2"/>
      <c r="H315" s="205"/>
      <c r="J315" s="34">
        <v>12</v>
      </c>
      <c r="K315" s="2"/>
      <c r="L315" s="205"/>
      <c r="P315" s="34">
        <v>12</v>
      </c>
      <c r="Q315" s="2"/>
      <c r="R315" s="205"/>
      <c r="T315" s="34">
        <v>12</v>
      </c>
      <c r="U315" s="2"/>
      <c r="V315" s="205"/>
      <c r="X315" s="34">
        <v>12</v>
      </c>
      <c r="Y315" s="2"/>
      <c r="Z315" s="205"/>
      <c r="AC315" s="5"/>
      <c r="AG315" s="34">
        <v>12</v>
      </c>
      <c r="AH315" s="2"/>
      <c r="AI315" s="205"/>
      <c r="AK315" s="34">
        <v>12</v>
      </c>
      <c r="AL315" s="2"/>
      <c r="AM315" s="205"/>
      <c r="AO315" s="34">
        <v>12</v>
      </c>
      <c r="AP315" s="2"/>
      <c r="AQ315" s="205"/>
      <c r="AU315" s="34">
        <v>12</v>
      </c>
      <c r="AV315" s="3"/>
      <c r="AW315" s="77"/>
      <c r="AY315" s="34">
        <v>12</v>
      </c>
      <c r="AZ315" s="2"/>
      <c r="BA315" s="205"/>
      <c r="BC315" s="34">
        <v>12</v>
      </c>
      <c r="BD315" s="3"/>
      <c r="BE315" s="77"/>
      <c r="BH315" s="5"/>
      <c r="BL315" s="34">
        <v>12</v>
      </c>
      <c r="BM315" s="3"/>
      <c r="BN315" s="77"/>
      <c r="BP315" s="34">
        <v>12</v>
      </c>
      <c r="BQ315" s="3"/>
      <c r="BR315" s="77"/>
      <c r="BV315" s="34">
        <v>12</v>
      </c>
      <c r="BW315" s="3"/>
      <c r="BX315" s="77"/>
      <c r="BZ315" s="34">
        <v>12</v>
      </c>
      <c r="CA315" s="3"/>
      <c r="CB315" s="77"/>
    </row>
    <row r="316" spans="2:80">
      <c r="B316" s="34">
        <v>13</v>
      </c>
      <c r="C316" s="2"/>
      <c r="D316" s="205"/>
      <c r="F316" s="34">
        <v>13</v>
      </c>
      <c r="G316" s="2"/>
      <c r="H316" s="205"/>
      <c r="J316" s="34">
        <v>13</v>
      </c>
      <c r="K316" s="2"/>
      <c r="L316" s="205"/>
      <c r="P316" s="34">
        <v>13</v>
      </c>
      <c r="Q316" s="109"/>
      <c r="R316" s="205"/>
      <c r="T316" s="34">
        <v>13</v>
      </c>
      <c r="U316" s="109"/>
      <c r="V316" s="205"/>
      <c r="X316" s="34">
        <v>13</v>
      </c>
      <c r="Y316" s="109"/>
      <c r="Z316" s="205"/>
      <c r="AC316" s="5"/>
      <c r="AG316" s="34">
        <v>13</v>
      </c>
      <c r="AH316" s="109"/>
      <c r="AI316" s="205"/>
      <c r="AK316" s="34">
        <v>13</v>
      </c>
      <c r="AL316" s="109"/>
      <c r="AM316" s="205"/>
      <c r="AO316" s="34">
        <v>13</v>
      </c>
      <c r="AP316" s="109"/>
      <c r="AQ316" s="205"/>
      <c r="AU316" s="34">
        <v>13</v>
      </c>
      <c r="AV316" s="3"/>
      <c r="AW316" s="77"/>
      <c r="AY316" s="34">
        <v>13</v>
      </c>
      <c r="AZ316" s="2"/>
      <c r="BA316" s="205"/>
      <c r="BC316" s="34">
        <v>13</v>
      </c>
      <c r="BD316" s="3"/>
      <c r="BE316" s="77"/>
      <c r="BH316" s="5"/>
      <c r="BL316" s="34">
        <v>13</v>
      </c>
      <c r="BM316" s="3"/>
      <c r="BN316" s="77"/>
      <c r="BP316" s="34">
        <v>13</v>
      </c>
      <c r="BQ316" s="3"/>
      <c r="BR316" s="77"/>
      <c r="BV316" s="34">
        <v>13</v>
      </c>
      <c r="BW316" s="3"/>
      <c r="BX316" s="77"/>
      <c r="BZ316" s="34">
        <v>13</v>
      </c>
      <c r="CA316" s="3"/>
      <c r="CB316" s="77"/>
    </row>
    <row r="317" spans="2:80">
      <c r="B317" s="34">
        <v>14</v>
      </c>
      <c r="C317" s="2"/>
      <c r="D317" s="205"/>
      <c r="F317" s="34">
        <v>14</v>
      </c>
      <c r="G317" s="2"/>
      <c r="H317" s="205"/>
      <c r="J317" s="34">
        <v>14</v>
      </c>
      <c r="K317" s="2"/>
      <c r="L317" s="205"/>
      <c r="P317" s="34">
        <v>14</v>
      </c>
      <c r="Q317" s="2"/>
      <c r="R317" s="205"/>
      <c r="T317" s="34">
        <v>14</v>
      </c>
      <c r="U317" s="2"/>
      <c r="V317" s="205"/>
      <c r="X317" s="34">
        <v>14</v>
      </c>
      <c r="Y317" s="2"/>
      <c r="Z317" s="205"/>
      <c r="AC317" s="5"/>
      <c r="AG317" s="34">
        <v>14</v>
      </c>
      <c r="AH317" s="2"/>
      <c r="AI317" s="205"/>
      <c r="AK317" s="34">
        <v>14</v>
      </c>
      <c r="AL317" s="2"/>
      <c r="AM317" s="205"/>
      <c r="AO317" s="34">
        <v>14</v>
      </c>
      <c r="AP317" s="2"/>
      <c r="AQ317" s="205"/>
      <c r="AU317" s="34">
        <v>14</v>
      </c>
      <c r="AV317" s="3"/>
      <c r="AW317" s="77"/>
      <c r="AY317" s="34">
        <v>14</v>
      </c>
      <c r="AZ317" s="2"/>
      <c r="BA317" s="205"/>
      <c r="BC317" s="34">
        <v>14</v>
      </c>
      <c r="BD317" s="3"/>
      <c r="BE317" s="77"/>
      <c r="BH317" s="5"/>
      <c r="BL317" s="34">
        <v>14</v>
      </c>
      <c r="BM317" s="3"/>
      <c r="BN317" s="77"/>
      <c r="BP317" s="34">
        <v>14</v>
      </c>
      <c r="BQ317" s="3"/>
      <c r="BR317" s="77"/>
      <c r="BV317" s="34">
        <v>14</v>
      </c>
      <c r="BW317" s="3"/>
      <c r="BX317" s="77"/>
      <c r="BZ317" s="34">
        <v>14</v>
      </c>
      <c r="CA317" s="3"/>
      <c r="CB317" s="77"/>
    </row>
    <row r="318" spans="2:80">
      <c r="B318" s="34">
        <v>15</v>
      </c>
      <c r="C318" s="2"/>
      <c r="D318" s="205"/>
      <c r="F318" s="34">
        <v>15</v>
      </c>
      <c r="G318" s="2"/>
      <c r="H318" s="205"/>
      <c r="J318" s="34">
        <v>15</v>
      </c>
      <c r="K318" s="2"/>
      <c r="L318" s="205"/>
      <c r="P318" s="34">
        <v>15</v>
      </c>
      <c r="Q318" s="2"/>
      <c r="R318" s="205"/>
      <c r="T318" s="34">
        <v>15</v>
      </c>
      <c r="U318" s="2"/>
      <c r="V318" s="205"/>
      <c r="X318" s="34">
        <v>15</v>
      </c>
      <c r="Y318" s="2"/>
      <c r="Z318" s="205"/>
      <c r="AC318" s="5"/>
      <c r="AG318" s="34">
        <v>15</v>
      </c>
      <c r="AH318" s="2"/>
      <c r="AI318" s="205"/>
      <c r="AK318" s="34">
        <v>15</v>
      </c>
      <c r="AL318" s="2"/>
      <c r="AM318" s="205"/>
      <c r="AO318" s="34">
        <v>15</v>
      </c>
      <c r="AP318" s="2"/>
      <c r="AQ318" s="205"/>
      <c r="AU318" s="34">
        <v>15</v>
      </c>
      <c r="AV318" s="3"/>
      <c r="AW318" s="77"/>
      <c r="AY318" s="34">
        <v>15</v>
      </c>
      <c r="AZ318" s="2"/>
      <c r="BA318" s="205"/>
      <c r="BC318" s="34">
        <v>15</v>
      </c>
      <c r="BD318" s="3"/>
      <c r="BE318" s="77"/>
      <c r="BH318" s="5"/>
      <c r="BL318" s="34">
        <v>15</v>
      </c>
      <c r="BM318" s="3"/>
      <c r="BN318" s="77"/>
      <c r="BP318" s="34">
        <v>15</v>
      </c>
      <c r="BQ318" s="3"/>
      <c r="BR318" s="77"/>
      <c r="BV318" s="34">
        <v>15</v>
      </c>
      <c r="BW318" s="3"/>
      <c r="BX318" s="77"/>
      <c r="BZ318" s="34">
        <v>15</v>
      </c>
      <c r="CA318" s="3"/>
      <c r="CB318" s="77"/>
    </row>
    <row r="319" spans="2:80">
      <c r="B319" s="34">
        <v>16</v>
      </c>
      <c r="C319" s="2"/>
      <c r="D319" s="205"/>
      <c r="F319" s="34">
        <v>16</v>
      </c>
      <c r="G319" s="2"/>
      <c r="H319" s="205"/>
      <c r="J319" s="34">
        <v>16</v>
      </c>
      <c r="K319" s="2"/>
      <c r="L319" s="205"/>
      <c r="P319" s="34">
        <v>16</v>
      </c>
      <c r="Q319" s="2"/>
      <c r="R319" s="205"/>
      <c r="T319" s="34">
        <v>16</v>
      </c>
      <c r="U319" s="2"/>
      <c r="V319" s="205"/>
      <c r="X319" s="34">
        <v>16</v>
      </c>
      <c r="Y319" s="2"/>
      <c r="Z319" s="205"/>
      <c r="AC319" s="5"/>
      <c r="AG319" s="34">
        <v>16</v>
      </c>
      <c r="AH319" s="2"/>
      <c r="AI319" s="205"/>
      <c r="AK319" s="34">
        <v>16</v>
      </c>
      <c r="AL319" s="2"/>
      <c r="AM319" s="205"/>
      <c r="AO319" s="34">
        <v>16</v>
      </c>
      <c r="AP319" s="2"/>
      <c r="AQ319" s="205"/>
      <c r="AU319" s="34">
        <v>16</v>
      </c>
      <c r="AV319" s="3"/>
      <c r="AW319" s="77"/>
      <c r="AY319" s="34">
        <v>16</v>
      </c>
      <c r="AZ319" s="2"/>
      <c r="BA319" s="205"/>
      <c r="BC319" s="34">
        <v>16</v>
      </c>
      <c r="BD319" s="3"/>
      <c r="BE319" s="77"/>
      <c r="BH319" s="5"/>
      <c r="BL319" s="34">
        <v>16</v>
      </c>
      <c r="BM319" s="3"/>
      <c r="BN319" s="77"/>
      <c r="BP319" s="34">
        <v>16</v>
      </c>
      <c r="BQ319" s="3"/>
      <c r="BR319" s="77"/>
      <c r="BV319" s="34">
        <v>16</v>
      </c>
      <c r="BW319" s="3"/>
      <c r="BX319" s="77"/>
      <c r="BZ319" s="34">
        <v>16</v>
      </c>
      <c r="CA319" s="3"/>
      <c r="CB319" s="77"/>
    </row>
    <row r="320" spans="2:80">
      <c r="B320" s="34">
        <v>17</v>
      </c>
      <c r="C320" s="3"/>
      <c r="D320" s="77"/>
      <c r="F320" s="34">
        <v>17</v>
      </c>
      <c r="G320" s="3"/>
      <c r="H320" s="77"/>
      <c r="J320" s="34">
        <v>17</v>
      </c>
      <c r="K320" s="3"/>
      <c r="L320" s="77"/>
      <c r="P320" s="34">
        <v>17</v>
      </c>
      <c r="Q320" s="3"/>
      <c r="R320" s="77"/>
      <c r="T320" s="34">
        <v>17</v>
      </c>
      <c r="U320" s="3"/>
      <c r="V320" s="77"/>
      <c r="X320" s="34">
        <v>17</v>
      </c>
      <c r="Y320" s="2"/>
      <c r="Z320" s="205"/>
      <c r="AC320" s="5"/>
      <c r="AG320" s="34">
        <v>17</v>
      </c>
      <c r="AH320" s="2"/>
      <c r="AI320" s="205"/>
      <c r="AK320" s="34">
        <v>17</v>
      </c>
      <c r="AL320" s="2"/>
      <c r="AM320" s="205"/>
      <c r="AO320" s="34">
        <v>17</v>
      </c>
      <c r="AP320" s="2"/>
      <c r="AQ320" s="205"/>
      <c r="AU320" s="34">
        <v>17</v>
      </c>
      <c r="AV320" s="3"/>
      <c r="AW320" s="77"/>
      <c r="AY320" s="34">
        <v>17</v>
      </c>
      <c r="AZ320" s="2"/>
      <c r="BA320" s="205"/>
      <c r="BC320" s="34">
        <v>17</v>
      </c>
      <c r="BD320" s="3"/>
      <c r="BE320" s="77"/>
      <c r="BH320" s="5"/>
      <c r="BL320" s="34">
        <v>17</v>
      </c>
      <c r="BM320" s="3"/>
      <c r="BN320" s="77"/>
      <c r="BP320" s="34">
        <v>17</v>
      </c>
      <c r="BQ320" s="3"/>
      <c r="BR320" s="77"/>
      <c r="BV320" s="34">
        <v>17</v>
      </c>
      <c r="BW320" s="3"/>
      <c r="BX320" s="77"/>
      <c r="BZ320" s="34">
        <v>17</v>
      </c>
      <c r="CA320" s="3"/>
      <c r="CB320" s="77"/>
    </row>
    <row r="321" spans="1:81">
      <c r="B321" s="34">
        <v>18</v>
      </c>
      <c r="C321" s="3"/>
      <c r="D321" s="77"/>
      <c r="F321" s="34">
        <v>18</v>
      </c>
      <c r="G321" s="3"/>
      <c r="H321" s="77"/>
      <c r="J321" s="34">
        <v>18</v>
      </c>
      <c r="K321" s="3"/>
      <c r="L321" s="77"/>
      <c r="P321" s="34">
        <v>18</v>
      </c>
      <c r="Q321" s="3"/>
      <c r="R321" s="77"/>
      <c r="T321" s="34">
        <v>18</v>
      </c>
      <c r="U321" s="3"/>
      <c r="V321" s="77"/>
      <c r="X321" s="34">
        <v>18</v>
      </c>
      <c r="Y321" s="2"/>
      <c r="Z321" s="205"/>
      <c r="AC321" s="5"/>
      <c r="AG321" s="34">
        <v>18</v>
      </c>
      <c r="AH321" s="2"/>
      <c r="AI321" s="205"/>
      <c r="AK321" s="34">
        <v>18</v>
      </c>
      <c r="AL321" s="2"/>
      <c r="AM321" s="205"/>
      <c r="AO321" s="34">
        <v>18</v>
      </c>
      <c r="AP321" s="2"/>
      <c r="AQ321" s="205"/>
      <c r="AU321" s="34">
        <v>18</v>
      </c>
      <c r="AV321" s="3"/>
      <c r="AW321" s="77"/>
      <c r="AY321" s="34">
        <v>18</v>
      </c>
      <c r="AZ321" s="2"/>
      <c r="BA321" s="205"/>
      <c r="BC321" s="34">
        <v>18</v>
      </c>
      <c r="BD321" s="3"/>
      <c r="BE321" s="77"/>
      <c r="BH321" s="5"/>
      <c r="BL321" s="34">
        <v>18</v>
      </c>
      <c r="BM321" s="3"/>
      <c r="BN321" s="77"/>
      <c r="BP321" s="34">
        <v>18</v>
      </c>
      <c r="BQ321" s="3"/>
      <c r="BR321" s="77"/>
      <c r="BV321" s="34">
        <v>18</v>
      </c>
      <c r="BW321" s="3"/>
      <c r="BX321" s="77"/>
      <c r="BZ321" s="34">
        <v>18</v>
      </c>
      <c r="CA321" s="3"/>
      <c r="CB321" s="77"/>
    </row>
    <row r="322" spans="1:81">
      <c r="B322" s="34">
        <v>19</v>
      </c>
      <c r="C322" s="3"/>
      <c r="D322" s="77"/>
      <c r="F322" s="34">
        <v>19</v>
      </c>
      <c r="G322" s="3"/>
      <c r="H322" s="77"/>
      <c r="J322" s="34">
        <v>19</v>
      </c>
      <c r="K322" s="3"/>
      <c r="L322" s="77"/>
      <c r="P322" s="34">
        <v>19</v>
      </c>
      <c r="Q322" s="3"/>
      <c r="R322" s="77"/>
      <c r="T322" s="34">
        <v>19</v>
      </c>
      <c r="U322" s="3"/>
      <c r="V322" s="77"/>
      <c r="X322" s="34">
        <v>19</v>
      </c>
      <c r="Y322" s="3"/>
      <c r="Z322" s="77"/>
      <c r="AC322" s="5"/>
      <c r="AG322" s="34">
        <v>19</v>
      </c>
      <c r="AH322" s="2"/>
      <c r="AI322" s="205"/>
      <c r="AK322" s="34">
        <v>19</v>
      </c>
      <c r="AL322" s="2"/>
      <c r="AM322" s="205"/>
      <c r="AO322" s="34">
        <v>19</v>
      </c>
      <c r="AP322" s="2"/>
      <c r="AQ322" s="205"/>
      <c r="AU322" s="34">
        <v>19</v>
      </c>
      <c r="AV322" s="3"/>
      <c r="AW322" s="77"/>
      <c r="AY322" s="34">
        <v>19</v>
      </c>
      <c r="AZ322" s="2"/>
      <c r="BA322" s="205"/>
      <c r="BC322" s="34">
        <v>19</v>
      </c>
      <c r="BD322" s="3"/>
      <c r="BE322" s="77"/>
      <c r="BH322" s="5"/>
      <c r="BL322" s="34">
        <v>19</v>
      </c>
      <c r="BM322" s="3"/>
      <c r="BN322" s="77"/>
      <c r="BP322" s="34">
        <v>19</v>
      </c>
      <c r="BQ322" s="3"/>
      <c r="BR322" s="4"/>
      <c r="BV322" s="34">
        <v>19</v>
      </c>
      <c r="BW322" s="3"/>
      <c r="BX322" s="77"/>
      <c r="BZ322" s="34">
        <v>19</v>
      </c>
      <c r="CA322" s="3"/>
      <c r="CB322" s="77"/>
    </row>
    <row r="323" spans="1:81" ht="16.5" customHeight="1">
      <c r="B323" s="34">
        <v>20</v>
      </c>
      <c r="C323" s="3"/>
      <c r="D323" s="77"/>
      <c r="F323" s="34">
        <v>20</v>
      </c>
      <c r="G323" s="3"/>
      <c r="H323" s="77"/>
      <c r="J323" s="34">
        <v>20</v>
      </c>
      <c r="K323" s="3"/>
      <c r="L323" s="77"/>
      <c r="P323" s="34">
        <v>20</v>
      </c>
      <c r="Q323" s="3"/>
      <c r="R323" s="77"/>
      <c r="T323" s="34">
        <v>20</v>
      </c>
      <c r="U323" s="3"/>
      <c r="V323" s="77"/>
      <c r="X323" s="34">
        <v>20</v>
      </c>
      <c r="Y323" s="3"/>
      <c r="Z323" s="77"/>
      <c r="AC323" s="5"/>
      <c r="AG323" s="34">
        <v>20</v>
      </c>
      <c r="AH323" s="2"/>
      <c r="AI323" s="205"/>
      <c r="AK323" s="34">
        <v>20</v>
      </c>
      <c r="AL323" s="2"/>
      <c r="AM323" s="205"/>
      <c r="AO323" s="34">
        <v>20</v>
      </c>
      <c r="AP323" s="2"/>
      <c r="AQ323" s="205"/>
      <c r="AU323" s="34">
        <v>20</v>
      </c>
      <c r="AV323" s="3"/>
      <c r="AW323" s="77"/>
      <c r="AY323" s="34">
        <v>20</v>
      </c>
      <c r="AZ323" s="2"/>
      <c r="BA323" s="205"/>
      <c r="BC323" s="34">
        <v>20</v>
      </c>
      <c r="BD323" s="3"/>
      <c r="BE323" s="77"/>
      <c r="BH323" s="5"/>
      <c r="BL323" s="34">
        <v>20</v>
      </c>
      <c r="BM323" s="3"/>
      <c r="BN323" s="77"/>
      <c r="BP323" s="34">
        <v>20</v>
      </c>
      <c r="BQ323" s="3"/>
      <c r="BR323" s="77"/>
      <c r="BU323" t="s">
        <v>25</v>
      </c>
      <c r="BV323" s="34">
        <v>20</v>
      </c>
      <c r="BW323" s="3"/>
      <c r="BX323" s="77"/>
      <c r="BZ323" s="34">
        <v>20</v>
      </c>
      <c r="CA323" s="3"/>
      <c r="CB323" s="77"/>
    </row>
    <row r="324" spans="1:81" ht="16.5" customHeight="1">
      <c r="B324" s="34">
        <v>21</v>
      </c>
      <c r="C324" s="3"/>
      <c r="D324" s="77"/>
      <c r="F324" s="34">
        <v>21</v>
      </c>
      <c r="G324" s="3"/>
      <c r="H324" s="77"/>
      <c r="J324" s="34">
        <v>21</v>
      </c>
      <c r="K324" s="3"/>
      <c r="L324" s="77"/>
      <c r="P324" s="34">
        <v>21</v>
      </c>
      <c r="Q324" s="3"/>
      <c r="R324" s="77"/>
      <c r="T324" s="34">
        <v>21</v>
      </c>
      <c r="U324" s="3"/>
      <c r="V324" s="77"/>
      <c r="X324" s="34">
        <v>21</v>
      </c>
      <c r="Y324" s="3"/>
      <c r="Z324" s="77"/>
      <c r="AC324" s="5"/>
      <c r="AG324" s="34">
        <v>21</v>
      </c>
      <c r="AH324" s="2"/>
      <c r="AI324" s="205"/>
      <c r="AK324" s="34">
        <v>21</v>
      </c>
      <c r="AL324" s="2"/>
      <c r="AM324" s="205"/>
      <c r="AO324" s="34">
        <v>21</v>
      </c>
      <c r="AP324" s="2"/>
      <c r="AQ324" s="205"/>
      <c r="AU324" s="34">
        <v>21</v>
      </c>
      <c r="AV324" s="3"/>
      <c r="AW324" s="77"/>
      <c r="AY324" s="34">
        <v>21</v>
      </c>
      <c r="AZ324" s="2"/>
      <c r="BA324" s="205"/>
      <c r="BC324" s="34">
        <v>21</v>
      </c>
      <c r="BD324" s="3"/>
      <c r="BE324" s="77"/>
      <c r="BH324" s="5"/>
      <c r="BL324" s="34">
        <v>21</v>
      </c>
      <c r="BM324" s="3"/>
      <c r="BN324" s="77"/>
      <c r="BP324" s="34">
        <v>21</v>
      </c>
      <c r="BQ324" s="3"/>
      <c r="BR324" s="77"/>
      <c r="BV324" s="34">
        <v>21</v>
      </c>
      <c r="BW324" s="3"/>
      <c r="BX324" s="77"/>
      <c r="BZ324" s="34">
        <v>21</v>
      </c>
      <c r="CA324" s="3"/>
      <c r="CB324" s="77"/>
    </row>
    <row r="325" spans="1:81" ht="16.5" customHeight="1">
      <c r="B325" s="34">
        <v>22</v>
      </c>
      <c r="C325" s="3"/>
      <c r="D325" s="77"/>
      <c r="F325" s="34">
        <v>22</v>
      </c>
      <c r="G325" s="3"/>
      <c r="H325" s="77"/>
      <c r="J325" s="34">
        <v>22</v>
      </c>
      <c r="K325" s="3"/>
      <c r="L325" s="77"/>
      <c r="P325" s="34">
        <v>22</v>
      </c>
      <c r="Q325" s="3"/>
      <c r="R325" s="77"/>
      <c r="T325" s="34">
        <v>22</v>
      </c>
      <c r="U325" s="3"/>
      <c r="V325" s="77"/>
      <c r="X325" s="34">
        <v>22</v>
      </c>
      <c r="Y325" s="3"/>
      <c r="Z325" s="77"/>
      <c r="AC325" s="5"/>
      <c r="AG325" s="34">
        <v>22</v>
      </c>
      <c r="AH325" s="2"/>
      <c r="AI325" s="205"/>
      <c r="AK325" s="34">
        <v>22</v>
      </c>
      <c r="AL325" s="2"/>
      <c r="AM325" s="205"/>
      <c r="AO325" s="34">
        <v>22</v>
      </c>
      <c r="AP325" s="2"/>
      <c r="AQ325" s="205"/>
      <c r="AU325" s="34">
        <v>22</v>
      </c>
      <c r="AV325" s="3"/>
      <c r="AW325" s="77"/>
      <c r="AY325" s="34">
        <v>22</v>
      </c>
      <c r="AZ325" s="2"/>
      <c r="BA325" s="205"/>
      <c r="BC325" s="34">
        <v>22</v>
      </c>
      <c r="BD325" s="3"/>
      <c r="BE325" s="77"/>
      <c r="BH325" s="5"/>
      <c r="BL325" s="34">
        <v>22</v>
      </c>
      <c r="BM325" s="3"/>
      <c r="BN325" s="4"/>
      <c r="BP325" s="34">
        <v>22</v>
      </c>
      <c r="BQ325" s="3"/>
      <c r="BR325" s="4"/>
      <c r="BV325" s="34">
        <v>22</v>
      </c>
      <c r="BW325" s="3"/>
      <c r="BX325" s="4"/>
      <c r="BZ325" s="34">
        <v>22</v>
      </c>
      <c r="CA325" s="3"/>
      <c r="CB325" s="4"/>
    </row>
    <row r="326" spans="1:81" ht="16.5" customHeight="1">
      <c r="B326" s="34">
        <v>23</v>
      </c>
      <c r="C326" s="3"/>
      <c r="D326" s="77"/>
      <c r="F326" s="34">
        <v>23</v>
      </c>
      <c r="G326" s="3"/>
      <c r="H326" s="77"/>
      <c r="J326" s="34">
        <v>23</v>
      </c>
      <c r="K326" s="3"/>
      <c r="L326" s="77"/>
      <c r="P326" s="34">
        <v>23</v>
      </c>
      <c r="Q326" s="3"/>
      <c r="R326" s="77"/>
      <c r="T326" s="34">
        <v>23</v>
      </c>
      <c r="U326" s="3"/>
      <c r="V326" s="77"/>
      <c r="X326" s="34">
        <v>23</v>
      </c>
      <c r="Y326" s="3"/>
      <c r="Z326" s="77"/>
      <c r="AC326" s="5"/>
      <c r="AG326" s="34">
        <v>23</v>
      </c>
      <c r="AH326" s="2"/>
      <c r="AI326" s="205"/>
      <c r="AK326" s="34">
        <v>23</v>
      </c>
      <c r="AL326" s="2"/>
      <c r="AM326" s="205"/>
      <c r="AO326" s="34">
        <v>23</v>
      </c>
      <c r="AP326" s="2"/>
      <c r="AQ326" s="205"/>
      <c r="AU326" s="34">
        <v>23</v>
      </c>
      <c r="AV326" s="3"/>
      <c r="AW326" s="77"/>
      <c r="AY326" s="34">
        <v>23</v>
      </c>
      <c r="AZ326" s="2"/>
      <c r="BA326" s="205"/>
      <c r="BC326" s="34">
        <v>23</v>
      </c>
      <c r="BD326" s="3"/>
      <c r="BE326" s="77"/>
      <c r="BH326" s="5"/>
      <c r="BL326" s="34">
        <v>23</v>
      </c>
      <c r="BM326" s="3"/>
      <c r="BN326" s="4"/>
      <c r="BP326" s="34">
        <v>23</v>
      </c>
      <c r="BQ326" s="3"/>
      <c r="BR326" s="4"/>
      <c r="BV326" s="34">
        <v>23</v>
      </c>
      <c r="BW326" s="3"/>
      <c r="BX326" s="4"/>
      <c r="BZ326" s="34">
        <v>23</v>
      </c>
      <c r="CA326" s="3"/>
      <c r="CB326" s="4"/>
    </row>
    <row r="327" spans="1:81" ht="16.5" customHeight="1">
      <c r="AC327" s="5"/>
      <c r="AU327"/>
      <c r="BC327"/>
      <c r="BH327" s="5"/>
    </row>
    <row r="328" spans="1:81" ht="16.5" customHeight="1">
      <c r="A328" s="6"/>
      <c r="B328" s="187"/>
      <c r="C328" s="7"/>
      <c r="D328" s="200"/>
      <c r="E328" s="7"/>
      <c r="F328" s="187"/>
      <c r="G328" s="7"/>
      <c r="H328" s="200"/>
      <c r="I328" s="7"/>
      <c r="J328" s="187"/>
      <c r="K328" s="7"/>
      <c r="L328" s="200"/>
      <c r="M328" s="7"/>
      <c r="N328" s="7"/>
      <c r="O328" s="7"/>
      <c r="P328" s="187"/>
      <c r="Q328" s="7"/>
      <c r="R328" s="200"/>
      <c r="S328" s="7"/>
      <c r="T328" s="187"/>
      <c r="V328" s="200"/>
      <c r="W328" s="7"/>
      <c r="X328" s="187"/>
      <c r="Y328" s="7"/>
      <c r="Z328" s="200"/>
      <c r="AA328" s="7"/>
      <c r="AB328" s="7"/>
      <c r="AC328" s="7"/>
      <c r="AD328" s="7"/>
      <c r="AE328" s="7"/>
      <c r="AU328"/>
      <c r="BC328"/>
      <c r="BG328" s="7"/>
      <c r="BH328" s="7"/>
      <c r="BI328" s="7"/>
      <c r="BJ328" s="7"/>
      <c r="BK328" s="7"/>
      <c r="BL328" s="187"/>
      <c r="BN328" s="187"/>
      <c r="BO328" s="7"/>
      <c r="BP328" s="187"/>
      <c r="BR328" s="187"/>
      <c r="BS328" s="7"/>
      <c r="BT328" s="7"/>
      <c r="BU328" s="7"/>
      <c r="BV328" s="187"/>
      <c r="BW328" s="7"/>
      <c r="BX328" s="187"/>
      <c r="BY328" s="7"/>
      <c r="BZ328" s="187"/>
      <c r="CA328" s="7"/>
      <c r="CB328" s="187"/>
      <c r="CC328" s="7"/>
    </row>
    <row r="329" spans="1:81" ht="16.5" customHeight="1">
      <c r="A329" s="7"/>
      <c r="B329" s="187"/>
      <c r="C329" s="7"/>
      <c r="D329" s="200"/>
      <c r="E329" s="7"/>
      <c r="F329" s="187"/>
      <c r="G329" s="7"/>
      <c r="H329" s="200"/>
      <c r="I329" s="7"/>
      <c r="J329" s="187"/>
      <c r="K329" s="7"/>
      <c r="L329" s="200"/>
      <c r="M329" s="7"/>
      <c r="N329" s="7"/>
      <c r="O329" s="7"/>
      <c r="P329" s="187"/>
      <c r="Q329" s="837" t="s">
        <v>26</v>
      </c>
      <c r="R329" s="200"/>
      <c r="S329" s="7"/>
      <c r="T329" s="187"/>
      <c r="V329" s="200"/>
      <c r="W329" s="7"/>
      <c r="X329" s="187"/>
      <c r="Y329" s="7"/>
      <c r="Z329" s="200"/>
      <c r="AA329" s="7"/>
      <c r="AB329" s="7"/>
      <c r="AC329" s="7"/>
      <c r="AD329" s="7"/>
      <c r="AE329" s="7"/>
      <c r="AF329" s="7"/>
      <c r="AG329" s="187"/>
      <c r="AI329" s="200"/>
      <c r="AJ329" s="7"/>
      <c r="AK329" s="187"/>
      <c r="AM329" s="200"/>
      <c r="AN329" s="7"/>
      <c r="AO329" s="187"/>
      <c r="AQ329" s="200"/>
      <c r="AR329" s="7"/>
      <c r="AT329" s="7"/>
      <c r="AU329" s="7"/>
      <c r="AW329" s="200"/>
      <c r="AX329" s="7"/>
      <c r="AY329" s="187"/>
      <c r="AZ329" s="837" t="s">
        <v>16</v>
      </c>
      <c r="BA329" s="200"/>
      <c r="BB329" s="7"/>
      <c r="BC329" s="7"/>
      <c r="BE329" s="200"/>
      <c r="BF329" s="200"/>
      <c r="BG329" s="7"/>
      <c r="BH329" s="7"/>
      <c r="BI329" s="7"/>
      <c r="BJ329" s="7"/>
      <c r="BK329" s="7"/>
      <c r="BL329" s="187"/>
      <c r="BN329" s="187"/>
      <c r="BO329" s="7"/>
      <c r="BP329" s="187"/>
      <c r="BQ329" s="837" t="s">
        <v>14</v>
      </c>
      <c r="BR329" s="187"/>
      <c r="BS329" s="7"/>
      <c r="BT329" s="7"/>
      <c r="BU329" s="7"/>
      <c r="BV329" s="187"/>
      <c r="BW329" s="7"/>
      <c r="BX329" s="187"/>
      <c r="BY329" s="7"/>
      <c r="BZ329" s="187"/>
      <c r="CA329" s="7"/>
      <c r="CB329" s="187"/>
      <c r="CC329" s="7"/>
    </row>
    <row r="330" spans="1:81" ht="16.5" customHeight="1">
      <c r="A330" s="7"/>
      <c r="B330" s="187"/>
      <c r="C330" s="838"/>
      <c r="D330" s="200"/>
      <c r="E330" s="7"/>
      <c r="F330" s="187"/>
      <c r="G330" s="7"/>
      <c r="H330" s="200"/>
      <c r="I330" s="7"/>
      <c r="J330" s="187"/>
      <c r="K330" s="7"/>
      <c r="L330" s="200"/>
      <c r="M330" s="7"/>
      <c r="N330" s="7"/>
      <c r="O330" s="7"/>
      <c r="P330" s="187"/>
      <c r="Q330" s="837"/>
      <c r="R330" s="200"/>
      <c r="S330" s="7"/>
      <c r="T330" s="187"/>
      <c r="V330" s="200"/>
      <c r="W330" s="7"/>
      <c r="X330" s="187"/>
      <c r="Y330" s="7"/>
      <c r="Z330" s="200"/>
      <c r="AA330" s="7"/>
      <c r="AB330" s="7"/>
      <c r="AC330" s="7"/>
      <c r="AD330" s="7"/>
      <c r="AE330" s="7"/>
      <c r="AF330" s="7"/>
      <c r="AG330" s="187"/>
      <c r="AH330" s="837" t="s">
        <v>13</v>
      </c>
      <c r="AI330" s="200"/>
      <c r="AJ330" s="7"/>
      <c r="AK330" s="187"/>
      <c r="AM330" s="200"/>
      <c r="AN330" s="7"/>
      <c r="AO330" s="187"/>
      <c r="AP330" s="837" t="s">
        <v>13</v>
      </c>
      <c r="AQ330" s="200"/>
      <c r="AR330" s="7"/>
      <c r="AT330" s="7"/>
      <c r="AU330" s="7"/>
      <c r="AW330" s="200"/>
      <c r="AX330" s="7"/>
      <c r="AY330" s="187"/>
      <c r="AZ330" s="837"/>
      <c r="BA330" s="200"/>
      <c r="BB330" s="7"/>
      <c r="BC330" s="7"/>
      <c r="BE330" s="200"/>
      <c r="BF330" s="200"/>
      <c r="BG330" s="7"/>
      <c r="BH330" s="7"/>
      <c r="BI330" s="7"/>
      <c r="BJ330" s="7"/>
      <c r="BK330" s="7"/>
      <c r="BL330" s="187"/>
      <c r="BN330" s="187"/>
      <c r="BO330" s="7"/>
      <c r="BP330" s="187"/>
      <c r="BQ330" s="837"/>
      <c r="BR330" s="187"/>
      <c r="BS330" s="7"/>
      <c r="BT330" s="7"/>
      <c r="BU330" s="7"/>
      <c r="BV330" s="187"/>
      <c r="BW330" s="7"/>
      <c r="BX330" s="187"/>
      <c r="BY330" s="7"/>
      <c r="BZ330" s="187"/>
      <c r="CA330" s="7"/>
      <c r="CB330" s="187"/>
      <c r="CC330" s="7"/>
    </row>
    <row r="331" spans="1:81" ht="16.5" customHeight="1">
      <c r="A331" s="7"/>
      <c r="B331" s="187"/>
      <c r="C331" s="838"/>
      <c r="D331" s="200"/>
      <c r="E331" s="7"/>
      <c r="F331" s="187"/>
      <c r="G331" s="7"/>
      <c r="H331" s="200"/>
      <c r="I331" s="7"/>
      <c r="J331" s="187"/>
      <c r="K331" s="7"/>
      <c r="L331" s="200"/>
      <c r="M331" s="7"/>
      <c r="N331" s="7"/>
      <c r="O331" s="7"/>
      <c r="P331" s="187"/>
      <c r="Q331" s="837"/>
      <c r="R331" s="200"/>
      <c r="S331" s="7"/>
      <c r="T331" s="187"/>
      <c r="V331" s="200"/>
      <c r="W331" s="7"/>
      <c r="X331" s="187"/>
      <c r="Y331" s="7"/>
      <c r="Z331" s="200"/>
      <c r="AA331" s="7"/>
      <c r="AB331" s="7"/>
      <c r="AC331" s="7"/>
      <c r="AD331" s="7"/>
      <c r="AE331" s="7"/>
      <c r="AF331" s="7"/>
      <c r="AG331" s="187"/>
      <c r="AH331" s="837"/>
      <c r="AI331" s="200"/>
      <c r="AJ331" s="7"/>
      <c r="AK331" s="187"/>
      <c r="AM331" s="200"/>
      <c r="AN331" s="7"/>
      <c r="AO331" s="187"/>
      <c r="AP331" s="837"/>
      <c r="AQ331" s="200"/>
      <c r="AR331" s="7"/>
      <c r="AT331" s="7"/>
      <c r="AU331" s="7"/>
      <c r="AW331" s="200"/>
      <c r="AX331" s="7"/>
      <c r="AY331" s="187"/>
      <c r="AZ331" s="837"/>
      <c r="BA331" s="200"/>
      <c r="BB331" s="7"/>
      <c r="BC331" s="7"/>
      <c r="BE331" s="200"/>
      <c r="BF331" s="200"/>
      <c r="BG331" s="7"/>
      <c r="BH331" s="7"/>
      <c r="BI331" s="7"/>
      <c r="BJ331" s="7"/>
      <c r="BK331" s="7"/>
      <c r="BL331" s="187"/>
      <c r="BN331" s="187"/>
      <c r="BO331" s="7"/>
      <c r="BP331" s="187"/>
      <c r="BQ331" s="837"/>
      <c r="BR331" s="187"/>
      <c r="BS331" s="7"/>
      <c r="BT331" s="7"/>
      <c r="BU331" s="7"/>
      <c r="BV331" s="187"/>
      <c r="BW331" s="7"/>
      <c r="BX331" s="187"/>
      <c r="BY331" s="7"/>
      <c r="BZ331" s="187"/>
      <c r="CA331" s="7"/>
      <c r="CB331" s="187"/>
      <c r="CC331" s="7"/>
    </row>
    <row r="332" spans="1:81" ht="16.5" customHeight="1">
      <c r="A332" s="7"/>
      <c r="B332" s="187"/>
      <c r="C332" s="838"/>
      <c r="D332" s="200"/>
      <c r="E332" s="7"/>
      <c r="F332" s="187"/>
      <c r="G332" s="7"/>
      <c r="H332" s="200"/>
      <c r="I332" s="7"/>
      <c r="J332" s="187"/>
      <c r="K332" s="7"/>
      <c r="L332" s="200"/>
      <c r="M332" s="7"/>
      <c r="N332" s="7"/>
      <c r="O332" s="7"/>
      <c r="P332" s="187"/>
      <c r="Q332" s="837"/>
      <c r="R332" s="200"/>
      <c r="S332" s="7"/>
      <c r="T332" s="187"/>
      <c r="V332" s="200"/>
      <c r="W332" s="7"/>
      <c r="X332" s="187"/>
      <c r="Y332" s="7"/>
      <c r="Z332" s="200"/>
      <c r="AA332" s="7"/>
      <c r="AB332" s="7"/>
      <c r="AC332" s="7"/>
      <c r="AD332" s="7"/>
      <c r="AE332" s="7"/>
      <c r="AF332" s="7"/>
      <c r="AG332" s="187"/>
      <c r="AH332" s="837"/>
      <c r="AI332" s="200"/>
      <c r="AJ332" s="7"/>
      <c r="AK332" s="187"/>
      <c r="AM332" s="200"/>
      <c r="AN332" s="7"/>
      <c r="AO332" s="187"/>
      <c r="AP332" s="837"/>
      <c r="AQ332" s="200"/>
      <c r="AR332" s="7"/>
      <c r="AT332" s="7"/>
      <c r="AU332" s="7"/>
      <c r="AW332" s="200"/>
      <c r="AX332" s="7"/>
      <c r="AY332" s="187"/>
      <c r="AZ332" s="837"/>
      <c r="BA332" s="200"/>
      <c r="BB332" s="7"/>
      <c r="BC332" s="7"/>
      <c r="BE332" s="200"/>
      <c r="BF332" s="200"/>
      <c r="BG332" s="7"/>
      <c r="BH332" s="7"/>
      <c r="BI332" s="7"/>
      <c r="BJ332" s="7"/>
      <c r="BK332" s="7"/>
      <c r="BL332" s="187"/>
      <c r="BN332" s="187"/>
      <c r="BO332" s="7"/>
      <c r="BP332" s="187"/>
      <c r="BQ332" s="837"/>
      <c r="BR332" s="187"/>
      <c r="BS332" s="7"/>
      <c r="BT332" s="7"/>
      <c r="BU332" s="7"/>
      <c r="BV332" s="187"/>
      <c r="BW332" s="7"/>
      <c r="BX332" s="187"/>
      <c r="BY332" s="7"/>
      <c r="BZ332" s="187"/>
      <c r="CA332" s="7"/>
      <c r="CB332" s="187"/>
      <c r="CC332" s="7"/>
    </row>
    <row r="333" spans="1:81" ht="16.5" customHeight="1">
      <c r="A333" s="7"/>
      <c r="B333" s="187"/>
      <c r="C333" s="838"/>
      <c r="D333" s="200"/>
      <c r="E333" s="7"/>
      <c r="F333" s="187"/>
      <c r="G333" s="7"/>
      <c r="H333" s="200"/>
      <c r="I333" s="7"/>
      <c r="J333" s="187"/>
      <c r="K333" s="7"/>
      <c r="L333" s="200"/>
      <c r="M333" s="7"/>
      <c r="N333" s="7"/>
      <c r="O333" s="7"/>
      <c r="P333" s="187"/>
      <c r="Q333" s="837"/>
      <c r="R333" s="200"/>
      <c r="S333" s="7"/>
      <c r="T333" s="187"/>
      <c r="V333" s="200"/>
      <c r="W333" s="7"/>
      <c r="X333" s="187"/>
      <c r="Y333" s="7"/>
      <c r="Z333" s="200"/>
      <c r="AA333" s="7"/>
      <c r="AB333" s="7"/>
      <c r="AC333" s="7"/>
      <c r="AD333" s="7"/>
      <c r="AE333" s="7"/>
      <c r="AF333" s="7"/>
      <c r="AG333" s="187"/>
      <c r="AH333" s="837"/>
      <c r="AI333" s="200"/>
      <c r="AJ333" s="7"/>
      <c r="AK333" s="187"/>
      <c r="AM333" s="200"/>
      <c r="AN333" s="7"/>
      <c r="AO333" s="187"/>
      <c r="AP333" s="837"/>
      <c r="AQ333" s="200"/>
      <c r="AR333" s="7"/>
      <c r="AT333" s="7"/>
      <c r="AU333" s="7"/>
      <c r="AW333" s="200"/>
      <c r="AX333" s="7"/>
      <c r="AY333" s="187"/>
      <c r="AZ333" s="837"/>
      <c r="BA333" s="200"/>
      <c r="BB333" s="7"/>
      <c r="BC333" s="7"/>
      <c r="BE333" s="200"/>
      <c r="BF333" s="200"/>
      <c r="BG333" s="7"/>
      <c r="BH333" s="7"/>
      <c r="BI333" s="7"/>
      <c r="BJ333" s="7"/>
      <c r="BK333" s="7"/>
      <c r="BL333" s="187"/>
      <c r="BN333" s="187"/>
      <c r="BO333" s="7"/>
      <c r="BP333" s="187"/>
      <c r="BQ333" s="837"/>
      <c r="BR333" s="187"/>
      <c r="BS333" s="7"/>
      <c r="BT333" s="7"/>
      <c r="BU333" s="7"/>
      <c r="BV333" s="187"/>
      <c r="BW333" s="7"/>
      <c r="BX333" s="187"/>
      <c r="BY333" s="7"/>
      <c r="BZ333" s="187"/>
      <c r="CA333" s="7"/>
      <c r="CB333" s="187"/>
      <c r="CC333" s="7"/>
    </row>
    <row r="334" spans="1:81" ht="16.5" customHeight="1">
      <c r="A334" s="7"/>
      <c r="B334" s="187"/>
      <c r="C334" s="838"/>
      <c r="D334" s="200"/>
      <c r="E334" s="7"/>
      <c r="F334" s="187"/>
      <c r="G334" s="7"/>
      <c r="H334" s="200"/>
      <c r="I334" s="7"/>
      <c r="J334" s="187"/>
      <c r="K334" s="7"/>
      <c r="L334" s="200"/>
      <c r="M334" s="7"/>
      <c r="N334" s="7"/>
      <c r="O334" s="7"/>
      <c r="P334" s="187"/>
      <c r="Q334" s="837"/>
      <c r="R334" s="200"/>
      <c r="S334" s="7"/>
      <c r="T334" s="187"/>
      <c r="V334" s="200"/>
      <c r="W334" s="7"/>
      <c r="X334" s="187"/>
      <c r="Y334" s="7"/>
      <c r="Z334" s="200"/>
      <c r="AA334" s="7"/>
      <c r="AB334" s="7"/>
      <c r="AC334" s="7"/>
      <c r="AD334" s="7"/>
      <c r="AE334" s="7"/>
      <c r="AF334" s="7"/>
      <c r="AG334" s="187"/>
      <c r="AH334" s="837"/>
      <c r="AI334" s="200"/>
      <c r="AJ334" s="7"/>
      <c r="AK334" s="187"/>
      <c r="AM334" s="200"/>
      <c r="AN334" s="7"/>
      <c r="AO334" s="187"/>
      <c r="AP334" s="837"/>
      <c r="AQ334" s="200"/>
      <c r="AR334" s="7"/>
      <c r="AT334" s="7"/>
      <c r="AU334" s="7"/>
      <c r="AW334" s="200"/>
      <c r="AX334" s="7"/>
      <c r="AY334" s="187"/>
      <c r="AZ334" s="837"/>
      <c r="BA334" s="200"/>
      <c r="BB334" s="7"/>
      <c r="BC334" s="7"/>
      <c r="BE334" s="200"/>
      <c r="BF334" s="200"/>
      <c r="BG334" s="7"/>
      <c r="BH334" s="7"/>
      <c r="BI334" s="7"/>
      <c r="BJ334" s="7"/>
      <c r="BK334" s="7"/>
      <c r="BL334" s="187"/>
      <c r="BN334" s="187"/>
      <c r="BO334" s="7"/>
      <c r="BP334" s="187"/>
      <c r="BQ334" s="837"/>
      <c r="BR334" s="187"/>
      <c r="BS334" s="7"/>
      <c r="BT334" s="7"/>
      <c r="BU334" s="7"/>
      <c r="BV334" s="187"/>
      <c r="BW334" s="7"/>
      <c r="BX334" s="187"/>
      <c r="BY334" s="7"/>
      <c r="BZ334" s="187"/>
      <c r="CA334" s="7"/>
      <c r="CB334" s="187"/>
      <c r="CC334" s="7"/>
    </row>
    <row r="335" spans="1:81" ht="16.5" customHeight="1">
      <c r="A335" s="7"/>
      <c r="B335" s="187"/>
      <c r="C335" s="838"/>
      <c r="D335" s="200"/>
      <c r="E335" s="7"/>
      <c r="F335" s="187"/>
      <c r="G335" s="7"/>
      <c r="H335" s="200"/>
      <c r="I335" s="7"/>
      <c r="J335" s="187"/>
      <c r="K335" s="7"/>
      <c r="L335" s="200"/>
      <c r="M335" s="7"/>
      <c r="N335" s="7"/>
      <c r="O335" s="7"/>
      <c r="P335" s="187"/>
      <c r="Q335" s="837"/>
      <c r="R335" s="200"/>
      <c r="S335" s="7"/>
      <c r="T335" s="187"/>
      <c r="V335" s="200"/>
      <c r="W335" s="7"/>
      <c r="X335" s="187"/>
      <c r="Y335" s="7"/>
      <c r="Z335" s="200"/>
      <c r="AA335" s="7"/>
      <c r="AB335" s="7"/>
      <c r="AC335" s="7"/>
      <c r="AD335" s="7"/>
      <c r="AE335" s="7"/>
      <c r="AF335" s="7"/>
      <c r="AG335" s="187"/>
      <c r="AH335" s="837"/>
      <c r="AI335" s="200"/>
      <c r="AJ335" s="7"/>
      <c r="AK335" s="187"/>
      <c r="AM335" s="200"/>
      <c r="AN335" s="7"/>
      <c r="AO335" s="187"/>
      <c r="AP335" s="837"/>
      <c r="AQ335" s="200"/>
      <c r="AR335" s="7"/>
      <c r="AT335" s="7"/>
      <c r="AU335" s="7"/>
      <c r="AW335" s="200"/>
      <c r="AX335" s="7"/>
      <c r="AY335" s="187"/>
      <c r="AZ335" s="837"/>
      <c r="BA335" s="200"/>
      <c r="BB335" s="7"/>
      <c r="BC335" s="7"/>
      <c r="BE335" s="200"/>
      <c r="BF335" s="200"/>
      <c r="BG335" s="7"/>
      <c r="BH335" s="7"/>
      <c r="BI335" s="7"/>
      <c r="BJ335" s="7"/>
      <c r="BK335" s="7"/>
      <c r="BL335" s="187"/>
      <c r="BN335" s="187"/>
      <c r="BO335" s="7"/>
      <c r="BP335" s="187"/>
      <c r="BQ335" s="837"/>
      <c r="BR335" s="187"/>
      <c r="BS335" s="7"/>
      <c r="BT335" s="7"/>
      <c r="BU335" s="7"/>
      <c r="BV335" s="187"/>
      <c r="BW335" s="7"/>
      <c r="BX335" s="187"/>
      <c r="BY335" s="7"/>
      <c r="BZ335" s="187"/>
      <c r="CA335" s="7"/>
      <c r="CB335" s="187"/>
      <c r="CC335" s="7"/>
    </row>
    <row r="336" spans="1:81" ht="16.5" customHeight="1">
      <c r="A336" s="7"/>
      <c r="B336" s="187"/>
      <c r="C336" s="838"/>
      <c r="D336" s="200"/>
      <c r="E336" s="7"/>
      <c r="F336" s="187"/>
      <c r="G336" s="7"/>
      <c r="H336" s="200"/>
      <c r="I336" s="7"/>
      <c r="J336" s="187"/>
      <c r="K336" s="7"/>
      <c r="L336" s="200"/>
      <c r="M336" s="7"/>
      <c r="N336" s="7"/>
      <c r="O336" s="7"/>
      <c r="P336" s="187"/>
      <c r="Q336" s="837"/>
      <c r="R336" s="200"/>
      <c r="S336" s="7"/>
      <c r="T336" s="187"/>
      <c r="V336" s="200"/>
      <c r="W336" s="7"/>
      <c r="X336" s="187"/>
      <c r="Y336" s="7"/>
      <c r="Z336" s="200"/>
      <c r="AA336" s="7"/>
      <c r="AB336" s="7"/>
      <c r="AC336" s="7"/>
      <c r="AD336" s="7"/>
      <c r="AE336" s="7"/>
      <c r="AF336" s="7"/>
      <c r="AG336" s="187"/>
      <c r="AH336" s="837"/>
      <c r="AI336" s="200"/>
      <c r="AJ336" s="7"/>
      <c r="AK336" s="187"/>
      <c r="AM336" s="200"/>
      <c r="AN336" s="7"/>
      <c r="AO336" s="187"/>
      <c r="AP336" s="837"/>
      <c r="AQ336" s="200"/>
      <c r="AR336" s="7"/>
      <c r="AT336" s="7"/>
      <c r="AU336" s="7"/>
      <c r="AW336" s="200"/>
      <c r="AX336" s="7"/>
      <c r="AY336" s="187"/>
      <c r="AZ336" s="837"/>
      <c r="BA336" s="200"/>
      <c r="BB336" s="7"/>
      <c r="BC336" s="7"/>
      <c r="BE336" s="200"/>
      <c r="BF336" s="200"/>
      <c r="BG336" s="7"/>
      <c r="BH336" s="7"/>
      <c r="BI336" s="7"/>
      <c r="BJ336" s="7"/>
      <c r="BK336" s="7"/>
      <c r="BL336" s="187"/>
      <c r="BN336" s="187"/>
      <c r="BO336" s="7"/>
      <c r="BP336" s="187"/>
      <c r="BQ336" s="837"/>
      <c r="BR336" s="187"/>
      <c r="BS336" s="7"/>
      <c r="BT336" s="7"/>
      <c r="BU336" s="7"/>
      <c r="BV336" s="187"/>
      <c r="BW336" s="7"/>
      <c r="BX336" s="187"/>
      <c r="BY336" s="7"/>
      <c r="BZ336" s="187"/>
      <c r="CA336" s="7"/>
      <c r="CB336" s="187"/>
      <c r="CC336" s="7"/>
    </row>
    <row r="337" spans="1:86" ht="16.5" customHeight="1">
      <c r="A337" s="7"/>
      <c r="B337" s="187"/>
      <c r="C337" s="838"/>
      <c r="D337" s="200"/>
      <c r="E337" s="7"/>
      <c r="F337" s="187"/>
      <c r="G337" s="7"/>
      <c r="H337" s="200"/>
      <c r="I337" s="7"/>
      <c r="J337" s="187"/>
      <c r="K337" s="7"/>
      <c r="L337" s="200"/>
      <c r="M337" s="7"/>
      <c r="N337" s="7"/>
      <c r="O337" s="7"/>
      <c r="P337" s="187"/>
      <c r="Q337" s="837"/>
      <c r="R337" s="200"/>
      <c r="S337" s="7"/>
      <c r="T337" s="187"/>
      <c r="V337" s="200"/>
      <c r="W337" s="7"/>
      <c r="X337" s="187"/>
      <c r="Y337" s="7"/>
      <c r="Z337" s="200"/>
      <c r="AA337" s="7"/>
      <c r="AB337" s="7"/>
      <c r="AC337" s="7"/>
      <c r="AD337" s="7"/>
      <c r="AE337" s="7"/>
      <c r="AF337" s="7"/>
      <c r="AG337" s="187"/>
      <c r="AH337" s="837"/>
      <c r="AI337" s="200"/>
      <c r="AJ337" s="7"/>
      <c r="AK337" s="187"/>
      <c r="AM337" s="200"/>
      <c r="AN337" s="7"/>
      <c r="AO337" s="187"/>
      <c r="AP337" s="837"/>
      <c r="AQ337" s="200"/>
      <c r="AR337" s="7"/>
      <c r="AT337" s="7"/>
      <c r="AU337" s="7"/>
      <c r="AW337" s="200"/>
      <c r="AX337" s="7"/>
      <c r="AY337" s="187"/>
      <c r="AZ337" s="837"/>
      <c r="BA337" s="200"/>
      <c r="BB337" s="7"/>
      <c r="BC337" s="7"/>
      <c r="BE337" s="200"/>
      <c r="BF337" s="200"/>
      <c r="BG337" s="7"/>
      <c r="BH337" s="7"/>
      <c r="BI337" s="7"/>
      <c r="BJ337" s="7"/>
      <c r="BK337" s="7"/>
      <c r="BL337" s="187"/>
      <c r="BN337" s="187"/>
      <c r="BO337" s="7"/>
      <c r="BP337" s="187"/>
      <c r="BQ337" s="837"/>
      <c r="BR337" s="187"/>
      <c r="BS337" s="7"/>
      <c r="BT337" s="7"/>
      <c r="BU337" s="7"/>
      <c r="BV337" s="187"/>
      <c r="BW337" s="7"/>
      <c r="BX337" s="187"/>
      <c r="BY337" s="7"/>
      <c r="BZ337" s="187"/>
      <c r="CA337" s="7"/>
      <c r="CB337" s="187"/>
      <c r="CC337" s="7"/>
    </row>
    <row r="338" spans="1:86" ht="16.5" customHeight="1">
      <c r="A338" s="7"/>
      <c r="B338" s="187"/>
      <c r="C338" s="7"/>
      <c r="D338" s="200"/>
      <c r="E338" s="7"/>
      <c r="F338" s="187"/>
      <c r="G338" s="7"/>
      <c r="H338" s="200"/>
      <c r="I338" s="7"/>
      <c r="J338" s="187"/>
      <c r="K338" s="7"/>
      <c r="L338" s="200"/>
      <c r="M338" s="7"/>
      <c r="N338" s="7"/>
      <c r="O338" s="7"/>
      <c r="P338" s="187"/>
      <c r="Q338" s="837"/>
      <c r="R338" s="200"/>
      <c r="S338" s="7"/>
      <c r="T338" s="187"/>
      <c r="V338" s="200"/>
      <c r="W338" s="7"/>
      <c r="X338" s="187"/>
      <c r="Y338" s="7"/>
      <c r="Z338" s="200"/>
      <c r="AA338" s="7"/>
      <c r="AB338" s="7"/>
      <c r="AC338" s="7"/>
      <c r="AD338" s="7"/>
      <c r="AE338" s="7"/>
      <c r="AF338" s="7"/>
      <c r="AG338" s="187"/>
      <c r="AH338" s="837"/>
      <c r="AI338" s="200"/>
      <c r="AJ338" s="7"/>
      <c r="AK338" s="187"/>
      <c r="AM338" s="200"/>
      <c r="AN338" s="7"/>
      <c r="AO338" s="187"/>
      <c r="AP338" s="837"/>
      <c r="AQ338" s="200"/>
      <c r="AR338" s="7"/>
      <c r="AT338" s="7"/>
      <c r="AU338" s="7"/>
      <c r="AV338" s="7"/>
      <c r="AW338" s="200"/>
      <c r="AX338" s="7"/>
      <c r="AY338" s="187"/>
      <c r="AZ338" s="837"/>
      <c r="BA338" s="200"/>
      <c r="BB338" s="7"/>
      <c r="BC338" s="7"/>
      <c r="BD338" s="7"/>
      <c r="BE338" s="200"/>
      <c r="BF338" s="200"/>
      <c r="BG338" s="7"/>
      <c r="BH338" s="7"/>
      <c r="BI338" s="7"/>
      <c r="BJ338" s="7"/>
      <c r="BK338" s="7"/>
      <c r="BL338" s="187"/>
      <c r="BN338" s="187"/>
      <c r="BO338" s="7"/>
      <c r="BP338" s="187"/>
      <c r="BQ338" s="837"/>
      <c r="BR338" s="187"/>
      <c r="BS338" s="7"/>
      <c r="BT338" s="7"/>
      <c r="BU338" s="7"/>
      <c r="BV338" s="187"/>
      <c r="BW338" s="7"/>
      <c r="BX338" s="187"/>
      <c r="BY338" s="7"/>
      <c r="BZ338" s="187"/>
      <c r="CA338" s="7"/>
      <c r="CB338" s="187"/>
      <c r="CC338" s="7"/>
    </row>
    <row r="339" spans="1:86" ht="16.5" customHeight="1">
      <c r="A339" s="7"/>
      <c r="B339" s="187"/>
      <c r="C339" s="7"/>
      <c r="D339" s="200"/>
      <c r="E339" s="7"/>
      <c r="F339" s="187"/>
      <c r="G339" s="7"/>
      <c r="H339" s="200"/>
      <c r="I339" s="7"/>
      <c r="J339" s="187"/>
      <c r="K339" s="7"/>
      <c r="L339" s="200"/>
      <c r="M339" s="7"/>
      <c r="N339" s="7"/>
      <c r="O339" s="7"/>
      <c r="P339" s="187"/>
      <c r="Q339" s="837"/>
      <c r="R339" s="200"/>
      <c r="S339" s="7"/>
      <c r="T339" s="187"/>
      <c r="U339" s="7"/>
      <c r="V339" s="200"/>
      <c r="W339" s="7"/>
      <c r="X339" s="187"/>
      <c r="Y339" s="7"/>
      <c r="Z339" s="200"/>
      <c r="AA339" s="7"/>
      <c r="AB339" s="7"/>
      <c r="AC339" s="7"/>
      <c r="AD339" s="7"/>
      <c r="AE339" s="7"/>
      <c r="AF339" s="7"/>
      <c r="AG339" s="187"/>
      <c r="AH339" s="7"/>
      <c r="AI339" s="200"/>
      <c r="AJ339" s="7"/>
      <c r="AK339" s="187"/>
      <c r="AL339" s="7"/>
      <c r="AM339" s="200"/>
      <c r="AN339" s="7"/>
      <c r="AO339" s="187"/>
      <c r="AP339" s="7"/>
      <c r="AQ339" s="200"/>
      <c r="AR339" s="7"/>
      <c r="AT339" s="7"/>
      <c r="AU339" s="7"/>
      <c r="AV339" s="7"/>
      <c r="AW339" s="200"/>
      <c r="AX339" s="7"/>
      <c r="AY339" s="187"/>
      <c r="AZ339" s="7"/>
      <c r="BA339" s="200"/>
      <c r="BB339" s="7"/>
      <c r="BC339" s="7"/>
      <c r="BD339" s="7"/>
      <c r="BE339" s="200"/>
      <c r="BF339" s="200"/>
      <c r="BG339" s="7"/>
      <c r="BH339" s="7"/>
      <c r="BI339" s="7"/>
      <c r="BJ339" s="7"/>
      <c r="BK339" s="7"/>
      <c r="BL339" s="187"/>
      <c r="BM339" s="7"/>
      <c r="BN339" s="187"/>
      <c r="BO339" s="7"/>
      <c r="BP339" s="187"/>
      <c r="BQ339" s="7"/>
      <c r="BR339" s="187"/>
      <c r="BS339" s="7"/>
      <c r="BT339" s="7"/>
      <c r="BU339" s="7"/>
      <c r="BV339" s="187"/>
      <c r="BW339" s="7"/>
      <c r="BX339" s="187"/>
      <c r="BY339" s="7"/>
      <c r="BZ339" s="187"/>
      <c r="CA339" s="7"/>
      <c r="CB339" s="187"/>
      <c r="CC339" s="7"/>
    </row>
    <row r="340" spans="1:86" ht="0" hidden="1" customHeight="1">
      <c r="AC340" s="5"/>
      <c r="AU340"/>
      <c r="BC340"/>
      <c r="BH340" s="5"/>
    </row>
    <row r="341" spans="1:86" s="1" customFormat="1" ht="20.25">
      <c r="B341" s="54"/>
      <c r="C341" s="55">
        <f>'NRB 공장 내부 배치도'!C20</f>
        <v>0</v>
      </c>
      <c r="D341" s="199"/>
      <c r="F341" s="54"/>
      <c r="G341" s="55">
        <f>'NRB 공장 내부 배치도'!D20</f>
        <v>0</v>
      </c>
      <c r="H341" s="199"/>
      <c r="J341" s="54"/>
      <c r="K341" s="55">
        <f>'NRB 공장 내부 배치도'!E20</f>
        <v>0</v>
      </c>
      <c r="L341" s="199"/>
      <c r="P341" s="54"/>
      <c r="Q341" s="55">
        <f>'NRB 공장 내부 배치도'!G20</f>
        <v>0</v>
      </c>
      <c r="R341" s="199"/>
      <c r="T341" s="54"/>
      <c r="U341" s="55">
        <f>'NRB 공장 내부 배치도'!H20</f>
        <v>0</v>
      </c>
      <c r="V341" s="199"/>
      <c r="X341" s="54"/>
      <c r="Y341" s="55">
        <f>'NRB 공장 내부 배치도'!I20</f>
        <v>0</v>
      </c>
      <c r="Z341" s="199"/>
      <c r="AC341" s="71"/>
      <c r="AG341" s="54"/>
      <c r="AH341" s="55">
        <f>'NRB 공장 내부 배치도'!L20</f>
        <v>0</v>
      </c>
      <c r="AI341" s="199"/>
      <c r="AK341" s="54"/>
      <c r="AL341" s="55">
        <f>'NRB 공장 내부 배치도'!M20</f>
        <v>0</v>
      </c>
      <c r="AM341" s="199"/>
      <c r="AO341" s="54"/>
      <c r="AP341" s="55">
        <f>'NRB 공장 내부 배치도'!N20</f>
        <v>0</v>
      </c>
      <c r="AQ341" s="199"/>
      <c r="AU341" s="54"/>
      <c r="AV341" s="55">
        <f>'NRB 공장 내부 배치도'!P20</f>
        <v>0</v>
      </c>
      <c r="AW341" s="199"/>
      <c r="AY341" s="54"/>
      <c r="AZ341" s="55">
        <f>'NRB 공장 내부 배치도'!Q20</f>
        <v>0</v>
      </c>
      <c r="BA341" s="199"/>
      <c r="BC341" s="54"/>
      <c r="BD341" s="55">
        <f>'NRB 공장 내부 배치도'!R20</f>
        <v>0</v>
      </c>
      <c r="BE341" s="199"/>
      <c r="BF341" s="204"/>
      <c r="BH341" s="71"/>
      <c r="BL341" s="54"/>
      <c r="BM341" s="55">
        <f>'NRB 공장 내부 배치도'!U20</f>
        <v>0</v>
      </c>
      <c r="BN341" s="56"/>
      <c r="BP341" s="54"/>
      <c r="BQ341" s="55">
        <f>'NRB 공장 내부 배치도'!V20</f>
        <v>0</v>
      </c>
      <c r="BR341" s="56"/>
      <c r="BV341" s="54"/>
      <c r="BW341" s="55">
        <f>'NRB 공장 내부 배치도'!X20</f>
        <v>0</v>
      </c>
      <c r="BX341" s="56"/>
      <c r="BZ341" s="54"/>
      <c r="CA341" s="55">
        <f>'NRB 공장 내부 배치도'!Y20</f>
        <v>0</v>
      </c>
      <c r="CB341" s="56"/>
      <c r="CC341"/>
      <c r="CF341" s="71"/>
      <c r="CG341" s="71"/>
      <c r="CH341" s="71"/>
    </row>
    <row r="342" spans="1:86">
      <c r="B342" s="34">
        <v>1</v>
      </c>
      <c r="C342" s="2"/>
      <c r="D342" s="205"/>
      <c r="F342" s="34">
        <v>1</v>
      </c>
      <c r="G342" s="139"/>
      <c r="H342" s="205"/>
      <c r="J342" s="34">
        <v>1</v>
      </c>
      <c r="K342" s="139"/>
      <c r="L342" s="205"/>
      <c r="P342" s="34">
        <v>1</v>
      </c>
      <c r="Q342" s="2"/>
      <c r="R342" s="205"/>
      <c r="T342" s="34">
        <v>1</v>
      </c>
      <c r="U342" s="3"/>
      <c r="V342" s="77"/>
      <c r="X342" s="34">
        <v>1</v>
      </c>
      <c r="Y342" s="3"/>
      <c r="Z342" s="77"/>
      <c r="AC342" s="5"/>
      <c r="AG342" s="34">
        <v>1</v>
      </c>
      <c r="AH342" s="3"/>
      <c r="AI342" s="77"/>
      <c r="AK342" s="34">
        <v>1</v>
      </c>
      <c r="AL342" s="2"/>
      <c r="AM342" s="205"/>
      <c r="AO342" s="34">
        <v>1</v>
      </c>
      <c r="AP342" s="3"/>
      <c r="AQ342" s="77"/>
      <c r="AU342" s="34">
        <v>1</v>
      </c>
      <c r="AV342" s="3"/>
      <c r="AW342" s="77"/>
      <c r="AY342" s="34">
        <v>1</v>
      </c>
      <c r="BA342" s="205"/>
      <c r="BC342" s="34">
        <v>1</v>
      </c>
      <c r="BD342" s="3"/>
      <c r="BE342" s="77"/>
      <c r="BH342" s="5"/>
      <c r="BL342" s="36">
        <v>1</v>
      </c>
      <c r="BM342" s="3"/>
      <c r="BN342" s="77"/>
      <c r="BP342" s="36">
        <v>1</v>
      </c>
      <c r="BQ342" s="3"/>
      <c r="BR342" s="77"/>
      <c r="BV342" s="34">
        <v>1</v>
      </c>
      <c r="BW342" s="3"/>
      <c r="BX342" s="77"/>
      <c r="BZ342" s="34">
        <v>1</v>
      </c>
      <c r="CA342" s="3"/>
      <c r="CB342" s="77"/>
    </row>
    <row r="343" spans="1:86">
      <c r="B343" s="34">
        <v>2</v>
      </c>
      <c r="C343" s="2"/>
      <c r="D343" s="205"/>
      <c r="F343" s="34">
        <v>2</v>
      </c>
      <c r="G343" s="2"/>
      <c r="H343" s="205"/>
      <c r="J343" s="34">
        <v>2</v>
      </c>
      <c r="K343" s="2"/>
      <c r="L343" s="205"/>
      <c r="P343" s="34">
        <v>2</v>
      </c>
      <c r="Q343" s="2"/>
      <c r="R343" s="205"/>
      <c r="T343" s="34">
        <v>2</v>
      </c>
      <c r="U343" s="3"/>
      <c r="V343" s="77"/>
      <c r="X343" s="34">
        <v>2</v>
      </c>
      <c r="Y343" s="3"/>
      <c r="Z343" s="77"/>
      <c r="AC343" s="5"/>
      <c r="AG343" s="34">
        <v>2</v>
      </c>
      <c r="AH343" s="3"/>
      <c r="AI343" s="77"/>
      <c r="AK343" s="34">
        <v>2</v>
      </c>
      <c r="AL343" s="2"/>
      <c r="AM343" s="205"/>
      <c r="AO343" s="34">
        <v>2</v>
      </c>
      <c r="AP343" s="3"/>
      <c r="AQ343" s="77"/>
      <c r="AU343" s="34">
        <v>2</v>
      </c>
      <c r="AV343" s="3"/>
      <c r="AW343" s="77"/>
      <c r="AY343" s="34">
        <v>2</v>
      </c>
      <c r="AZ343" s="23"/>
      <c r="BA343" s="205"/>
      <c r="BC343" s="34">
        <v>2</v>
      </c>
      <c r="BD343" s="3"/>
      <c r="BE343" s="77"/>
      <c r="BH343" s="5"/>
      <c r="BL343" s="36">
        <v>2</v>
      </c>
      <c r="BM343" s="3"/>
      <c r="BN343" s="77"/>
      <c r="BP343" s="36">
        <v>2</v>
      </c>
      <c r="BQ343" s="3"/>
      <c r="BR343" s="77"/>
      <c r="BV343" s="34">
        <v>2</v>
      </c>
      <c r="BW343" s="3"/>
      <c r="BX343" s="77"/>
      <c r="BZ343" s="34">
        <v>2</v>
      </c>
      <c r="CA343" s="3"/>
      <c r="CB343" s="77"/>
    </row>
    <row r="344" spans="1:86" ht="20.25">
      <c r="B344" s="34">
        <v>3</v>
      </c>
      <c r="C344" s="2"/>
      <c r="D344" s="205"/>
      <c r="F344" s="34">
        <v>3</v>
      </c>
      <c r="G344" s="2"/>
      <c r="H344" s="205"/>
      <c r="J344" s="34">
        <v>3</v>
      </c>
      <c r="K344" s="2"/>
      <c r="L344" s="205"/>
      <c r="P344" s="34">
        <v>3</v>
      </c>
      <c r="Q344" s="2"/>
      <c r="R344" s="205"/>
      <c r="T344" s="34">
        <v>3</v>
      </c>
      <c r="U344" s="3"/>
      <c r="V344" s="77"/>
      <c r="X344" s="34">
        <v>3</v>
      </c>
      <c r="Y344" s="3"/>
      <c r="Z344" s="77"/>
      <c r="AC344" s="5"/>
      <c r="AG344" s="34">
        <v>3</v>
      </c>
      <c r="AH344" s="3"/>
      <c r="AI344" s="77"/>
      <c r="AK344" s="34">
        <v>3</v>
      </c>
      <c r="AL344" s="2"/>
      <c r="AM344" s="205"/>
      <c r="AO344" s="34">
        <v>3</v>
      </c>
      <c r="AP344" s="3"/>
      <c r="AQ344" s="77"/>
      <c r="AU344" s="34">
        <v>3</v>
      </c>
      <c r="AV344" s="3"/>
      <c r="AW344" s="77"/>
      <c r="AY344" s="34">
        <v>3</v>
      </c>
      <c r="AZ344" s="55"/>
      <c r="BA344" s="77"/>
      <c r="BC344" s="34">
        <v>3</v>
      </c>
      <c r="BD344" s="3"/>
      <c r="BE344" s="77"/>
      <c r="BH344" s="5"/>
      <c r="BL344" s="36">
        <v>3</v>
      </c>
      <c r="BM344" s="3"/>
      <c r="BN344" s="77"/>
      <c r="BP344" s="36">
        <v>3</v>
      </c>
      <c r="BQ344" s="3"/>
      <c r="BR344" s="77"/>
      <c r="BV344" s="34">
        <v>3</v>
      </c>
      <c r="BW344" s="3"/>
      <c r="BX344" s="77"/>
      <c r="BZ344" s="34">
        <v>3</v>
      </c>
      <c r="CA344" s="3"/>
      <c r="CB344" s="77"/>
    </row>
    <row r="345" spans="1:86" ht="20.25">
      <c r="B345" s="34">
        <v>4</v>
      </c>
      <c r="C345" s="2"/>
      <c r="D345" s="205"/>
      <c r="F345" s="34">
        <v>4</v>
      </c>
      <c r="G345" s="2"/>
      <c r="H345" s="205"/>
      <c r="J345" s="34">
        <v>4</v>
      </c>
      <c r="K345" s="2"/>
      <c r="L345" s="205"/>
      <c r="P345" s="34">
        <v>4</v>
      </c>
      <c r="Q345" s="2"/>
      <c r="R345" s="205"/>
      <c r="T345" s="34">
        <v>4</v>
      </c>
      <c r="U345" s="3"/>
      <c r="V345" s="77"/>
      <c r="X345" s="34">
        <v>4</v>
      </c>
      <c r="Y345" s="3"/>
      <c r="Z345" s="77"/>
      <c r="AC345" s="5"/>
      <c r="AG345" s="34">
        <v>4</v>
      </c>
      <c r="AH345" s="3"/>
      <c r="AI345" s="77"/>
      <c r="AK345" s="34">
        <v>4</v>
      </c>
      <c r="AL345" s="2"/>
      <c r="AM345" s="205"/>
      <c r="AO345" s="34">
        <v>4</v>
      </c>
      <c r="AP345" s="3"/>
      <c r="AQ345" s="77"/>
      <c r="AU345" s="34">
        <v>4</v>
      </c>
      <c r="AV345" s="3"/>
      <c r="AW345" s="77"/>
      <c r="AY345" s="34">
        <v>4</v>
      </c>
      <c r="AZ345" s="55"/>
      <c r="BA345" s="77"/>
      <c r="BC345" s="34">
        <v>4</v>
      </c>
      <c r="BD345" s="3"/>
      <c r="BE345" s="77"/>
      <c r="BH345" s="5"/>
      <c r="BL345" s="36">
        <v>4</v>
      </c>
      <c r="BM345" s="3"/>
      <c r="BN345" s="77"/>
      <c r="BP345" s="36">
        <v>4</v>
      </c>
      <c r="BQ345" s="3"/>
      <c r="BR345" s="77"/>
      <c r="BV345" s="34">
        <v>4</v>
      </c>
      <c r="BW345" s="3"/>
      <c r="BX345" s="77"/>
      <c r="BZ345" s="34">
        <v>4</v>
      </c>
      <c r="CA345" s="3"/>
      <c r="CB345" s="77"/>
    </row>
    <row r="346" spans="1:86">
      <c r="B346" s="34">
        <v>5</v>
      </c>
      <c r="C346" s="2"/>
      <c r="D346" s="205"/>
      <c r="F346" s="34">
        <v>5</v>
      </c>
      <c r="G346" s="2"/>
      <c r="H346" s="205"/>
      <c r="J346" s="34">
        <v>5</v>
      </c>
      <c r="K346" s="2"/>
      <c r="L346" s="205"/>
      <c r="P346" s="34">
        <v>5</v>
      </c>
      <c r="Q346" s="2"/>
      <c r="R346" s="205"/>
      <c r="T346" s="34">
        <v>5</v>
      </c>
      <c r="U346" s="3"/>
      <c r="V346" s="77"/>
      <c r="X346" s="34">
        <v>5</v>
      </c>
      <c r="Y346" s="3"/>
      <c r="Z346" s="77"/>
      <c r="AC346" s="5"/>
      <c r="AG346" s="34">
        <v>5</v>
      </c>
      <c r="AH346" s="3"/>
      <c r="AI346" s="77"/>
      <c r="AK346" s="34">
        <v>5</v>
      </c>
      <c r="AL346" s="2"/>
      <c r="AM346" s="205"/>
      <c r="AO346" s="34">
        <v>5</v>
      </c>
      <c r="AP346" s="3"/>
      <c r="AQ346" s="77"/>
      <c r="AU346" s="34">
        <v>5</v>
      </c>
      <c r="AV346" s="3"/>
      <c r="AW346" s="77"/>
      <c r="AY346" s="34">
        <v>5</v>
      </c>
      <c r="AZ346" s="3"/>
      <c r="BA346" s="77"/>
      <c r="BC346" s="34">
        <v>5</v>
      </c>
      <c r="BD346" s="3"/>
      <c r="BE346" s="77"/>
      <c r="BH346" s="5"/>
      <c r="BL346" s="36">
        <v>5</v>
      </c>
      <c r="BM346" s="3"/>
      <c r="BN346" s="77"/>
      <c r="BP346" s="36">
        <v>5</v>
      </c>
      <c r="BQ346" s="3"/>
      <c r="BR346" s="77"/>
      <c r="BV346" s="34">
        <v>5</v>
      </c>
      <c r="BW346" s="3"/>
      <c r="BX346" s="77"/>
      <c r="BZ346" s="34">
        <v>5</v>
      </c>
      <c r="CA346" s="3"/>
      <c r="CB346" s="77"/>
    </row>
    <row r="347" spans="1:86">
      <c r="B347" s="34">
        <v>6</v>
      </c>
      <c r="C347" s="2"/>
      <c r="D347" s="205"/>
      <c r="F347" s="34">
        <v>6</v>
      </c>
      <c r="G347" s="2"/>
      <c r="H347" s="205"/>
      <c r="J347" s="34">
        <v>6</v>
      </c>
      <c r="K347" s="2"/>
      <c r="L347" s="205"/>
      <c r="P347" s="34">
        <v>6</v>
      </c>
      <c r="Q347" s="2"/>
      <c r="R347" s="205"/>
      <c r="T347" s="34">
        <v>6</v>
      </c>
      <c r="U347" s="3"/>
      <c r="V347" s="77"/>
      <c r="X347" s="34">
        <v>6</v>
      </c>
      <c r="Y347" s="3"/>
      <c r="Z347" s="77"/>
      <c r="AC347" s="5"/>
      <c r="AG347" s="34">
        <v>6</v>
      </c>
      <c r="AH347" s="3"/>
      <c r="AI347" s="77"/>
      <c r="AK347" s="34">
        <v>6</v>
      </c>
      <c r="AL347" s="2"/>
      <c r="AM347" s="205"/>
      <c r="AO347" s="34">
        <v>6</v>
      </c>
      <c r="AP347" s="3"/>
      <c r="AQ347" s="77"/>
      <c r="AU347" s="34">
        <v>6</v>
      </c>
      <c r="AV347" s="3"/>
      <c r="AW347" s="77"/>
      <c r="AY347" s="34">
        <v>6</v>
      </c>
      <c r="AZ347" s="3"/>
      <c r="BA347" s="77"/>
      <c r="BC347" s="34">
        <v>6</v>
      </c>
      <c r="BD347" s="3"/>
      <c r="BE347" s="77"/>
      <c r="BH347" s="5"/>
      <c r="BL347" s="36">
        <v>6</v>
      </c>
      <c r="BM347" s="3"/>
      <c r="BN347" s="77"/>
      <c r="BP347" s="36">
        <v>6</v>
      </c>
      <c r="BQ347" s="3"/>
      <c r="BR347" s="77"/>
      <c r="BV347" s="34">
        <v>6</v>
      </c>
      <c r="BW347" s="3"/>
      <c r="BX347" s="77"/>
      <c r="BZ347" s="34">
        <v>6</v>
      </c>
      <c r="CA347" s="3"/>
      <c r="CB347" s="77"/>
    </row>
    <row r="348" spans="1:86">
      <c r="B348" s="34">
        <v>7</v>
      </c>
      <c r="C348" s="2"/>
      <c r="D348" s="205"/>
      <c r="F348" s="34">
        <v>7</v>
      </c>
      <c r="G348" s="2"/>
      <c r="H348" s="205"/>
      <c r="J348" s="34">
        <v>7</v>
      </c>
      <c r="K348" s="2"/>
      <c r="L348" s="205"/>
      <c r="P348" s="34">
        <v>7</v>
      </c>
      <c r="Q348" s="2"/>
      <c r="R348" s="205"/>
      <c r="T348" s="34">
        <v>7</v>
      </c>
      <c r="U348" s="3"/>
      <c r="V348" s="77"/>
      <c r="X348" s="34">
        <v>7</v>
      </c>
      <c r="Y348" s="3"/>
      <c r="Z348" s="77"/>
      <c r="AC348" s="5"/>
      <c r="AG348" s="34">
        <v>7</v>
      </c>
      <c r="AH348" s="3"/>
      <c r="AI348" s="77"/>
      <c r="AK348" s="34">
        <v>7</v>
      </c>
      <c r="AL348" s="2"/>
      <c r="AM348" s="205"/>
      <c r="AO348" s="34">
        <v>7</v>
      </c>
      <c r="AP348" s="3"/>
      <c r="AQ348" s="77"/>
      <c r="AU348" s="34">
        <v>7</v>
      </c>
      <c r="AV348" s="3"/>
      <c r="AW348" s="77"/>
      <c r="AY348" s="34">
        <v>7</v>
      </c>
      <c r="AZ348" s="3"/>
      <c r="BA348" s="77"/>
      <c r="BC348" s="34">
        <v>7</v>
      </c>
      <c r="BD348" s="3"/>
      <c r="BE348" s="77"/>
      <c r="BH348" s="5"/>
      <c r="BL348" s="36">
        <v>7</v>
      </c>
      <c r="BM348" s="3"/>
      <c r="BN348" s="77"/>
      <c r="BP348" s="36">
        <v>7</v>
      </c>
      <c r="BQ348" s="3"/>
      <c r="BR348" s="77"/>
      <c r="BV348" s="34">
        <v>7</v>
      </c>
      <c r="BW348" s="3"/>
      <c r="BX348" s="77"/>
      <c r="BZ348" s="34">
        <v>7</v>
      </c>
      <c r="CA348" s="3"/>
      <c r="CB348" s="77"/>
    </row>
    <row r="349" spans="1:86">
      <c r="B349" s="34">
        <v>8</v>
      </c>
      <c r="C349" s="2"/>
      <c r="D349" s="205"/>
      <c r="F349" s="34">
        <v>8</v>
      </c>
      <c r="G349" s="2"/>
      <c r="H349" s="205"/>
      <c r="J349" s="34">
        <v>8</v>
      </c>
      <c r="K349" s="2"/>
      <c r="L349" s="205"/>
      <c r="P349" s="34">
        <v>8</v>
      </c>
      <c r="Q349" s="2"/>
      <c r="R349" s="205"/>
      <c r="T349" s="34">
        <v>8</v>
      </c>
      <c r="U349" s="3"/>
      <c r="V349" s="77"/>
      <c r="X349" s="34">
        <v>8</v>
      </c>
      <c r="Y349" s="3"/>
      <c r="Z349" s="77"/>
      <c r="AC349" s="5"/>
      <c r="AG349" s="34">
        <v>8</v>
      </c>
      <c r="AH349" s="3"/>
      <c r="AI349" s="77"/>
      <c r="AK349" s="34">
        <v>8</v>
      </c>
      <c r="AL349" s="2"/>
      <c r="AM349" s="205"/>
      <c r="AO349" s="34">
        <v>8</v>
      </c>
      <c r="AP349" s="3"/>
      <c r="AQ349" s="77"/>
      <c r="AU349" s="34">
        <v>8</v>
      </c>
      <c r="AV349" s="3"/>
      <c r="AW349" s="77"/>
      <c r="AY349" s="34">
        <v>8</v>
      </c>
      <c r="AZ349" s="3"/>
      <c r="BA349" s="77"/>
      <c r="BC349" s="34">
        <v>8</v>
      </c>
      <c r="BD349" s="3"/>
      <c r="BE349" s="77"/>
      <c r="BH349" s="5"/>
      <c r="BL349" s="36">
        <v>8</v>
      </c>
      <c r="BM349" s="3"/>
      <c r="BN349" s="77"/>
      <c r="BP349" s="36">
        <v>8</v>
      </c>
      <c r="BQ349" s="3"/>
      <c r="BR349" s="77"/>
      <c r="BV349" s="34">
        <v>8</v>
      </c>
      <c r="BW349" s="3"/>
      <c r="BX349" s="77"/>
      <c r="BZ349" s="34">
        <v>8</v>
      </c>
      <c r="CA349" s="3"/>
      <c r="CB349" s="77"/>
    </row>
    <row r="350" spans="1:86">
      <c r="B350" s="34">
        <v>9</v>
      </c>
      <c r="C350" s="2"/>
      <c r="D350" s="205"/>
      <c r="F350" s="34">
        <v>9</v>
      </c>
      <c r="G350" s="2"/>
      <c r="H350" s="205"/>
      <c r="J350" s="34">
        <v>9</v>
      </c>
      <c r="K350" s="2"/>
      <c r="L350" s="205"/>
      <c r="P350" s="34">
        <v>9</v>
      </c>
      <c r="Q350" s="2"/>
      <c r="R350" s="205"/>
      <c r="T350" s="34">
        <v>9</v>
      </c>
      <c r="U350" s="3"/>
      <c r="V350" s="77"/>
      <c r="X350" s="34">
        <v>9</v>
      </c>
      <c r="Y350" s="3"/>
      <c r="Z350" s="77"/>
      <c r="AC350" s="5"/>
      <c r="AG350" s="34">
        <v>9</v>
      </c>
      <c r="AH350" s="3"/>
      <c r="AI350" s="77"/>
      <c r="AK350" s="34">
        <v>9</v>
      </c>
      <c r="AL350" s="2"/>
      <c r="AM350" s="205"/>
      <c r="AO350" s="34">
        <v>9</v>
      </c>
      <c r="AP350" s="3"/>
      <c r="AQ350" s="77"/>
      <c r="AU350" s="34">
        <v>9</v>
      </c>
      <c r="AV350" s="3"/>
      <c r="AW350" s="77"/>
      <c r="AY350" s="34">
        <v>9</v>
      </c>
      <c r="AZ350" s="3"/>
      <c r="BA350" s="77"/>
      <c r="BC350" s="34">
        <v>9</v>
      </c>
      <c r="BD350" s="3"/>
      <c r="BE350" s="77"/>
      <c r="BH350" s="5"/>
      <c r="BL350" s="36">
        <v>9</v>
      </c>
      <c r="BM350" s="3"/>
      <c r="BN350" s="77"/>
      <c r="BP350" s="36">
        <v>9</v>
      </c>
      <c r="BQ350" s="3"/>
      <c r="BR350" s="77"/>
      <c r="BV350" s="34">
        <v>9</v>
      </c>
      <c r="BW350" s="3"/>
      <c r="BX350" s="77"/>
      <c r="BZ350" s="34">
        <v>9</v>
      </c>
      <c r="CA350" s="3"/>
      <c r="CB350" s="77"/>
    </row>
    <row r="351" spans="1:86">
      <c r="B351" s="34">
        <v>10</v>
      </c>
      <c r="C351" s="2"/>
      <c r="D351" s="205"/>
      <c r="F351" s="34">
        <v>10</v>
      </c>
      <c r="G351" s="2"/>
      <c r="H351" s="205"/>
      <c r="J351" s="34">
        <v>10</v>
      </c>
      <c r="K351" s="2"/>
      <c r="L351" s="205"/>
      <c r="P351" s="34">
        <v>10</v>
      </c>
      <c r="Q351" s="2"/>
      <c r="R351" s="205"/>
      <c r="T351" s="34">
        <v>10</v>
      </c>
      <c r="U351" s="3"/>
      <c r="V351" s="77"/>
      <c r="X351" s="34">
        <v>10</v>
      </c>
      <c r="Y351" s="3"/>
      <c r="Z351" s="77"/>
      <c r="AC351" s="5"/>
      <c r="AG351" s="34">
        <v>10</v>
      </c>
      <c r="AH351" s="3"/>
      <c r="AI351" s="77"/>
      <c r="AK351" s="34">
        <v>10</v>
      </c>
      <c r="AL351" s="2"/>
      <c r="AM351" s="205"/>
      <c r="AO351" s="34">
        <v>10</v>
      </c>
      <c r="AP351" s="3"/>
      <c r="AQ351" s="77"/>
      <c r="AU351" s="34">
        <v>10</v>
      </c>
      <c r="AV351" s="3"/>
      <c r="AW351" s="77"/>
      <c r="AY351" s="34">
        <v>10</v>
      </c>
      <c r="AZ351" s="3"/>
      <c r="BA351" s="77"/>
      <c r="BC351" s="34">
        <v>10</v>
      </c>
      <c r="BD351" s="3"/>
      <c r="BE351" s="77"/>
      <c r="BH351" s="5"/>
      <c r="BL351" s="36">
        <v>10</v>
      </c>
      <c r="BM351" s="3"/>
      <c r="BN351" s="77"/>
      <c r="BP351" s="36">
        <v>10</v>
      </c>
      <c r="BQ351" s="3"/>
      <c r="BR351" s="77"/>
      <c r="BV351" s="34">
        <v>10</v>
      </c>
      <c r="BW351" s="3"/>
      <c r="BX351" s="77"/>
      <c r="BZ351" s="34">
        <v>10</v>
      </c>
      <c r="CA351" s="3"/>
      <c r="CB351" s="77"/>
    </row>
    <row r="352" spans="1:86">
      <c r="B352" s="34">
        <v>11</v>
      </c>
      <c r="C352" s="2"/>
      <c r="D352" s="205"/>
      <c r="F352" s="34">
        <v>11</v>
      </c>
      <c r="G352" s="2"/>
      <c r="H352" s="205"/>
      <c r="J352" s="34">
        <v>11</v>
      </c>
      <c r="K352" s="2"/>
      <c r="L352" s="205"/>
      <c r="P352" s="34">
        <v>11</v>
      </c>
      <c r="Q352" s="2"/>
      <c r="R352" s="205"/>
      <c r="T352" s="34">
        <v>11</v>
      </c>
      <c r="U352" s="3"/>
      <c r="V352" s="77"/>
      <c r="X352" s="34">
        <v>11</v>
      </c>
      <c r="Y352" s="3"/>
      <c r="Z352" s="77"/>
      <c r="AC352" s="5"/>
      <c r="AG352" s="34">
        <v>11</v>
      </c>
      <c r="AH352" s="3"/>
      <c r="AI352" s="77"/>
      <c r="AK352" s="34">
        <v>11</v>
      </c>
      <c r="AL352" s="2"/>
      <c r="AM352" s="205"/>
      <c r="AO352" s="34">
        <v>11</v>
      </c>
      <c r="AP352" s="3"/>
      <c r="AQ352" s="77"/>
      <c r="AU352" s="34">
        <v>11</v>
      </c>
      <c r="AV352" s="3"/>
      <c r="AW352" s="77"/>
      <c r="AY352" s="34">
        <v>11</v>
      </c>
      <c r="AZ352" s="3"/>
      <c r="BA352" s="77"/>
      <c r="BC352" s="34">
        <v>11</v>
      </c>
      <c r="BD352" s="3"/>
      <c r="BE352" s="77"/>
      <c r="BH352" s="5"/>
      <c r="BL352" s="36">
        <v>11</v>
      </c>
      <c r="BM352" s="3"/>
      <c r="BN352" s="4"/>
      <c r="BP352" s="36">
        <v>11</v>
      </c>
      <c r="BQ352" s="3"/>
      <c r="BR352" s="4"/>
      <c r="BV352" s="34">
        <v>11</v>
      </c>
      <c r="BW352" s="3"/>
      <c r="BX352" s="4"/>
      <c r="BZ352" s="34">
        <v>11</v>
      </c>
      <c r="CA352" s="3"/>
      <c r="CB352" s="77"/>
    </row>
    <row r="353" spans="2:86">
      <c r="B353" s="34">
        <v>12</v>
      </c>
      <c r="C353" s="2"/>
      <c r="D353" s="205"/>
      <c r="F353" s="34">
        <v>12</v>
      </c>
      <c r="G353" s="2"/>
      <c r="H353" s="205"/>
      <c r="J353" s="34">
        <v>12</v>
      </c>
      <c r="K353" s="2"/>
      <c r="L353" s="205"/>
      <c r="P353" s="34">
        <v>12</v>
      </c>
      <c r="Q353" s="2"/>
      <c r="R353" s="205"/>
      <c r="T353" s="34">
        <v>12</v>
      </c>
      <c r="U353" s="3"/>
      <c r="V353" s="77"/>
      <c r="X353" s="34">
        <v>12</v>
      </c>
      <c r="Y353" s="3"/>
      <c r="Z353" s="77"/>
      <c r="AC353" s="5"/>
      <c r="AG353" s="34">
        <v>12</v>
      </c>
      <c r="AH353" s="3"/>
      <c r="AI353" s="77"/>
      <c r="AK353" s="34">
        <v>12</v>
      </c>
      <c r="AL353" s="2"/>
      <c r="AM353" s="205"/>
      <c r="AO353" s="34">
        <v>12</v>
      </c>
      <c r="AP353" s="3"/>
      <c r="AQ353" s="77"/>
      <c r="AU353" s="34">
        <v>12</v>
      </c>
      <c r="AV353" s="3"/>
      <c r="AW353" s="77"/>
      <c r="AY353" s="34">
        <v>12</v>
      </c>
      <c r="AZ353" s="3"/>
      <c r="BA353" s="77"/>
      <c r="BC353" s="34">
        <v>12</v>
      </c>
      <c r="BD353" s="3"/>
      <c r="BE353" s="77"/>
      <c r="BH353" s="5"/>
      <c r="BL353" s="36">
        <v>12</v>
      </c>
      <c r="BM353" s="3"/>
      <c r="BN353" s="77"/>
      <c r="BP353" s="36">
        <v>12</v>
      </c>
      <c r="BQ353" s="3"/>
      <c r="BR353" s="77"/>
      <c r="BV353" s="34">
        <v>12</v>
      </c>
      <c r="BW353" s="3"/>
      <c r="BX353" s="77"/>
      <c r="BZ353" s="34">
        <v>12</v>
      </c>
      <c r="CA353" s="3"/>
      <c r="CB353" s="77"/>
    </row>
    <row r="354" spans="2:86">
      <c r="B354" s="34">
        <v>13</v>
      </c>
      <c r="C354" s="2"/>
      <c r="D354" s="205"/>
      <c r="F354" s="34">
        <v>13</v>
      </c>
      <c r="G354" s="2"/>
      <c r="H354" s="205"/>
      <c r="J354" s="34">
        <v>13</v>
      </c>
      <c r="K354" s="2"/>
      <c r="L354" s="205"/>
      <c r="P354" s="34">
        <v>13</v>
      </c>
      <c r="Q354" s="2"/>
      <c r="R354" s="205"/>
      <c r="T354" s="34">
        <v>13</v>
      </c>
      <c r="U354" s="3"/>
      <c r="V354" s="77"/>
      <c r="X354" s="34">
        <v>13</v>
      </c>
      <c r="Y354" s="3"/>
      <c r="Z354" s="77"/>
      <c r="AC354" s="5"/>
      <c r="AG354" s="34">
        <v>13</v>
      </c>
      <c r="AH354" s="3"/>
      <c r="AI354" s="77"/>
      <c r="AK354" s="34">
        <v>13</v>
      </c>
      <c r="AL354" s="2"/>
      <c r="AM354" s="205"/>
      <c r="AO354" s="34">
        <v>13</v>
      </c>
      <c r="AP354" s="3"/>
      <c r="AQ354" s="77"/>
      <c r="AU354" s="34">
        <v>13</v>
      </c>
      <c r="AV354" s="3"/>
      <c r="AW354" s="77"/>
      <c r="AY354" s="34">
        <v>13</v>
      </c>
      <c r="AZ354" s="3"/>
      <c r="BA354" s="77"/>
      <c r="BC354" s="34">
        <v>13</v>
      </c>
      <c r="BD354" s="3"/>
      <c r="BE354" s="77"/>
      <c r="BH354" s="5"/>
      <c r="BL354" s="36">
        <v>13</v>
      </c>
      <c r="BM354" s="3"/>
      <c r="BN354" s="77"/>
      <c r="BP354" s="36">
        <v>13</v>
      </c>
      <c r="BQ354" s="3"/>
      <c r="BR354" s="77"/>
      <c r="BV354" s="34">
        <v>13</v>
      </c>
      <c r="BW354" s="3"/>
      <c r="BX354" s="77"/>
      <c r="BZ354" s="34">
        <v>13</v>
      </c>
      <c r="CA354" s="3"/>
      <c r="CB354" s="77"/>
    </row>
    <row r="355" spans="2:86">
      <c r="B355" s="34">
        <v>14</v>
      </c>
      <c r="C355" s="2"/>
      <c r="D355" s="205"/>
      <c r="F355" s="34">
        <v>14</v>
      </c>
      <c r="G355" s="2"/>
      <c r="H355" s="205"/>
      <c r="J355" s="34">
        <v>14</v>
      </c>
      <c r="K355" s="2"/>
      <c r="L355" s="205"/>
      <c r="P355" s="34">
        <v>14</v>
      </c>
      <c r="Q355" s="2"/>
      <c r="R355" s="205"/>
      <c r="T355" s="34">
        <v>14</v>
      </c>
      <c r="U355" s="3"/>
      <c r="V355" s="77"/>
      <c r="X355" s="34">
        <v>14</v>
      </c>
      <c r="Y355" s="3"/>
      <c r="Z355" s="77"/>
      <c r="AC355" s="5"/>
      <c r="AG355" s="34">
        <v>14</v>
      </c>
      <c r="AH355" s="3"/>
      <c r="AI355" s="77"/>
      <c r="AK355" s="34">
        <v>14</v>
      </c>
      <c r="AL355" s="2"/>
      <c r="AM355" s="205"/>
      <c r="AO355" s="34">
        <v>14</v>
      </c>
      <c r="AP355" s="3"/>
      <c r="AQ355" s="77"/>
      <c r="AU355" s="34">
        <v>14</v>
      </c>
      <c r="AV355" s="3"/>
      <c r="AW355" s="77"/>
      <c r="AY355" s="34">
        <v>14</v>
      </c>
      <c r="AZ355" s="3"/>
      <c r="BA355" s="77"/>
      <c r="BC355" s="34">
        <v>14</v>
      </c>
      <c r="BD355" s="3"/>
      <c r="BE355" s="77"/>
      <c r="BH355" s="5"/>
      <c r="BL355" s="36">
        <v>14</v>
      </c>
      <c r="BM355" s="3"/>
      <c r="BN355" s="77"/>
      <c r="BP355" s="36">
        <v>14</v>
      </c>
      <c r="BQ355" s="3"/>
      <c r="BR355" s="77"/>
      <c r="BV355" s="34">
        <v>14</v>
      </c>
      <c r="BW355" s="3"/>
      <c r="BX355" s="4"/>
      <c r="BZ355" s="34">
        <v>14</v>
      </c>
      <c r="CA355" s="3"/>
      <c r="CB355" s="77"/>
    </row>
    <row r="356" spans="2:86">
      <c r="B356" s="34">
        <v>15</v>
      </c>
      <c r="C356" s="3"/>
      <c r="D356" s="77"/>
      <c r="F356" s="34">
        <v>15</v>
      </c>
      <c r="G356" s="2"/>
      <c r="H356" s="205"/>
      <c r="J356" s="34">
        <v>15</v>
      </c>
      <c r="K356" s="2"/>
      <c r="L356" s="205"/>
      <c r="P356" s="34">
        <v>15</v>
      </c>
      <c r="Q356" s="2"/>
      <c r="R356" s="205"/>
      <c r="T356" s="34">
        <v>15</v>
      </c>
      <c r="U356" s="3"/>
      <c r="V356" s="77"/>
      <c r="X356" s="34">
        <v>15</v>
      </c>
      <c r="Y356" s="3"/>
      <c r="Z356" s="77"/>
      <c r="AC356" s="5"/>
      <c r="AG356" s="34">
        <v>15</v>
      </c>
      <c r="AH356" s="3"/>
      <c r="AI356" s="77"/>
      <c r="AK356" s="34">
        <v>15</v>
      </c>
      <c r="AL356" s="2"/>
      <c r="AM356" s="205"/>
      <c r="AO356" s="34">
        <v>15</v>
      </c>
      <c r="AP356" s="3"/>
      <c r="AQ356" s="77"/>
      <c r="AU356" s="34">
        <v>15</v>
      </c>
      <c r="AV356" s="3"/>
      <c r="AW356" s="77"/>
      <c r="AY356" s="34">
        <v>15</v>
      </c>
      <c r="AZ356" s="3"/>
      <c r="BA356" s="77"/>
      <c r="BC356" s="34">
        <v>15</v>
      </c>
      <c r="BD356" s="3"/>
      <c r="BE356" s="77"/>
      <c r="BH356" s="5"/>
      <c r="BL356" s="36">
        <v>15</v>
      </c>
      <c r="BM356" s="3"/>
      <c r="BN356" s="4"/>
      <c r="BP356" s="36">
        <v>15</v>
      </c>
      <c r="BQ356" s="3"/>
      <c r="BR356" s="4"/>
      <c r="BV356" s="34">
        <v>15</v>
      </c>
      <c r="BW356" s="3"/>
      <c r="BX356" s="4"/>
      <c r="BZ356" s="34">
        <v>15</v>
      </c>
      <c r="CA356" s="3"/>
      <c r="CB356" s="77"/>
    </row>
    <row r="357" spans="2:86">
      <c r="B357" s="34">
        <v>16</v>
      </c>
      <c r="C357" s="3"/>
      <c r="D357" s="77"/>
      <c r="F357" s="34">
        <v>16</v>
      </c>
      <c r="G357" s="2"/>
      <c r="H357" s="205"/>
      <c r="J357" s="34">
        <v>16</v>
      </c>
      <c r="K357" s="2"/>
      <c r="L357" s="205"/>
      <c r="P357" s="34">
        <v>16</v>
      </c>
      <c r="Q357" s="2"/>
      <c r="R357" s="205"/>
      <c r="T357" s="34">
        <v>16</v>
      </c>
      <c r="U357" s="3"/>
      <c r="V357" s="77"/>
      <c r="X357" s="34">
        <v>16</v>
      </c>
      <c r="Y357" s="3"/>
      <c r="Z357" s="77"/>
      <c r="AC357" s="5"/>
      <c r="AG357" s="34">
        <v>16</v>
      </c>
      <c r="AH357" s="3"/>
      <c r="AI357" s="77"/>
      <c r="AK357" s="34">
        <v>16</v>
      </c>
      <c r="AL357" s="2"/>
      <c r="AM357" s="205"/>
      <c r="AO357" s="34">
        <v>16</v>
      </c>
      <c r="AP357" s="3"/>
      <c r="AQ357" s="77"/>
      <c r="AU357" s="34">
        <v>16</v>
      </c>
      <c r="AV357" s="3"/>
      <c r="AW357" s="77"/>
      <c r="AY357" s="34">
        <v>16</v>
      </c>
      <c r="AZ357" s="3"/>
      <c r="BA357" s="77"/>
      <c r="BC357" s="34">
        <v>16</v>
      </c>
      <c r="BD357" s="3"/>
      <c r="BE357" s="77"/>
      <c r="BH357" s="5"/>
      <c r="BL357" s="36">
        <v>16</v>
      </c>
      <c r="BM357" s="3"/>
      <c r="BN357" s="77"/>
      <c r="BP357" s="36">
        <v>16</v>
      </c>
      <c r="BQ357" s="3"/>
      <c r="BR357" s="4"/>
      <c r="BV357" s="34">
        <v>16</v>
      </c>
      <c r="BW357" s="3"/>
      <c r="BX357" s="4"/>
      <c r="BZ357" s="34">
        <v>16</v>
      </c>
      <c r="CA357" s="3"/>
      <c r="CB357" s="77"/>
    </row>
    <row r="358" spans="2:86">
      <c r="B358" s="34">
        <v>17</v>
      </c>
      <c r="C358" s="3"/>
      <c r="D358" s="77"/>
      <c r="F358" s="34">
        <v>17</v>
      </c>
      <c r="G358" s="3"/>
      <c r="H358" s="77"/>
      <c r="J358" s="34">
        <v>17</v>
      </c>
      <c r="K358" s="2"/>
      <c r="L358" s="205"/>
      <c r="P358" s="34">
        <v>17</v>
      </c>
      <c r="Q358" s="2"/>
      <c r="R358" s="205"/>
      <c r="T358" s="34">
        <v>17</v>
      </c>
      <c r="U358" s="3"/>
      <c r="V358" s="77"/>
      <c r="X358" s="34">
        <v>17</v>
      </c>
      <c r="Y358" s="3"/>
      <c r="Z358" s="77"/>
      <c r="AC358" s="5"/>
      <c r="AG358" s="34">
        <v>17</v>
      </c>
      <c r="AH358" s="3"/>
      <c r="AI358" s="77"/>
      <c r="AK358" s="34">
        <v>17</v>
      </c>
      <c r="AL358" s="2"/>
      <c r="AM358" s="205"/>
      <c r="AO358" s="34">
        <v>17</v>
      </c>
      <c r="AP358" s="3"/>
      <c r="AQ358" s="77"/>
      <c r="AU358" s="34">
        <v>17</v>
      </c>
      <c r="AV358" s="3"/>
      <c r="AW358" s="77"/>
      <c r="AY358" s="34">
        <v>17</v>
      </c>
      <c r="AZ358" s="3"/>
      <c r="BA358" s="77"/>
      <c r="BC358" s="34">
        <v>17</v>
      </c>
      <c r="BD358" s="3"/>
      <c r="BE358" s="77"/>
      <c r="BH358" s="5"/>
      <c r="BL358" s="36">
        <v>17</v>
      </c>
      <c r="BM358" s="3"/>
      <c r="BN358" s="77"/>
      <c r="BP358" s="36">
        <v>17</v>
      </c>
      <c r="BQ358" s="3"/>
      <c r="BR358" s="77"/>
      <c r="BV358" s="34">
        <v>17</v>
      </c>
      <c r="BW358" s="3"/>
      <c r="BX358" s="4"/>
      <c r="BZ358" s="34">
        <v>17</v>
      </c>
      <c r="CA358" s="3"/>
      <c r="CB358" s="77"/>
    </row>
    <row r="359" spans="2:86">
      <c r="B359" s="34">
        <v>18</v>
      </c>
      <c r="C359" s="3"/>
      <c r="D359" s="77"/>
      <c r="F359" s="34">
        <v>18</v>
      </c>
      <c r="G359" s="3"/>
      <c r="H359" s="77"/>
      <c r="J359" s="34">
        <v>18</v>
      </c>
      <c r="K359" s="3"/>
      <c r="L359" s="77"/>
      <c r="P359" s="34">
        <v>18</v>
      </c>
      <c r="Q359" s="2"/>
      <c r="R359" s="205"/>
      <c r="T359" s="34">
        <v>18</v>
      </c>
      <c r="U359" s="3"/>
      <c r="V359" s="77"/>
      <c r="X359" s="34">
        <v>18</v>
      </c>
      <c r="Y359" s="3"/>
      <c r="Z359" s="77"/>
      <c r="AC359" s="5"/>
      <c r="AG359" s="34">
        <v>18</v>
      </c>
      <c r="AH359" s="3"/>
      <c r="AI359" s="77"/>
      <c r="AK359" s="34">
        <v>18</v>
      </c>
      <c r="AL359" s="2"/>
      <c r="AM359" s="205"/>
      <c r="AO359" s="34">
        <v>18</v>
      </c>
      <c r="AP359" s="3"/>
      <c r="AQ359" s="77"/>
      <c r="AU359" s="34">
        <v>18</v>
      </c>
      <c r="AV359" s="3"/>
      <c r="AW359" s="77"/>
      <c r="AY359" s="34">
        <v>18</v>
      </c>
      <c r="AZ359" s="3"/>
      <c r="BA359" s="77"/>
      <c r="BC359" s="34">
        <v>18</v>
      </c>
      <c r="BD359" s="3"/>
      <c r="BE359" s="77"/>
      <c r="BH359" s="5"/>
      <c r="BL359" s="36">
        <v>18</v>
      </c>
      <c r="BM359" s="3"/>
      <c r="BN359" s="77"/>
      <c r="BP359" s="36">
        <v>18</v>
      </c>
      <c r="BQ359" s="3"/>
      <c r="BR359" s="77"/>
      <c r="BV359" s="34">
        <v>18</v>
      </c>
      <c r="BW359" s="3"/>
      <c r="BX359" s="4"/>
      <c r="BZ359" s="34">
        <v>18</v>
      </c>
      <c r="CA359" s="3"/>
      <c r="CB359" s="77"/>
    </row>
    <row r="360" spans="2:86">
      <c r="B360" s="34">
        <v>19</v>
      </c>
      <c r="C360" s="3"/>
      <c r="D360" s="77"/>
      <c r="F360" s="34">
        <v>19</v>
      </c>
      <c r="G360" s="3"/>
      <c r="H360" s="77"/>
      <c r="J360" s="34">
        <v>19</v>
      </c>
      <c r="K360" s="3"/>
      <c r="L360" s="77"/>
      <c r="P360" s="34">
        <v>19</v>
      </c>
      <c r="Q360" s="2"/>
      <c r="R360" s="205"/>
      <c r="T360" s="34">
        <v>19</v>
      </c>
      <c r="U360" s="3"/>
      <c r="V360" s="77"/>
      <c r="X360" s="34">
        <v>19</v>
      </c>
      <c r="Y360" s="3"/>
      <c r="Z360" s="77"/>
      <c r="AC360" s="5"/>
      <c r="AG360" s="34">
        <v>19</v>
      </c>
      <c r="AH360" s="3"/>
      <c r="AI360" s="77"/>
      <c r="AK360" s="34">
        <v>19</v>
      </c>
      <c r="AL360" s="2"/>
      <c r="AM360" s="205"/>
      <c r="AO360" s="34">
        <v>19</v>
      </c>
      <c r="AP360" s="3"/>
      <c r="AQ360" s="77"/>
      <c r="AU360" s="34">
        <v>19</v>
      </c>
      <c r="AV360" s="3"/>
      <c r="AW360" s="77"/>
      <c r="AY360" s="34">
        <v>19</v>
      </c>
      <c r="AZ360" s="3"/>
      <c r="BA360" s="77"/>
      <c r="BC360" s="34">
        <v>19</v>
      </c>
      <c r="BD360" s="3"/>
      <c r="BE360" s="77"/>
      <c r="BH360" s="5"/>
      <c r="BL360" s="36">
        <v>19</v>
      </c>
      <c r="BM360" s="3"/>
      <c r="BN360" s="4"/>
      <c r="BP360" s="36">
        <v>19</v>
      </c>
      <c r="BQ360" s="3"/>
      <c r="BR360" s="4"/>
      <c r="BV360" s="34">
        <v>19</v>
      </c>
      <c r="BW360" s="3"/>
      <c r="BX360" s="4"/>
      <c r="BZ360" s="34">
        <v>19</v>
      </c>
      <c r="CA360" s="3"/>
      <c r="CB360" s="77"/>
    </row>
    <row r="361" spans="2:86">
      <c r="B361" s="34">
        <v>20</v>
      </c>
      <c r="C361" s="3"/>
      <c r="D361" s="77"/>
      <c r="F361" s="34">
        <v>20</v>
      </c>
      <c r="G361" s="3"/>
      <c r="H361" s="77"/>
      <c r="J361" s="34">
        <v>20</v>
      </c>
      <c r="K361" s="3"/>
      <c r="L361" s="77"/>
      <c r="P361" s="34">
        <v>20</v>
      </c>
      <c r="Q361" s="2"/>
      <c r="R361" s="205"/>
      <c r="T361" s="34">
        <v>20</v>
      </c>
      <c r="U361" s="3"/>
      <c r="V361" s="77"/>
      <c r="X361" s="34">
        <v>20</v>
      </c>
      <c r="Y361" s="3"/>
      <c r="Z361" s="77"/>
      <c r="AC361" s="5"/>
      <c r="AG361" s="34">
        <v>20</v>
      </c>
      <c r="AH361" s="3"/>
      <c r="AI361" s="77"/>
      <c r="AK361" s="34">
        <v>20</v>
      </c>
      <c r="AL361" s="2"/>
      <c r="AM361" s="205"/>
      <c r="AO361" s="34">
        <v>20</v>
      </c>
      <c r="AP361" s="3"/>
      <c r="AQ361" s="77"/>
      <c r="AU361" s="34">
        <v>20</v>
      </c>
      <c r="AV361" s="3"/>
      <c r="AW361" s="77"/>
      <c r="AY361" s="34">
        <v>20</v>
      </c>
      <c r="AZ361" s="3"/>
      <c r="BA361" s="77"/>
      <c r="BC361" s="34">
        <v>20</v>
      </c>
      <c r="BD361" s="3"/>
      <c r="BE361" s="77"/>
      <c r="BH361" s="5"/>
      <c r="BL361" s="36">
        <v>20</v>
      </c>
      <c r="BM361" s="3"/>
      <c r="BN361" s="4"/>
      <c r="BP361" s="36">
        <v>20</v>
      </c>
      <c r="BQ361" s="3"/>
      <c r="BR361" s="4"/>
      <c r="BV361" s="34">
        <v>20</v>
      </c>
      <c r="BW361" s="3"/>
      <c r="BX361" s="4"/>
      <c r="BZ361" s="34">
        <v>20</v>
      </c>
      <c r="CA361" s="3"/>
      <c r="CB361" s="77"/>
    </row>
    <row r="362" spans="2:86">
      <c r="B362" s="34">
        <v>21</v>
      </c>
      <c r="C362" s="3"/>
      <c r="D362" s="77"/>
      <c r="F362" s="34">
        <v>21</v>
      </c>
      <c r="G362" s="3"/>
      <c r="H362" s="77"/>
      <c r="J362" s="34">
        <v>21</v>
      </c>
      <c r="K362" s="3"/>
      <c r="L362" s="77"/>
      <c r="P362" s="34">
        <v>21</v>
      </c>
      <c r="Q362" s="2"/>
      <c r="R362" s="205"/>
      <c r="T362" s="34">
        <v>21</v>
      </c>
      <c r="U362" s="3"/>
      <c r="V362" s="77"/>
      <c r="X362" s="34">
        <v>21</v>
      </c>
      <c r="Y362" s="3"/>
      <c r="Z362" s="77"/>
      <c r="AC362" s="5"/>
      <c r="AG362" s="34">
        <v>21</v>
      </c>
      <c r="AH362" s="3"/>
      <c r="AI362" s="77"/>
      <c r="AK362" s="34">
        <v>21</v>
      </c>
      <c r="AL362" s="2"/>
      <c r="AM362" s="205"/>
      <c r="AO362" s="34">
        <v>21</v>
      </c>
      <c r="AP362" s="3"/>
      <c r="AQ362" s="77"/>
      <c r="AU362" s="34">
        <v>21</v>
      </c>
      <c r="AV362" s="3"/>
      <c r="AW362" s="77"/>
      <c r="AY362" s="34">
        <v>21</v>
      </c>
      <c r="AZ362" s="3"/>
      <c r="BA362" s="77"/>
      <c r="BC362" s="34">
        <v>21</v>
      </c>
      <c r="BD362" s="3"/>
      <c r="BE362" s="77"/>
      <c r="BH362" s="5"/>
      <c r="BL362" s="36">
        <v>21</v>
      </c>
      <c r="BM362" s="3"/>
      <c r="BN362" s="4"/>
      <c r="BP362" s="36">
        <v>21</v>
      </c>
      <c r="BQ362" s="3"/>
      <c r="BR362" s="4"/>
      <c r="BV362" s="34">
        <v>21</v>
      </c>
      <c r="BW362" s="3"/>
      <c r="BX362" s="4"/>
      <c r="BZ362" s="34">
        <v>21</v>
      </c>
      <c r="CA362" s="3"/>
      <c r="CB362" s="4"/>
    </row>
    <row r="363" spans="2:86">
      <c r="B363" s="34">
        <v>22</v>
      </c>
      <c r="C363" s="3"/>
      <c r="D363" s="77"/>
      <c r="F363" s="34">
        <v>22</v>
      </c>
      <c r="G363" s="3"/>
      <c r="H363" s="77"/>
      <c r="J363" s="34">
        <v>22</v>
      </c>
      <c r="K363" s="3"/>
      <c r="L363" s="77"/>
      <c r="P363" s="34">
        <v>22</v>
      </c>
      <c r="Q363" s="3"/>
      <c r="R363" s="77"/>
      <c r="T363" s="34">
        <v>22</v>
      </c>
      <c r="U363" s="3"/>
      <c r="V363" s="77"/>
      <c r="X363" s="34">
        <v>22</v>
      </c>
      <c r="Y363" s="3"/>
      <c r="Z363" s="77"/>
      <c r="AC363" s="5"/>
      <c r="AG363" s="34">
        <v>22</v>
      </c>
      <c r="AH363" s="3"/>
      <c r="AI363" s="77"/>
      <c r="AK363" s="34">
        <v>22</v>
      </c>
      <c r="AL363" s="2"/>
      <c r="AM363" s="205"/>
      <c r="AO363" s="34">
        <v>22</v>
      </c>
      <c r="AP363" s="3"/>
      <c r="AQ363" s="77"/>
      <c r="AU363" s="34">
        <v>22</v>
      </c>
      <c r="AV363" s="3"/>
      <c r="AW363" s="77"/>
      <c r="AY363" s="34">
        <v>22</v>
      </c>
      <c r="AZ363" s="3"/>
      <c r="BA363" s="77"/>
      <c r="BC363" s="34">
        <v>22</v>
      </c>
      <c r="BD363" s="3"/>
      <c r="BE363" s="77"/>
      <c r="BH363" s="5"/>
      <c r="BL363" s="36">
        <v>22</v>
      </c>
      <c r="BM363" s="3"/>
      <c r="BN363" s="4"/>
      <c r="BP363" s="36">
        <v>22</v>
      </c>
      <c r="BQ363" s="3"/>
      <c r="BR363" s="4"/>
      <c r="BV363" s="34">
        <v>22</v>
      </c>
      <c r="BW363" s="3"/>
      <c r="BX363" s="4"/>
      <c r="BZ363" s="34">
        <v>22</v>
      </c>
      <c r="CA363" s="3"/>
      <c r="CB363" s="4"/>
    </row>
    <row r="364" spans="2:86">
      <c r="B364" s="34">
        <v>23</v>
      </c>
      <c r="C364" s="3"/>
      <c r="D364" s="77"/>
      <c r="F364" s="34">
        <v>23</v>
      </c>
      <c r="G364" s="3"/>
      <c r="H364" s="77"/>
      <c r="J364" s="34">
        <v>23</v>
      </c>
      <c r="K364" s="3"/>
      <c r="L364" s="77"/>
      <c r="P364" s="34">
        <v>23</v>
      </c>
      <c r="Q364" s="3"/>
      <c r="R364" s="77"/>
      <c r="T364" s="34">
        <v>23</v>
      </c>
      <c r="U364" s="3"/>
      <c r="V364" s="77"/>
      <c r="X364" s="34">
        <v>23</v>
      </c>
      <c r="Y364" s="3"/>
      <c r="Z364" s="77"/>
      <c r="AC364" s="5"/>
      <c r="AG364" s="34">
        <v>23</v>
      </c>
      <c r="AH364" s="3"/>
      <c r="AI364" s="77"/>
      <c r="AK364" s="34">
        <v>23</v>
      </c>
      <c r="AL364" s="2"/>
      <c r="AM364" s="205"/>
      <c r="AO364" s="34">
        <v>23</v>
      </c>
      <c r="AP364" s="3"/>
      <c r="AQ364" s="77"/>
      <c r="AU364" s="34">
        <v>23</v>
      </c>
      <c r="AV364" s="3"/>
      <c r="AW364" s="77"/>
      <c r="AY364" s="34">
        <v>23</v>
      </c>
      <c r="AZ364" s="3"/>
      <c r="BA364" s="77"/>
      <c r="BC364" s="34">
        <v>23</v>
      </c>
      <c r="BD364" s="3"/>
      <c r="BE364" s="77"/>
      <c r="BH364" s="5"/>
      <c r="BL364" s="36">
        <v>23</v>
      </c>
      <c r="BM364" s="3"/>
      <c r="BN364" s="4"/>
      <c r="BP364" s="36">
        <v>23</v>
      </c>
      <c r="BQ364" s="3"/>
      <c r="BR364" s="4"/>
      <c r="BV364" s="34">
        <v>23</v>
      </c>
      <c r="BW364" s="3"/>
      <c r="BX364" s="4"/>
      <c r="BZ364" s="34">
        <v>23</v>
      </c>
      <c r="CA364" s="3"/>
      <c r="CB364" s="4"/>
    </row>
    <row r="365" spans="2:86">
      <c r="AC365" s="5"/>
      <c r="AU365"/>
      <c r="BC365"/>
      <c r="BH365" s="5"/>
    </row>
    <row r="366" spans="2:86">
      <c r="AC366" s="5"/>
      <c r="AU366"/>
      <c r="BC366"/>
      <c r="BH366" s="5"/>
    </row>
    <row r="367" spans="2:86">
      <c r="AC367" s="5"/>
      <c r="AU367"/>
      <c r="BC367"/>
      <c r="BH367" s="5"/>
    </row>
    <row r="368" spans="2:86" s="1" customFormat="1" ht="20.25">
      <c r="B368" s="54"/>
      <c r="C368" s="55">
        <f>'NRB 공장 내부 배치도'!C21</f>
        <v>0</v>
      </c>
      <c r="D368" s="199"/>
      <c r="F368" s="54"/>
      <c r="G368" s="55">
        <f>'NRB 공장 내부 배치도'!D21</f>
        <v>0</v>
      </c>
      <c r="H368" s="199"/>
      <c r="J368" s="54"/>
      <c r="K368" s="55">
        <f>'NRB 공장 내부 배치도'!E21</f>
        <v>0</v>
      </c>
      <c r="L368" s="199"/>
      <c r="P368" s="54"/>
      <c r="Q368" s="55">
        <f>'NRB 공장 내부 배치도'!G21</f>
        <v>0</v>
      </c>
      <c r="R368" s="199"/>
      <c r="T368" s="54"/>
      <c r="U368" s="55">
        <f>'NRB 공장 내부 배치도'!H21</f>
        <v>0</v>
      </c>
      <c r="V368" s="199"/>
      <c r="X368" s="54"/>
      <c r="Y368" s="55">
        <f>'NRB 공장 내부 배치도'!I21</f>
        <v>0</v>
      </c>
      <c r="Z368" s="199"/>
      <c r="AC368" s="71"/>
      <c r="AG368" s="54"/>
      <c r="AH368" s="55">
        <f>'NRB 공장 내부 배치도'!L21</f>
        <v>0</v>
      </c>
      <c r="AI368" s="199"/>
      <c r="AK368" s="54"/>
      <c r="AL368" s="55">
        <f>'NRB 공장 내부 배치도'!M21</f>
        <v>0</v>
      </c>
      <c r="AM368" s="199"/>
      <c r="AO368" s="54"/>
      <c r="AP368" s="55">
        <f>'NRB 공장 내부 배치도'!N21</f>
        <v>0</v>
      </c>
      <c r="AQ368" s="199"/>
      <c r="AU368" s="54"/>
      <c r="AV368" s="55">
        <f>'NRB 공장 내부 배치도'!P21</f>
        <v>0</v>
      </c>
      <c r="AW368" s="199"/>
      <c r="AY368" s="54"/>
      <c r="AZ368" s="55">
        <f>'NRB 공장 내부 배치도'!Q21</f>
        <v>0</v>
      </c>
      <c r="BA368" s="201"/>
      <c r="BC368" s="54"/>
      <c r="BD368" s="55">
        <f>'NRB 공장 내부 배치도'!R21</f>
        <v>0</v>
      </c>
      <c r="BE368" s="199"/>
      <c r="BF368" s="204"/>
      <c r="BH368" s="71"/>
      <c r="BL368" s="54"/>
      <c r="BM368" s="55">
        <f>'NRB 공장 내부 배치도'!U21</f>
        <v>0</v>
      </c>
      <c r="BN368" s="56"/>
      <c r="BP368" s="54"/>
      <c r="BQ368" s="55">
        <f>'NRB 공장 내부 배치도'!V21</f>
        <v>0</v>
      </c>
      <c r="BR368" s="56"/>
      <c r="BV368" s="54"/>
      <c r="BW368" s="55">
        <f>'NRB 공장 내부 배치도'!X21</f>
        <v>0</v>
      </c>
      <c r="BX368" s="56"/>
      <c r="BZ368" s="54"/>
      <c r="CA368" s="55">
        <f>'NRB 공장 내부 배치도'!Y21</f>
        <v>0</v>
      </c>
      <c r="CB368" s="56"/>
      <c r="CF368" s="71"/>
      <c r="CG368" s="71"/>
      <c r="CH368" s="71"/>
    </row>
    <row r="369" spans="2:80">
      <c r="B369" s="34">
        <v>1</v>
      </c>
      <c r="C369" s="2"/>
      <c r="D369" s="205"/>
      <c r="F369" s="34">
        <v>1</v>
      </c>
      <c r="G369" s="2"/>
      <c r="H369" s="205"/>
      <c r="J369" s="34">
        <v>1</v>
      </c>
      <c r="K369" s="2"/>
      <c r="L369" s="205"/>
      <c r="P369" s="34">
        <v>1</v>
      </c>
      <c r="Q369" s="3"/>
      <c r="R369" s="77"/>
      <c r="T369" s="34">
        <v>1</v>
      </c>
      <c r="U369" s="3"/>
      <c r="V369" s="77"/>
      <c r="X369" s="34">
        <v>1</v>
      </c>
      <c r="Y369" s="3"/>
      <c r="Z369" s="77"/>
      <c r="AC369" s="5"/>
      <c r="AG369" s="34">
        <v>1</v>
      </c>
      <c r="AH369" s="3"/>
      <c r="AI369" s="77"/>
      <c r="AK369" s="34">
        <v>1</v>
      </c>
      <c r="AL369" s="3"/>
      <c r="AM369" s="77"/>
      <c r="AO369" s="34">
        <v>1</v>
      </c>
      <c r="AP369" s="3"/>
      <c r="AQ369" s="77"/>
      <c r="AU369" s="34">
        <v>1</v>
      </c>
      <c r="AV369" s="3"/>
      <c r="AW369" s="77"/>
      <c r="AY369" s="34">
        <v>1</v>
      </c>
      <c r="AZ369" s="3"/>
      <c r="BA369" s="205"/>
      <c r="BC369" s="34">
        <v>1</v>
      </c>
      <c r="BD369" s="3"/>
      <c r="BE369" s="77"/>
      <c r="BH369" s="5"/>
      <c r="BL369" s="36">
        <v>1</v>
      </c>
      <c r="BM369" s="3"/>
      <c r="BN369" s="77"/>
      <c r="BP369" s="36">
        <v>1</v>
      </c>
      <c r="BQ369" s="3"/>
      <c r="BR369" s="77"/>
      <c r="BV369" s="34">
        <v>1</v>
      </c>
      <c r="BW369" s="3"/>
      <c r="BX369" s="77"/>
      <c r="BZ369" s="36">
        <v>1</v>
      </c>
      <c r="CA369" s="3"/>
      <c r="CB369" s="77"/>
    </row>
    <row r="370" spans="2:80">
      <c r="B370" s="34">
        <v>2</v>
      </c>
      <c r="C370" s="2"/>
      <c r="D370" s="205"/>
      <c r="F370" s="34">
        <v>2</v>
      </c>
      <c r="G370" s="2"/>
      <c r="H370" s="205"/>
      <c r="J370" s="34">
        <v>2</v>
      </c>
      <c r="K370" s="2"/>
      <c r="L370" s="205"/>
      <c r="P370" s="34">
        <v>2</v>
      </c>
      <c r="Q370" s="3"/>
      <c r="R370" s="77"/>
      <c r="T370" s="34">
        <v>2</v>
      </c>
      <c r="U370" s="3"/>
      <c r="V370" s="77"/>
      <c r="X370" s="34">
        <v>2</v>
      </c>
      <c r="Y370" s="3"/>
      <c r="Z370" s="77"/>
      <c r="AC370" s="5"/>
      <c r="AG370" s="34">
        <v>2</v>
      </c>
      <c r="AH370" s="3"/>
      <c r="AI370" s="77"/>
      <c r="AK370" s="34">
        <v>2</v>
      </c>
      <c r="AL370" s="3"/>
      <c r="AM370" s="77"/>
      <c r="AO370" s="34">
        <v>2</v>
      </c>
      <c r="AP370" s="3"/>
      <c r="AQ370" s="77"/>
      <c r="AU370" s="34">
        <v>2</v>
      </c>
      <c r="AV370" s="3"/>
      <c r="AW370" s="77"/>
      <c r="AY370" s="34">
        <v>2</v>
      </c>
      <c r="AZ370" s="3"/>
      <c r="BA370" s="205"/>
      <c r="BC370" s="34">
        <v>2</v>
      </c>
      <c r="BD370" s="3"/>
      <c r="BE370" s="77"/>
      <c r="BH370" s="5"/>
      <c r="BL370" s="36">
        <v>2</v>
      </c>
      <c r="BM370" s="3"/>
      <c r="BN370" s="77"/>
      <c r="BP370" s="36">
        <v>2</v>
      </c>
      <c r="BQ370" s="3"/>
      <c r="BR370" s="77"/>
      <c r="BV370" s="34">
        <v>2</v>
      </c>
      <c r="BW370" s="3"/>
      <c r="BX370" s="77"/>
      <c r="BZ370" s="36">
        <v>2</v>
      </c>
      <c r="CA370" s="3"/>
      <c r="CB370" s="77"/>
    </row>
    <row r="371" spans="2:80">
      <c r="B371" s="34">
        <v>3</v>
      </c>
      <c r="C371" s="2"/>
      <c r="D371" s="205"/>
      <c r="F371" s="34">
        <v>3</v>
      </c>
      <c r="G371" s="2"/>
      <c r="H371" s="205"/>
      <c r="J371" s="34">
        <v>3</v>
      </c>
      <c r="K371" s="2"/>
      <c r="L371" s="205"/>
      <c r="P371" s="34">
        <v>3</v>
      </c>
      <c r="Q371" s="3"/>
      <c r="R371" s="77"/>
      <c r="T371" s="34">
        <v>3</v>
      </c>
      <c r="U371" s="3"/>
      <c r="V371" s="77"/>
      <c r="X371" s="34">
        <v>3</v>
      </c>
      <c r="Y371" s="3"/>
      <c r="Z371" s="77"/>
      <c r="AC371" s="5"/>
      <c r="AG371" s="34">
        <v>3</v>
      </c>
      <c r="AH371" s="3"/>
      <c r="AI371" s="77"/>
      <c r="AK371" s="34">
        <v>3</v>
      </c>
      <c r="AL371" s="3"/>
      <c r="AM371" s="77"/>
      <c r="AO371" s="34">
        <v>3</v>
      </c>
      <c r="AP371" s="3"/>
      <c r="AQ371" s="77"/>
      <c r="AU371" s="34">
        <v>3</v>
      </c>
      <c r="AV371" s="3"/>
      <c r="AW371" s="77"/>
      <c r="AY371" s="34">
        <v>3</v>
      </c>
      <c r="AZ371" s="3"/>
      <c r="BA371" s="77"/>
      <c r="BC371" s="34">
        <v>3</v>
      </c>
      <c r="BD371" s="3"/>
      <c r="BE371" s="77"/>
      <c r="BH371" s="5"/>
      <c r="BL371" s="36">
        <v>3</v>
      </c>
      <c r="BM371" s="3"/>
      <c r="BN371" s="77"/>
      <c r="BP371" s="36">
        <v>3</v>
      </c>
      <c r="BQ371" s="3"/>
      <c r="BR371" s="77"/>
      <c r="BV371" s="34">
        <v>3</v>
      </c>
      <c r="BW371" s="3"/>
      <c r="BX371" s="77"/>
      <c r="BZ371" s="36">
        <v>3</v>
      </c>
      <c r="CA371" s="3"/>
      <c r="CB371" s="77"/>
    </row>
    <row r="372" spans="2:80">
      <c r="B372" s="34">
        <v>4</v>
      </c>
      <c r="C372" s="2"/>
      <c r="D372" s="205"/>
      <c r="F372" s="34">
        <v>4</v>
      </c>
      <c r="G372" s="2"/>
      <c r="H372" s="205"/>
      <c r="J372" s="34">
        <v>4</v>
      </c>
      <c r="K372" s="2"/>
      <c r="L372" s="205"/>
      <c r="P372" s="34">
        <v>4</v>
      </c>
      <c r="Q372" s="3"/>
      <c r="R372" s="77"/>
      <c r="T372" s="34">
        <v>4</v>
      </c>
      <c r="U372" s="3"/>
      <c r="V372" s="77"/>
      <c r="X372" s="34">
        <v>4</v>
      </c>
      <c r="Y372" s="3"/>
      <c r="Z372" s="77"/>
      <c r="AC372" s="5"/>
      <c r="AG372" s="34">
        <v>4</v>
      </c>
      <c r="AH372" s="3"/>
      <c r="AI372" s="77"/>
      <c r="AK372" s="34">
        <v>4</v>
      </c>
      <c r="AL372" s="3"/>
      <c r="AM372" s="77"/>
      <c r="AO372" s="34">
        <v>4</v>
      </c>
      <c r="AP372" s="3"/>
      <c r="AQ372" s="77"/>
      <c r="AU372" s="34">
        <v>4</v>
      </c>
      <c r="AV372" s="3"/>
      <c r="AW372" s="77"/>
      <c r="AY372" s="34">
        <v>4</v>
      </c>
      <c r="AZ372" s="3"/>
      <c r="BA372" s="77"/>
      <c r="BC372" s="34">
        <v>4</v>
      </c>
      <c r="BD372" s="3"/>
      <c r="BE372" s="77"/>
      <c r="BH372" s="5"/>
      <c r="BL372" s="36">
        <v>4</v>
      </c>
      <c r="BM372" s="3"/>
      <c r="BN372" s="77"/>
      <c r="BP372" s="36">
        <v>4</v>
      </c>
      <c r="BQ372" s="3"/>
      <c r="BR372" s="77"/>
      <c r="BV372" s="34">
        <v>4</v>
      </c>
      <c r="BW372" s="3"/>
      <c r="BX372" s="77"/>
      <c r="BZ372" s="36">
        <v>4</v>
      </c>
      <c r="CA372" s="3"/>
      <c r="CB372" s="77"/>
    </row>
    <row r="373" spans="2:80">
      <c r="B373" s="34">
        <v>5</v>
      </c>
      <c r="C373" s="2"/>
      <c r="D373" s="205"/>
      <c r="F373" s="34">
        <v>5</v>
      </c>
      <c r="G373" s="2"/>
      <c r="H373" s="205"/>
      <c r="J373" s="34">
        <v>5</v>
      </c>
      <c r="K373" s="2"/>
      <c r="L373" s="205"/>
      <c r="P373" s="34">
        <v>5</v>
      </c>
      <c r="Q373" s="3"/>
      <c r="R373" s="77"/>
      <c r="T373" s="34">
        <v>5</v>
      </c>
      <c r="U373" s="3"/>
      <c r="V373" s="77"/>
      <c r="X373" s="34">
        <v>5</v>
      </c>
      <c r="Y373" s="3"/>
      <c r="Z373" s="77"/>
      <c r="AC373" s="5"/>
      <c r="AG373" s="34">
        <v>5</v>
      </c>
      <c r="AH373" s="3"/>
      <c r="AI373" s="77"/>
      <c r="AK373" s="34">
        <v>5</v>
      </c>
      <c r="AL373" s="3"/>
      <c r="AM373" s="77"/>
      <c r="AO373" s="34">
        <v>5</v>
      </c>
      <c r="AP373" s="3"/>
      <c r="AQ373" s="77"/>
      <c r="AU373" s="34">
        <v>5</v>
      </c>
      <c r="AV373" s="3"/>
      <c r="AW373" s="77"/>
      <c r="AY373" s="34">
        <v>5</v>
      </c>
      <c r="AZ373" s="3"/>
      <c r="BA373" s="77"/>
      <c r="BC373" s="34">
        <v>5</v>
      </c>
      <c r="BD373" s="3"/>
      <c r="BE373" s="77"/>
      <c r="BH373" s="5"/>
      <c r="BL373" s="36">
        <v>5</v>
      </c>
      <c r="BM373" s="3"/>
      <c r="BN373" s="77"/>
      <c r="BP373" s="36">
        <v>5</v>
      </c>
      <c r="BQ373" s="3"/>
      <c r="BR373" s="77"/>
      <c r="BV373" s="34">
        <v>5</v>
      </c>
      <c r="BW373" s="3"/>
      <c r="BX373" s="77"/>
      <c r="BZ373" s="36">
        <v>5</v>
      </c>
      <c r="CA373" s="3"/>
      <c r="CB373" s="77"/>
    </row>
    <row r="374" spans="2:80">
      <c r="B374" s="34">
        <v>6</v>
      </c>
      <c r="C374" s="2"/>
      <c r="D374" s="205"/>
      <c r="F374" s="34">
        <v>6</v>
      </c>
      <c r="G374" s="2"/>
      <c r="H374" s="205"/>
      <c r="J374" s="34">
        <v>6</v>
      </c>
      <c r="K374" s="2"/>
      <c r="L374" s="205"/>
      <c r="P374" s="34">
        <v>6</v>
      </c>
      <c r="Q374" s="3"/>
      <c r="R374" s="77"/>
      <c r="T374" s="34">
        <v>6</v>
      </c>
      <c r="U374" s="3"/>
      <c r="V374" s="77"/>
      <c r="X374" s="34">
        <v>6</v>
      </c>
      <c r="Y374" s="3"/>
      <c r="Z374" s="77"/>
      <c r="AC374" s="5"/>
      <c r="AG374" s="34">
        <v>6</v>
      </c>
      <c r="AH374" s="3"/>
      <c r="AI374" s="77"/>
      <c r="AK374" s="34">
        <v>6</v>
      </c>
      <c r="AL374" s="3"/>
      <c r="AM374" s="77"/>
      <c r="AO374" s="34">
        <v>6</v>
      </c>
      <c r="AP374" s="3"/>
      <c r="AQ374" s="77"/>
      <c r="AU374" s="34">
        <v>6</v>
      </c>
      <c r="AV374" s="3"/>
      <c r="AW374" s="77"/>
      <c r="AY374" s="34">
        <v>6</v>
      </c>
      <c r="AZ374" s="3"/>
      <c r="BA374" s="77"/>
      <c r="BC374" s="34">
        <v>6</v>
      </c>
      <c r="BD374" s="3"/>
      <c r="BE374" s="77"/>
      <c r="BH374" s="5"/>
      <c r="BL374" s="36">
        <v>6</v>
      </c>
      <c r="BM374" s="3"/>
      <c r="BN374" s="77"/>
      <c r="BP374" s="36">
        <v>6</v>
      </c>
      <c r="BQ374" s="3"/>
      <c r="BR374" s="77"/>
      <c r="BV374" s="34">
        <v>6</v>
      </c>
      <c r="BW374" s="3"/>
      <c r="BX374" s="77"/>
      <c r="BZ374" s="36">
        <v>6</v>
      </c>
      <c r="CA374" s="3"/>
      <c r="CB374" s="77"/>
    </row>
    <row r="375" spans="2:80">
      <c r="B375" s="34">
        <v>7</v>
      </c>
      <c r="C375" s="2"/>
      <c r="D375" s="205"/>
      <c r="F375" s="34">
        <v>7</v>
      </c>
      <c r="G375" s="2"/>
      <c r="H375" s="205"/>
      <c r="J375" s="34">
        <v>7</v>
      </c>
      <c r="K375" s="2"/>
      <c r="L375" s="205"/>
      <c r="P375" s="34">
        <v>7</v>
      </c>
      <c r="Q375" s="3"/>
      <c r="R375" s="77"/>
      <c r="T375" s="34">
        <v>7</v>
      </c>
      <c r="U375" s="3"/>
      <c r="V375" s="77"/>
      <c r="X375" s="34">
        <v>7</v>
      </c>
      <c r="Y375" s="3"/>
      <c r="Z375" s="77"/>
      <c r="AC375" s="5"/>
      <c r="AG375" s="34">
        <v>7</v>
      </c>
      <c r="AH375" s="3"/>
      <c r="AI375" s="77"/>
      <c r="AK375" s="34">
        <v>7</v>
      </c>
      <c r="AL375" s="3"/>
      <c r="AM375" s="77"/>
      <c r="AO375" s="34">
        <v>7</v>
      </c>
      <c r="AP375" s="3"/>
      <c r="AQ375" s="77"/>
      <c r="AU375" s="34">
        <v>7</v>
      </c>
      <c r="AV375" s="3"/>
      <c r="AW375" s="77"/>
      <c r="AY375" s="34">
        <v>7</v>
      </c>
      <c r="AZ375" s="3"/>
      <c r="BA375" s="77"/>
      <c r="BC375" s="34">
        <v>7</v>
      </c>
      <c r="BD375" s="3"/>
      <c r="BE375" s="77"/>
      <c r="BH375" s="5"/>
      <c r="BL375" s="36">
        <v>7</v>
      </c>
      <c r="BM375" s="3"/>
      <c r="BN375" s="77"/>
      <c r="BP375" s="36">
        <v>7</v>
      </c>
      <c r="BQ375" s="3"/>
      <c r="BR375" s="77"/>
      <c r="BV375" s="34">
        <v>7</v>
      </c>
      <c r="BW375" s="3"/>
      <c r="BX375" s="77"/>
      <c r="BZ375" s="36">
        <v>7</v>
      </c>
      <c r="CA375" s="3"/>
      <c r="CB375" s="77"/>
    </row>
    <row r="376" spans="2:80">
      <c r="B376" s="34">
        <v>8</v>
      </c>
      <c r="C376" s="2"/>
      <c r="D376" s="205"/>
      <c r="F376" s="34">
        <v>8</v>
      </c>
      <c r="G376" s="2"/>
      <c r="H376" s="205"/>
      <c r="J376" s="34">
        <v>8</v>
      </c>
      <c r="K376" s="2"/>
      <c r="L376" s="205"/>
      <c r="P376" s="34">
        <v>8</v>
      </c>
      <c r="Q376" s="3"/>
      <c r="R376" s="77"/>
      <c r="T376" s="34">
        <v>8</v>
      </c>
      <c r="U376" s="3"/>
      <c r="V376" s="77"/>
      <c r="X376" s="34">
        <v>8</v>
      </c>
      <c r="Y376" s="3"/>
      <c r="Z376" s="77"/>
      <c r="AC376" s="5"/>
      <c r="AG376" s="34">
        <v>8</v>
      </c>
      <c r="AH376" s="3"/>
      <c r="AI376" s="77"/>
      <c r="AK376" s="34">
        <v>8</v>
      </c>
      <c r="AL376" s="3"/>
      <c r="AM376" s="77"/>
      <c r="AO376" s="34">
        <v>8</v>
      </c>
      <c r="AP376" s="3"/>
      <c r="AQ376" s="77"/>
      <c r="AU376" s="34">
        <v>8</v>
      </c>
      <c r="AV376" s="3"/>
      <c r="AW376" s="77"/>
      <c r="AY376" s="34">
        <v>8</v>
      </c>
      <c r="AZ376" s="3"/>
      <c r="BA376" s="77"/>
      <c r="BC376" s="34">
        <v>8</v>
      </c>
      <c r="BD376" s="3"/>
      <c r="BE376" s="77"/>
      <c r="BH376" s="5"/>
      <c r="BL376" s="36">
        <v>8</v>
      </c>
      <c r="BM376" s="3"/>
      <c r="BN376" s="77"/>
      <c r="BP376" s="36">
        <v>8</v>
      </c>
      <c r="BQ376" s="3"/>
      <c r="BR376" s="77"/>
      <c r="BV376" s="34">
        <v>8</v>
      </c>
      <c r="BW376" s="3"/>
      <c r="BX376" s="77"/>
      <c r="BZ376" s="36">
        <v>8</v>
      </c>
      <c r="CA376" s="3"/>
      <c r="CB376" s="77"/>
    </row>
    <row r="377" spans="2:80">
      <c r="B377" s="34">
        <v>9</v>
      </c>
      <c r="C377" s="2"/>
      <c r="D377" s="205"/>
      <c r="F377" s="34">
        <v>9</v>
      </c>
      <c r="G377" s="2"/>
      <c r="H377" s="205"/>
      <c r="J377" s="34">
        <v>9</v>
      </c>
      <c r="K377" s="2"/>
      <c r="L377" s="205"/>
      <c r="P377" s="34">
        <v>9</v>
      </c>
      <c r="Q377" s="3"/>
      <c r="R377" s="77"/>
      <c r="T377" s="34">
        <v>9</v>
      </c>
      <c r="U377" s="3"/>
      <c r="V377" s="77"/>
      <c r="X377" s="34">
        <v>9</v>
      </c>
      <c r="Y377" s="3"/>
      <c r="Z377" s="77"/>
      <c r="AC377" s="5"/>
      <c r="AG377" s="34">
        <v>9</v>
      </c>
      <c r="AH377" s="3"/>
      <c r="AI377" s="77"/>
      <c r="AK377" s="34">
        <v>9</v>
      </c>
      <c r="AL377" s="3"/>
      <c r="AM377" s="77"/>
      <c r="AO377" s="34">
        <v>9</v>
      </c>
      <c r="AP377" s="3"/>
      <c r="AQ377" s="77"/>
      <c r="AU377" s="34">
        <v>9</v>
      </c>
      <c r="AV377" s="3"/>
      <c r="AW377" s="77"/>
      <c r="AY377" s="34">
        <v>9</v>
      </c>
      <c r="AZ377" s="3"/>
      <c r="BA377" s="77"/>
      <c r="BC377" s="34">
        <v>9</v>
      </c>
      <c r="BD377" s="3"/>
      <c r="BE377" s="77"/>
      <c r="BH377" s="5"/>
      <c r="BL377" s="36">
        <v>9</v>
      </c>
      <c r="BM377" s="3"/>
      <c r="BN377" s="77"/>
      <c r="BP377" s="36">
        <v>9</v>
      </c>
      <c r="BQ377" s="3"/>
      <c r="BR377" s="77"/>
      <c r="BV377" s="34">
        <v>9</v>
      </c>
      <c r="BW377" s="3"/>
      <c r="BX377" s="4"/>
      <c r="BZ377" s="36">
        <v>9</v>
      </c>
      <c r="CA377" s="3"/>
      <c r="CB377" s="4"/>
    </row>
    <row r="378" spans="2:80">
      <c r="B378" s="34">
        <v>10</v>
      </c>
      <c r="C378" s="2"/>
      <c r="D378" s="205"/>
      <c r="F378" s="34">
        <v>10</v>
      </c>
      <c r="G378" s="2"/>
      <c r="H378" s="205"/>
      <c r="J378" s="34">
        <v>10</v>
      </c>
      <c r="K378" s="2"/>
      <c r="L378" s="205"/>
      <c r="P378" s="34">
        <v>10</v>
      </c>
      <c r="Q378" s="3"/>
      <c r="R378" s="77"/>
      <c r="T378" s="34">
        <v>10</v>
      </c>
      <c r="U378" s="3"/>
      <c r="V378" s="77"/>
      <c r="X378" s="34">
        <v>10</v>
      </c>
      <c r="Y378" s="3"/>
      <c r="Z378" s="77"/>
      <c r="AC378" s="5"/>
      <c r="AG378" s="34">
        <v>10</v>
      </c>
      <c r="AH378" s="3"/>
      <c r="AI378" s="77"/>
      <c r="AK378" s="34">
        <v>10</v>
      </c>
      <c r="AL378" s="3"/>
      <c r="AM378" s="77"/>
      <c r="AO378" s="34">
        <v>10</v>
      </c>
      <c r="AP378" s="3"/>
      <c r="AQ378" s="77"/>
      <c r="AU378" s="34">
        <v>10</v>
      </c>
      <c r="AV378" s="3"/>
      <c r="AW378" s="77"/>
      <c r="AY378" s="34">
        <v>10</v>
      </c>
      <c r="AZ378" s="3"/>
      <c r="BA378" s="77"/>
      <c r="BC378" s="34">
        <v>10</v>
      </c>
      <c r="BD378" s="3"/>
      <c r="BE378" s="77"/>
      <c r="BH378" s="5"/>
      <c r="BL378" s="36">
        <v>10</v>
      </c>
      <c r="BM378" s="3"/>
      <c r="BN378" s="77"/>
      <c r="BP378" s="36">
        <v>10</v>
      </c>
      <c r="BQ378" s="3"/>
      <c r="BR378" s="77"/>
      <c r="BV378" s="34">
        <v>10</v>
      </c>
      <c r="BW378" s="3"/>
      <c r="BX378" s="77"/>
      <c r="BZ378" s="36">
        <v>10</v>
      </c>
      <c r="CA378" s="3"/>
      <c r="CB378" s="77"/>
    </row>
    <row r="379" spans="2:80">
      <c r="B379" s="34">
        <v>11</v>
      </c>
      <c r="C379" s="2"/>
      <c r="D379" s="205"/>
      <c r="F379" s="34">
        <v>11</v>
      </c>
      <c r="G379" s="2"/>
      <c r="H379" s="205"/>
      <c r="J379" s="34">
        <v>11</v>
      </c>
      <c r="K379" s="2"/>
      <c r="L379" s="205"/>
      <c r="P379" s="34">
        <v>11</v>
      </c>
      <c r="Q379" s="3"/>
      <c r="R379" s="77"/>
      <c r="T379" s="34">
        <v>11</v>
      </c>
      <c r="U379" s="3"/>
      <c r="V379" s="77"/>
      <c r="X379" s="34">
        <v>11</v>
      </c>
      <c r="Y379" s="3"/>
      <c r="Z379" s="77"/>
      <c r="AC379" s="5"/>
      <c r="AG379" s="34">
        <v>11</v>
      </c>
      <c r="AH379" s="3"/>
      <c r="AI379" s="77"/>
      <c r="AK379" s="34">
        <v>11</v>
      </c>
      <c r="AL379" s="3"/>
      <c r="AM379" s="77"/>
      <c r="AO379" s="34">
        <v>11</v>
      </c>
      <c r="AP379" s="3"/>
      <c r="AQ379" s="77"/>
      <c r="AU379" s="34">
        <v>11</v>
      </c>
      <c r="AV379" s="3"/>
      <c r="AW379" s="77"/>
      <c r="AY379" s="34">
        <v>11</v>
      </c>
      <c r="AZ379" s="3"/>
      <c r="BA379" s="77"/>
      <c r="BC379" s="34">
        <v>11</v>
      </c>
      <c r="BD379" s="3"/>
      <c r="BE379" s="77"/>
      <c r="BH379" s="5"/>
      <c r="BL379" s="36">
        <v>11</v>
      </c>
      <c r="BM379" s="3"/>
      <c r="BN379" s="4"/>
      <c r="BP379" s="36">
        <v>11</v>
      </c>
      <c r="BQ379" s="3"/>
      <c r="BR379" s="77"/>
      <c r="BV379" s="34">
        <v>11</v>
      </c>
      <c r="BW379" s="3"/>
      <c r="BX379" s="4"/>
      <c r="BZ379" s="36">
        <v>11</v>
      </c>
      <c r="CA379" s="3"/>
      <c r="CB379" s="4"/>
    </row>
    <row r="380" spans="2:80">
      <c r="B380" s="34">
        <v>12</v>
      </c>
      <c r="C380" s="2"/>
      <c r="D380" s="205"/>
      <c r="F380" s="34">
        <v>12</v>
      </c>
      <c r="G380" s="2"/>
      <c r="H380" s="205"/>
      <c r="J380" s="34">
        <v>12</v>
      </c>
      <c r="K380" s="2"/>
      <c r="L380" s="205"/>
      <c r="P380" s="34">
        <v>12</v>
      </c>
      <c r="Q380" s="3"/>
      <c r="R380" s="77"/>
      <c r="T380" s="34">
        <v>12</v>
      </c>
      <c r="U380" s="3"/>
      <c r="V380" s="77"/>
      <c r="X380" s="34">
        <v>12</v>
      </c>
      <c r="Y380" s="3"/>
      <c r="Z380" s="77"/>
      <c r="AC380" s="5"/>
      <c r="AG380" s="34">
        <v>12</v>
      </c>
      <c r="AH380" s="3"/>
      <c r="AI380" s="77"/>
      <c r="AK380" s="34">
        <v>12</v>
      </c>
      <c r="AL380" s="3"/>
      <c r="AM380" s="77"/>
      <c r="AO380" s="34">
        <v>12</v>
      </c>
      <c r="AP380" s="3"/>
      <c r="AQ380" s="77"/>
      <c r="AU380" s="34">
        <v>12</v>
      </c>
      <c r="AV380" s="3"/>
      <c r="AW380" s="77"/>
      <c r="AY380" s="34">
        <v>12</v>
      </c>
      <c r="AZ380" s="3"/>
      <c r="BA380" s="77"/>
      <c r="BC380" s="34">
        <v>12</v>
      </c>
      <c r="BD380" s="3"/>
      <c r="BE380" s="77"/>
      <c r="BH380" s="5"/>
      <c r="BL380" s="36">
        <v>12</v>
      </c>
      <c r="BM380" s="3"/>
      <c r="BN380" s="77"/>
      <c r="BP380" s="36">
        <v>12</v>
      </c>
      <c r="BQ380" s="3"/>
      <c r="BR380" s="77"/>
      <c r="BV380" s="34">
        <v>12</v>
      </c>
      <c r="BW380" s="3"/>
      <c r="BX380" s="77"/>
      <c r="BZ380" s="36">
        <v>12</v>
      </c>
      <c r="CA380" s="3"/>
      <c r="CB380" s="77"/>
    </row>
    <row r="381" spans="2:80">
      <c r="B381" s="34">
        <v>13</v>
      </c>
      <c r="C381" s="2"/>
      <c r="D381" s="205"/>
      <c r="F381" s="34">
        <v>13</v>
      </c>
      <c r="G381" s="2"/>
      <c r="H381" s="205"/>
      <c r="J381" s="34">
        <v>13</v>
      </c>
      <c r="K381" s="2"/>
      <c r="L381" s="205"/>
      <c r="P381" s="34">
        <v>13</v>
      </c>
      <c r="Q381" s="3"/>
      <c r="R381" s="77"/>
      <c r="T381" s="34">
        <v>13</v>
      </c>
      <c r="U381" s="3"/>
      <c r="V381" s="77"/>
      <c r="X381" s="34">
        <v>13</v>
      </c>
      <c r="Y381" s="3"/>
      <c r="Z381" s="77"/>
      <c r="AC381" s="5"/>
      <c r="AG381" s="34">
        <v>13</v>
      </c>
      <c r="AH381" s="3"/>
      <c r="AI381" s="77"/>
      <c r="AK381" s="34">
        <v>13</v>
      </c>
      <c r="AL381" s="3"/>
      <c r="AM381" s="77"/>
      <c r="AO381" s="34">
        <v>13</v>
      </c>
      <c r="AP381" s="3"/>
      <c r="AQ381" s="77"/>
      <c r="AU381" s="34">
        <v>13</v>
      </c>
      <c r="AV381" s="3"/>
      <c r="AW381" s="77"/>
      <c r="AY381" s="34">
        <v>13</v>
      </c>
      <c r="AZ381" s="3"/>
      <c r="BA381" s="77"/>
      <c r="BC381" s="34">
        <v>13</v>
      </c>
      <c r="BD381" s="3"/>
      <c r="BE381" s="77"/>
      <c r="BH381" s="5"/>
      <c r="BL381" s="36">
        <v>13</v>
      </c>
      <c r="BM381" s="3"/>
      <c r="BN381" s="77"/>
      <c r="BP381" s="36">
        <v>13</v>
      </c>
      <c r="BQ381" s="3"/>
      <c r="BR381" s="77"/>
      <c r="BV381" s="34">
        <v>13</v>
      </c>
      <c r="BW381" s="3"/>
      <c r="BX381" s="4"/>
      <c r="BZ381" s="36">
        <v>13</v>
      </c>
      <c r="CA381" s="3"/>
      <c r="CB381" s="4"/>
    </row>
    <row r="382" spans="2:80">
      <c r="B382" s="34">
        <v>14</v>
      </c>
      <c r="C382" s="2"/>
      <c r="D382" s="205"/>
      <c r="F382" s="34">
        <v>14</v>
      </c>
      <c r="G382" s="2"/>
      <c r="H382" s="205"/>
      <c r="J382" s="34">
        <v>14</v>
      </c>
      <c r="K382" s="2"/>
      <c r="L382" s="205"/>
      <c r="P382" s="34">
        <v>14</v>
      </c>
      <c r="Q382" s="3"/>
      <c r="R382" s="77"/>
      <c r="T382" s="34">
        <v>14</v>
      </c>
      <c r="U382" s="3"/>
      <c r="V382" s="77"/>
      <c r="X382" s="34">
        <v>14</v>
      </c>
      <c r="Y382" s="3"/>
      <c r="Z382" s="77"/>
      <c r="AC382" s="5"/>
      <c r="AG382" s="34">
        <v>14</v>
      </c>
      <c r="AH382" s="3"/>
      <c r="AI382" s="77"/>
      <c r="AK382" s="34">
        <v>14</v>
      </c>
      <c r="AL382" s="3"/>
      <c r="AM382" s="77"/>
      <c r="AO382" s="34">
        <v>14</v>
      </c>
      <c r="AP382" s="3"/>
      <c r="AQ382" s="77"/>
      <c r="AU382" s="34">
        <v>14</v>
      </c>
      <c r="AV382" s="3"/>
      <c r="AW382" s="77"/>
      <c r="AY382" s="34">
        <v>14</v>
      </c>
      <c r="AZ382" s="3"/>
      <c r="BA382" s="77"/>
      <c r="BC382" s="34">
        <v>14</v>
      </c>
      <c r="BD382" s="3"/>
      <c r="BE382" s="77"/>
      <c r="BH382" s="5"/>
      <c r="BL382" s="36">
        <v>14</v>
      </c>
      <c r="BM382" s="3"/>
      <c r="BN382" s="77"/>
      <c r="BP382" s="36">
        <v>14</v>
      </c>
      <c r="BQ382" s="3"/>
      <c r="BR382" s="77"/>
      <c r="BV382" s="34">
        <v>14</v>
      </c>
      <c r="BW382" s="3"/>
      <c r="BX382" s="4"/>
      <c r="BZ382" s="36">
        <v>14</v>
      </c>
      <c r="CA382" s="3"/>
      <c r="CB382" s="4"/>
    </row>
    <row r="383" spans="2:80">
      <c r="B383" s="34">
        <v>15</v>
      </c>
      <c r="C383" s="3"/>
      <c r="D383" s="77"/>
      <c r="F383" s="34">
        <v>15</v>
      </c>
      <c r="G383" s="3"/>
      <c r="H383" s="77"/>
      <c r="J383" s="34">
        <v>15</v>
      </c>
      <c r="K383" s="3"/>
      <c r="L383" s="77"/>
      <c r="P383" s="34">
        <v>15</v>
      </c>
      <c r="Q383" s="3"/>
      <c r="R383" s="77"/>
      <c r="T383" s="34">
        <v>15</v>
      </c>
      <c r="U383" s="3"/>
      <c r="V383" s="77"/>
      <c r="X383" s="34">
        <v>15</v>
      </c>
      <c r="Y383" s="3"/>
      <c r="Z383" s="77"/>
      <c r="AC383" s="5"/>
      <c r="AG383" s="34">
        <v>15</v>
      </c>
      <c r="AH383" s="3"/>
      <c r="AI383" s="77"/>
      <c r="AK383" s="34">
        <v>15</v>
      </c>
      <c r="AL383" s="3"/>
      <c r="AM383" s="77"/>
      <c r="AO383" s="34">
        <v>15</v>
      </c>
      <c r="AP383" s="3"/>
      <c r="AQ383" s="77"/>
      <c r="AU383" s="34">
        <v>15</v>
      </c>
      <c r="AV383" s="3"/>
      <c r="AW383" s="77"/>
      <c r="AY383" s="34">
        <v>15</v>
      </c>
      <c r="AZ383" s="3"/>
      <c r="BA383" s="77"/>
      <c r="BC383" s="34">
        <v>15</v>
      </c>
      <c r="BD383" s="3"/>
      <c r="BE383" s="77"/>
      <c r="BH383" s="5"/>
      <c r="BL383" s="36">
        <v>15</v>
      </c>
      <c r="BM383" s="3"/>
      <c r="BN383" s="4"/>
      <c r="BP383" s="36">
        <v>15</v>
      </c>
      <c r="BQ383" s="3"/>
      <c r="BR383" s="4"/>
      <c r="BV383" s="34">
        <v>15</v>
      </c>
      <c r="BW383" s="3"/>
      <c r="BX383" s="4"/>
      <c r="BZ383" s="36">
        <v>15</v>
      </c>
      <c r="CA383" s="3"/>
      <c r="CB383" s="4"/>
    </row>
    <row r="384" spans="2:80">
      <c r="B384" s="34">
        <v>16</v>
      </c>
      <c r="C384" s="3"/>
      <c r="D384" s="77"/>
      <c r="F384" s="34">
        <v>16</v>
      </c>
      <c r="G384" s="3"/>
      <c r="H384" s="77"/>
      <c r="J384" s="34">
        <v>16</v>
      </c>
      <c r="K384" s="3"/>
      <c r="L384" s="77"/>
      <c r="P384" s="34">
        <v>16</v>
      </c>
      <c r="Q384" s="3"/>
      <c r="R384" s="77"/>
      <c r="T384" s="34">
        <v>16</v>
      </c>
      <c r="U384" s="3"/>
      <c r="V384" s="77"/>
      <c r="X384" s="34">
        <v>16</v>
      </c>
      <c r="Y384" s="3"/>
      <c r="Z384" s="77"/>
      <c r="AC384" s="5"/>
      <c r="AG384" s="34">
        <v>16</v>
      </c>
      <c r="AH384" s="3"/>
      <c r="AI384" s="77"/>
      <c r="AK384" s="34">
        <v>16</v>
      </c>
      <c r="AL384" s="3"/>
      <c r="AM384" s="77"/>
      <c r="AO384" s="34">
        <v>16</v>
      </c>
      <c r="AP384" s="3"/>
      <c r="AQ384" s="77"/>
      <c r="AU384" s="34">
        <v>16</v>
      </c>
      <c r="AV384" s="3"/>
      <c r="AW384" s="77"/>
      <c r="AY384" s="34">
        <v>16</v>
      </c>
      <c r="AZ384" s="3"/>
      <c r="BA384" s="77"/>
      <c r="BC384" s="34">
        <v>16</v>
      </c>
      <c r="BD384" s="3"/>
      <c r="BE384" s="77"/>
      <c r="BH384" s="5"/>
      <c r="BL384" s="36">
        <v>16</v>
      </c>
      <c r="BM384" s="3"/>
      <c r="BN384" s="77"/>
      <c r="BP384" s="36">
        <v>16</v>
      </c>
      <c r="BQ384" s="3"/>
      <c r="BR384" s="4"/>
      <c r="BV384" s="34">
        <v>16</v>
      </c>
      <c r="BW384" s="3"/>
      <c r="BX384" s="4"/>
      <c r="BZ384" s="36">
        <v>16</v>
      </c>
      <c r="CA384" s="3"/>
      <c r="CB384" s="4"/>
    </row>
    <row r="385" spans="2:86">
      <c r="B385" s="34">
        <v>17</v>
      </c>
      <c r="C385" s="3"/>
      <c r="D385" s="77"/>
      <c r="F385" s="34">
        <v>17</v>
      </c>
      <c r="G385" s="3"/>
      <c r="H385" s="77"/>
      <c r="J385" s="34">
        <v>17</v>
      </c>
      <c r="K385" s="3"/>
      <c r="L385" s="77"/>
      <c r="P385" s="34">
        <v>17</v>
      </c>
      <c r="Q385" s="3"/>
      <c r="R385" s="77"/>
      <c r="T385" s="34">
        <v>17</v>
      </c>
      <c r="U385" s="3"/>
      <c r="V385" s="77"/>
      <c r="X385" s="34">
        <v>17</v>
      </c>
      <c r="Y385" s="3"/>
      <c r="Z385" s="77"/>
      <c r="AC385" s="5"/>
      <c r="AG385" s="34">
        <v>17</v>
      </c>
      <c r="AH385" s="3"/>
      <c r="AI385" s="77"/>
      <c r="AK385" s="34">
        <v>17</v>
      </c>
      <c r="AL385" s="3"/>
      <c r="AM385" s="77"/>
      <c r="AO385" s="34">
        <v>17</v>
      </c>
      <c r="AP385" s="3"/>
      <c r="AQ385" s="77"/>
      <c r="AU385" s="34">
        <v>17</v>
      </c>
      <c r="AV385" s="3"/>
      <c r="AW385" s="77"/>
      <c r="AY385" s="34">
        <v>17</v>
      </c>
      <c r="AZ385" s="3"/>
      <c r="BA385" s="77"/>
      <c r="BC385" s="34">
        <v>17</v>
      </c>
      <c r="BD385" s="3"/>
      <c r="BE385" s="77"/>
      <c r="BH385" s="5"/>
      <c r="BL385" s="36">
        <v>17</v>
      </c>
      <c r="BM385" s="3"/>
      <c r="BN385" s="77"/>
      <c r="BP385" s="36">
        <v>17</v>
      </c>
      <c r="BQ385" s="3"/>
      <c r="BR385" s="77"/>
      <c r="BV385" s="34">
        <v>17</v>
      </c>
      <c r="BW385" s="3"/>
      <c r="BX385" s="4"/>
      <c r="BZ385" s="36">
        <v>17</v>
      </c>
      <c r="CA385" s="3"/>
      <c r="CB385" s="4"/>
    </row>
    <row r="386" spans="2:86">
      <c r="B386" s="34">
        <v>18</v>
      </c>
      <c r="C386" s="3"/>
      <c r="D386" s="77"/>
      <c r="F386" s="34">
        <v>18</v>
      </c>
      <c r="G386" s="3"/>
      <c r="H386" s="77"/>
      <c r="J386" s="34">
        <v>18</v>
      </c>
      <c r="K386" s="3"/>
      <c r="L386" s="77"/>
      <c r="P386" s="34">
        <v>18</v>
      </c>
      <c r="Q386" s="3"/>
      <c r="R386" s="77"/>
      <c r="T386" s="34">
        <v>18</v>
      </c>
      <c r="U386" s="3"/>
      <c r="V386" s="77"/>
      <c r="X386" s="34">
        <v>18</v>
      </c>
      <c r="Y386" s="3"/>
      <c r="Z386" s="77"/>
      <c r="AC386" s="5"/>
      <c r="AG386" s="34">
        <v>18</v>
      </c>
      <c r="AH386" s="3"/>
      <c r="AI386" s="77"/>
      <c r="AK386" s="34">
        <v>18</v>
      </c>
      <c r="AL386" s="3"/>
      <c r="AM386" s="77"/>
      <c r="AO386" s="34">
        <v>18</v>
      </c>
      <c r="AP386" s="3"/>
      <c r="AQ386" s="77"/>
      <c r="AU386" s="34">
        <v>18</v>
      </c>
      <c r="AV386" s="3"/>
      <c r="AW386" s="77"/>
      <c r="AY386" s="34">
        <v>18</v>
      </c>
      <c r="AZ386" s="3"/>
      <c r="BA386" s="77"/>
      <c r="BC386" s="34">
        <v>18</v>
      </c>
      <c r="BD386" s="3"/>
      <c r="BE386" s="77"/>
      <c r="BH386" s="5"/>
      <c r="BL386" s="36">
        <v>18</v>
      </c>
      <c r="BM386" s="3"/>
      <c r="BN386" s="77"/>
      <c r="BP386" s="36">
        <v>18</v>
      </c>
      <c r="BQ386" s="3"/>
      <c r="BR386" s="77"/>
      <c r="BV386" s="34">
        <v>18</v>
      </c>
      <c r="BW386" s="3"/>
      <c r="BX386" s="4"/>
      <c r="BZ386" s="36">
        <v>18</v>
      </c>
      <c r="CA386" s="3"/>
      <c r="CB386" s="4"/>
    </row>
    <row r="387" spans="2:86">
      <c r="B387" s="34">
        <v>19</v>
      </c>
      <c r="C387" s="3"/>
      <c r="D387" s="77"/>
      <c r="F387" s="34">
        <v>19</v>
      </c>
      <c r="G387" s="3"/>
      <c r="H387" s="77"/>
      <c r="J387" s="34">
        <v>19</v>
      </c>
      <c r="K387" s="3"/>
      <c r="L387" s="77"/>
      <c r="P387" s="34">
        <v>19</v>
      </c>
      <c r="Q387" s="3"/>
      <c r="R387" s="77"/>
      <c r="T387" s="34">
        <v>19</v>
      </c>
      <c r="U387" s="3"/>
      <c r="V387" s="77"/>
      <c r="X387" s="34">
        <v>19</v>
      </c>
      <c r="Y387" s="3"/>
      <c r="Z387" s="77"/>
      <c r="AC387" s="5"/>
      <c r="AG387" s="34">
        <v>19</v>
      </c>
      <c r="AH387" s="3"/>
      <c r="AI387" s="77"/>
      <c r="AK387" s="34">
        <v>19</v>
      </c>
      <c r="AL387" s="3"/>
      <c r="AM387" s="77"/>
      <c r="AO387" s="34">
        <v>19</v>
      </c>
      <c r="AP387" s="3"/>
      <c r="AQ387" s="77"/>
      <c r="AU387" s="34">
        <v>19</v>
      </c>
      <c r="AV387" s="3"/>
      <c r="AW387" s="77"/>
      <c r="AY387" s="34">
        <v>19</v>
      </c>
      <c r="AZ387" s="3"/>
      <c r="BA387" s="77"/>
      <c r="BC387" s="34">
        <v>19</v>
      </c>
      <c r="BD387" s="3"/>
      <c r="BE387" s="77"/>
      <c r="BH387" s="5"/>
      <c r="BL387" s="36">
        <v>19</v>
      </c>
      <c r="BM387" s="3"/>
      <c r="BN387" s="4"/>
      <c r="BP387" s="36">
        <v>19</v>
      </c>
      <c r="BQ387" s="3"/>
      <c r="BR387" s="4"/>
      <c r="BV387" s="34">
        <v>19</v>
      </c>
      <c r="BW387" s="3"/>
      <c r="BX387" s="4"/>
      <c r="BZ387" s="36">
        <v>19</v>
      </c>
      <c r="CA387" s="3"/>
      <c r="CB387" s="4"/>
    </row>
    <row r="388" spans="2:86">
      <c r="B388" s="34">
        <v>20</v>
      </c>
      <c r="C388" s="3"/>
      <c r="D388" s="77"/>
      <c r="F388" s="34">
        <v>20</v>
      </c>
      <c r="G388" s="3"/>
      <c r="H388" s="77"/>
      <c r="J388" s="34">
        <v>20</v>
      </c>
      <c r="K388" s="3"/>
      <c r="L388" s="77"/>
      <c r="P388" s="34">
        <v>20</v>
      </c>
      <c r="Q388" s="3"/>
      <c r="R388" s="77"/>
      <c r="T388" s="34">
        <v>20</v>
      </c>
      <c r="U388" s="3"/>
      <c r="V388" s="77"/>
      <c r="X388" s="34">
        <v>20</v>
      </c>
      <c r="Y388" s="3"/>
      <c r="Z388" s="77"/>
      <c r="AC388" s="5"/>
      <c r="AG388" s="34">
        <v>20</v>
      </c>
      <c r="AH388" s="3"/>
      <c r="AI388" s="77"/>
      <c r="AK388" s="34">
        <v>20</v>
      </c>
      <c r="AL388" s="3"/>
      <c r="AM388" s="77"/>
      <c r="AO388" s="34">
        <v>20</v>
      </c>
      <c r="AP388" s="3"/>
      <c r="AQ388" s="77"/>
      <c r="AU388" s="34">
        <v>20</v>
      </c>
      <c r="AV388" s="3"/>
      <c r="AW388" s="77"/>
      <c r="AY388" s="34">
        <v>20</v>
      </c>
      <c r="AZ388" s="3"/>
      <c r="BA388" s="77"/>
      <c r="BC388" s="34">
        <v>20</v>
      </c>
      <c r="BD388" s="3"/>
      <c r="BE388" s="77"/>
      <c r="BH388" s="5"/>
      <c r="BL388" s="36">
        <v>20</v>
      </c>
      <c r="BM388" s="3"/>
      <c r="BN388" s="4"/>
      <c r="BP388" s="36">
        <v>20</v>
      </c>
      <c r="BQ388" s="3"/>
      <c r="BR388" s="4"/>
      <c r="BV388" s="34">
        <v>20</v>
      </c>
      <c r="BW388" s="3"/>
      <c r="BX388" s="4"/>
      <c r="BZ388" s="36">
        <v>20</v>
      </c>
      <c r="CA388" s="3"/>
      <c r="CB388" s="4"/>
    </row>
    <row r="389" spans="2:86">
      <c r="B389" s="34">
        <v>21</v>
      </c>
      <c r="C389" s="3"/>
      <c r="D389" s="77"/>
      <c r="F389" s="34">
        <v>21</v>
      </c>
      <c r="G389" s="3"/>
      <c r="H389" s="77"/>
      <c r="J389" s="34">
        <v>21</v>
      </c>
      <c r="K389" s="3"/>
      <c r="L389" s="77"/>
      <c r="P389" s="34">
        <v>21</v>
      </c>
      <c r="Q389" s="3"/>
      <c r="R389" s="77"/>
      <c r="T389" s="34">
        <v>21</v>
      </c>
      <c r="U389" s="3"/>
      <c r="V389" s="77"/>
      <c r="X389" s="34">
        <v>21</v>
      </c>
      <c r="Y389" s="3"/>
      <c r="Z389" s="77"/>
      <c r="AC389" s="5"/>
      <c r="AG389" s="34">
        <v>21</v>
      </c>
      <c r="AH389" s="3"/>
      <c r="AI389" s="77"/>
      <c r="AK389" s="34">
        <v>21</v>
      </c>
      <c r="AL389" s="3"/>
      <c r="AM389" s="77"/>
      <c r="AO389" s="34">
        <v>21</v>
      </c>
      <c r="AP389" s="3"/>
      <c r="AQ389" s="77"/>
      <c r="AU389" s="34">
        <v>21</v>
      </c>
      <c r="AV389" s="3"/>
      <c r="AW389" s="77"/>
      <c r="AY389" s="34">
        <v>21</v>
      </c>
      <c r="AZ389" s="3"/>
      <c r="BA389" s="77"/>
      <c r="BC389" s="34">
        <v>21</v>
      </c>
      <c r="BD389" s="3"/>
      <c r="BE389" s="77"/>
      <c r="BH389" s="5"/>
      <c r="BL389" s="36">
        <v>21</v>
      </c>
      <c r="BM389" s="3"/>
      <c r="BN389" s="4"/>
      <c r="BP389" s="36">
        <v>21</v>
      </c>
      <c r="BQ389" s="3"/>
      <c r="BR389" s="4"/>
      <c r="BV389" s="34">
        <v>21</v>
      </c>
      <c r="BW389" s="3"/>
      <c r="BX389" s="4"/>
      <c r="BZ389" s="36">
        <v>21</v>
      </c>
      <c r="CA389" s="3"/>
      <c r="CB389" s="4"/>
    </row>
    <row r="390" spans="2:86">
      <c r="B390" s="34">
        <v>22</v>
      </c>
      <c r="C390" s="3"/>
      <c r="D390" s="77"/>
      <c r="F390" s="34">
        <v>22</v>
      </c>
      <c r="G390" s="3"/>
      <c r="H390" s="77"/>
      <c r="J390" s="34">
        <v>22</v>
      </c>
      <c r="K390" s="3"/>
      <c r="L390" s="77"/>
      <c r="P390" s="34">
        <v>22</v>
      </c>
      <c r="Q390" s="3"/>
      <c r="R390" s="77"/>
      <c r="T390" s="34">
        <v>22</v>
      </c>
      <c r="U390" s="3"/>
      <c r="V390" s="77"/>
      <c r="X390" s="34">
        <v>22</v>
      </c>
      <c r="Y390" s="3"/>
      <c r="Z390" s="77"/>
      <c r="AC390" s="5"/>
      <c r="AG390" s="34">
        <v>22</v>
      </c>
      <c r="AH390" s="3"/>
      <c r="AI390" s="77"/>
      <c r="AK390" s="34">
        <v>22</v>
      </c>
      <c r="AL390" s="3"/>
      <c r="AM390" s="77"/>
      <c r="AO390" s="34">
        <v>22</v>
      </c>
      <c r="AP390" s="3"/>
      <c r="AQ390" s="77"/>
      <c r="AU390" s="34">
        <v>22</v>
      </c>
      <c r="AV390" s="3"/>
      <c r="AW390" s="77"/>
      <c r="AY390" s="34">
        <v>22</v>
      </c>
      <c r="AZ390" s="3"/>
      <c r="BA390" s="77"/>
      <c r="BC390" s="34">
        <v>22</v>
      </c>
      <c r="BD390" s="3"/>
      <c r="BE390" s="77"/>
      <c r="BH390" s="5"/>
      <c r="BL390" s="36">
        <v>22</v>
      </c>
      <c r="BM390" s="3"/>
      <c r="BN390" s="4"/>
      <c r="BP390" s="36">
        <v>22</v>
      </c>
      <c r="BQ390" s="3"/>
      <c r="BR390" s="4"/>
      <c r="BV390" s="34">
        <v>22</v>
      </c>
      <c r="BW390" s="3"/>
      <c r="BX390" s="4"/>
      <c r="BZ390" s="36">
        <v>22</v>
      </c>
      <c r="CA390" s="3"/>
      <c r="CB390" s="4"/>
    </row>
    <row r="391" spans="2:86">
      <c r="B391" s="34">
        <v>23</v>
      </c>
      <c r="C391" s="3"/>
      <c r="D391" s="77"/>
      <c r="F391" s="34">
        <v>23</v>
      </c>
      <c r="G391" s="3"/>
      <c r="H391" s="77"/>
      <c r="J391" s="34">
        <v>23</v>
      </c>
      <c r="K391" s="3"/>
      <c r="L391" s="77"/>
      <c r="P391" s="34">
        <v>23</v>
      </c>
      <c r="Q391" s="3"/>
      <c r="R391" s="77"/>
      <c r="T391" s="34">
        <v>23</v>
      </c>
      <c r="U391" s="3"/>
      <c r="V391" s="77"/>
      <c r="X391" s="34">
        <v>23</v>
      </c>
      <c r="Y391" s="3"/>
      <c r="Z391" s="77"/>
      <c r="AC391" s="5"/>
      <c r="AG391" s="34">
        <v>23</v>
      </c>
      <c r="AH391" s="3"/>
      <c r="AI391" s="77"/>
      <c r="AK391" s="34">
        <v>23</v>
      </c>
      <c r="AL391" s="3"/>
      <c r="AM391" s="77"/>
      <c r="AO391" s="34">
        <v>23</v>
      </c>
      <c r="AP391" s="3"/>
      <c r="AQ391" s="77"/>
      <c r="AU391" s="34">
        <v>23</v>
      </c>
      <c r="AV391" s="3"/>
      <c r="AW391" s="77"/>
      <c r="AY391" s="34">
        <v>23</v>
      </c>
      <c r="AZ391" s="3"/>
      <c r="BA391" s="77"/>
      <c r="BC391" s="34">
        <v>23</v>
      </c>
      <c r="BD391" s="3"/>
      <c r="BE391" s="77"/>
      <c r="BH391" s="5"/>
      <c r="BL391" s="36">
        <v>23</v>
      </c>
      <c r="BM391" s="3"/>
      <c r="BN391" s="4"/>
      <c r="BP391" s="36">
        <v>23</v>
      </c>
      <c r="BQ391" s="3"/>
      <c r="BR391" s="4"/>
      <c r="BV391" s="34">
        <v>23</v>
      </c>
      <c r="BW391" s="3"/>
      <c r="BX391" s="4"/>
      <c r="BZ391" s="36">
        <v>23</v>
      </c>
      <c r="CA391" s="3"/>
      <c r="CB391" s="4"/>
    </row>
    <row r="392" spans="2:86">
      <c r="AC392" s="5"/>
      <c r="AU392"/>
      <c r="BC392"/>
      <c r="BH392" s="5"/>
    </row>
    <row r="393" spans="2:86">
      <c r="AC393" s="5"/>
      <c r="AU393"/>
      <c r="BC393"/>
      <c r="BH393" s="5"/>
    </row>
    <row r="394" spans="2:86">
      <c r="AC394" s="5"/>
      <c r="AU394"/>
      <c r="BC394"/>
      <c r="BH394" s="5"/>
    </row>
    <row r="395" spans="2:86" s="1" customFormat="1" ht="20.25">
      <c r="B395" s="54"/>
      <c r="C395" s="55">
        <f>'NRB 공장 내부 배치도'!C22</f>
        <v>0</v>
      </c>
      <c r="D395" s="199"/>
      <c r="E395" s="10"/>
      <c r="F395" s="54"/>
      <c r="G395" s="55">
        <f>'NRB 공장 내부 배치도'!D22</f>
        <v>0</v>
      </c>
      <c r="H395" s="199"/>
      <c r="J395" s="54"/>
      <c r="K395" s="55">
        <f>'NRB 공장 내부 배치도'!E22</f>
        <v>0</v>
      </c>
      <c r="L395" s="199"/>
      <c r="P395" s="54"/>
      <c r="Q395" s="55">
        <f>'NRB 공장 내부 배치도'!G22</f>
        <v>0</v>
      </c>
      <c r="R395" s="199"/>
      <c r="T395" s="54"/>
      <c r="U395" s="55">
        <f>'NRB 공장 내부 배치도'!H22</f>
        <v>0</v>
      </c>
      <c r="V395" s="199"/>
      <c r="X395" s="54"/>
      <c r="Y395" s="55">
        <f>'NRB 공장 내부 배치도'!I22</f>
        <v>0</v>
      </c>
      <c r="Z395" s="199"/>
      <c r="AC395" s="71"/>
      <c r="AG395" s="54"/>
      <c r="AH395" s="55">
        <f>'NRB 공장 내부 배치도'!L22</f>
        <v>0</v>
      </c>
      <c r="AI395" s="199"/>
      <c r="AK395" s="54"/>
      <c r="AL395" s="55">
        <f>'NRB 공장 내부 배치도'!M22</f>
        <v>0</v>
      </c>
      <c r="AM395" s="199"/>
      <c r="AO395" s="54"/>
      <c r="AP395" s="55">
        <f>'NRB 공장 내부 배치도'!N22</f>
        <v>0</v>
      </c>
      <c r="AQ395" s="199"/>
      <c r="AU395" s="54"/>
      <c r="AV395" s="55">
        <f>'NRB 공장 내부 배치도'!P22</f>
        <v>0</v>
      </c>
      <c r="AW395" s="199"/>
      <c r="AY395" s="54"/>
      <c r="AZ395" s="55">
        <f>'NRB 공장 내부 배치도'!Q22</f>
        <v>0</v>
      </c>
      <c r="BA395" s="199"/>
      <c r="BC395" s="54"/>
      <c r="BD395" s="55">
        <f>'NRB 공장 내부 배치도'!R22</f>
        <v>0</v>
      </c>
      <c r="BE395" s="199"/>
      <c r="BF395" s="204"/>
      <c r="BH395" s="71"/>
      <c r="BL395" s="54"/>
      <c r="BM395" s="55">
        <f>'NRB 공장 내부 배치도'!U22</f>
        <v>0</v>
      </c>
      <c r="BN395" s="56"/>
      <c r="BP395" s="54"/>
      <c r="BQ395" s="55">
        <f>'NRB 공장 내부 배치도'!V22</f>
        <v>0</v>
      </c>
      <c r="BR395" s="56"/>
      <c r="BV395" s="54"/>
      <c r="BW395" s="55">
        <f>'NRB 공장 내부 배치도'!X22</f>
        <v>0</v>
      </c>
      <c r="BX395" s="56"/>
      <c r="BZ395" s="54"/>
      <c r="CA395" s="55">
        <f>'NRB 공장 내부 배치도'!Y22</f>
        <v>0</v>
      </c>
      <c r="CB395" s="56"/>
      <c r="CF395" s="71"/>
      <c r="CG395" s="71"/>
      <c r="CH395" s="71"/>
    </row>
    <row r="396" spans="2:86">
      <c r="B396" s="34">
        <v>1</v>
      </c>
      <c r="C396" s="3"/>
      <c r="D396" s="77"/>
      <c r="E396" s="8"/>
      <c r="F396" s="34">
        <v>1</v>
      </c>
      <c r="G396" s="3"/>
      <c r="H396" s="77"/>
      <c r="J396" s="34">
        <v>1</v>
      </c>
      <c r="K396" s="3"/>
      <c r="L396" s="77"/>
      <c r="P396" s="34">
        <v>1</v>
      </c>
      <c r="Q396" s="3"/>
      <c r="R396" s="77"/>
      <c r="T396" s="34">
        <v>1</v>
      </c>
      <c r="U396" s="3"/>
      <c r="V396" s="77"/>
      <c r="X396" s="34">
        <v>1</v>
      </c>
      <c r="Y396" s="3"/>
      <c r="Z396" s="77"/>
      <c r="AC396" s="5"/>
      <c r="AG396" s="34">
        <v>1</v>
      </c>
      <c r="AH396" s="3"/>
      <c r="AI396" s="77"/>
      <c r="AK396" s="34">
        <v>1</v>
      </c>
      <c r="AL396" s="3"/>
      <c r="AM396" s="77"/>
      <c r="AO396" s="34">
        <v>1</v>
      </c>
      <c r="AP396" s="3"/>
      <c r="AQ396" s="77"/>
      <c r="AU396" s="34">
        <v>1</v>
      </c>
      <c r="AV396" s="3"/>
      <c r="AW396" s="77"/>
      <c r="AY396" s="34">
        <v>1</v>
      </c>
      <c r="AZ396" s="3"/>
      <c r="BA396" s="205"/>
      <c r="BC396" s="34">
        <v>1</v>
      </c>
      <c r="BD396" s="3"/>
      <c r="BE396" s="77"/>
      <c r="BH396" s="5"/>
      <c r="BL396" s="36">
        <v>1</v>
      </c>
      <c r="BM396" s="3"/>
      <c r="BN396" s="77"/>
      <c r="BP396" s="36">
        <v>1</v>
      </c>
      <c r="BQ396" s="3"/>
      <c r="BR396" s="77"/>
      <c r="BV396" s="36">
        <v>1</v>
      </c>
      <c r="BW396" s="3"/>
      <c r="BX396" s="77"/>
      <c r="BZ396" s="36">
        <v>1</v>
      </c>
      <c r="CA396" s="3"/>
      <c r="CB396" s="77"/>
    </row>
    <row r="397" spans="2:86">
      <c r="B397" s="34">
        <v>2</v>
      </c>
      <c r="C397" s="3"/>
      <c r="D397" s="77"/>
      <c r="E397" s="8"/>
      <c r="F397" s="34">
        <v>2</v>
      </c>
      <c r="G397" s="3"/>
      <c r="H397" s="77"/>
      <c r="J397" s="34">
        <v>2</v>
      </c>
      <c r="K397" s="3"/>
      <c r="L397" s="77"/>
      <c r="P397" s="34">
        <v>2</v>
      </c>
      <c r="Q397" s="3"/>
      <c r="R397" s="77"/>
      <c r="T397" s="34">
        <v>2</v>
      </c>
      <c r="U397" s="3"/>
      <c r="V397" s="77"/>
      <c r="X397" s="34">
        <v>2</v>
      </c>
      <c r="Y397" s="3"/>
      <c r="Z397" s="77"/>
      <c r="AC397" s="5"/>
      <c r="AG397" s="34">
        <v>2</v>
      </c>
      <c r="AH397" s="3"/>
      <c r="AI397" s="77"/>
      <c r="AK397" s="34">
        <v>2</v>
      </c>
      <c r="AL397" s="3"/>
      <c r="AM397" s="77"/>
      <c r="AO397" s="34">
        <v>2</v>
      </c>
      <c r="AP397" s="3"/>
      <c r="AQ397" s="77"/>
      <c r="AU397" s="34">
        <v>2</v>
      </c>
      <c r="AV397" s="3"/>
      <c r="AW397" s="77"/>
      <c r="AY397" s="34">
        <v>2</v>
      </c>
      <c r="AZ397" s="3"/>
      <c r="BA397" s="205"/>
      <c r="BC397" s="34">
        <v>2</v>
      </c>
      <c r="BD397" s="3"/>
      <c r="BE397" s="77"/>
      <c r="BH397" s="5"/>
      <c r="BL397" s="36">
        <v>2</v>
      </c>
      <c r="BM397" s="3"/>
      <c r="BN397" s="77"/>
      <c r="BP397" s="36">
        <v>2</v>
      </c>
      <c r="BQ397" s="3"/>
      <c r="BR397" s="77"/>
      <c r="BV397" s="36">
        <v>2</v>
      </c>
      <c r="BW397" s="3"/>
      <c r="BX397" s="77"/>
      <c r="BZ397" s="36">
        <v>2</v>
      </c>
      <c r="CA397" s="3"/>
      <c r="CB397" s="77"/>
    </row>
    <row r="398" spans="2:86">
      <c r="B398" s="34">
        <v>3</v>
      </c>
      <c r="C398" s="3"/>
      <c r="D398" s="77"/>
      <c r="E398" s="8"/>
      <c r="F398" s="34">
        <v>3</v>
      </c>
      <c r="G398" s="3"/>
      <c r="H398" s="77"/>
      <c r="J398" s="34">
        <v>3</v>
      </c>
      <c r="K398" s="3"/>
      <c r="L398" s="77"/>
      <c r="P398" s="34">
        <v>3</v>
      </c>
      <c r="Q398" s="3"/>
      <c r="R398" s="77"/>
      <c r="T398" s="34">
        <v>3</v>
      </c>
      <c r="U398" s="3"/>
      <c r="V398" s="77"/>
      <c r="X398" s="34">
        <v>3</v>
      </c>
      <c r="Y398" s="3"/>
      <c r="Z398" s="77"/>
      <c r="AC398" s="5"/>
      <c r="AG398" s="34">
        <v>3</v>
      </c>
      <c r="AH398" s="3"/>
      <c r="AI398" s="77"/>
      <c r="AK398" s="34">
        <v>3</v>
      </c>
      <c r="AL398" s="3"/>
      <c r="AM398" s="77"/>
      <c r="AO398" s="34">
        <v>3</v>
      </c>
      <c r="AP398" s="3"/>
      <c r="AQ398" s="77"/>
      <c r="AU398" s="34">
        <v>3</v>
      </c>
      <c r="AV398" s="3"/>
      <c r="AW398" s="77"/>
      <c r="AY398" s="34">
        <v>3</v>
      </c>
      <c r="AZ398" s="3"/>
      <c r="BA398" s="77"/>
      <c r="BC398" s="34">
        <v>3</v>
      </c>
      <c r="BD398" s="3"/>
      <c r="BE398" s="77"/>
      <c r="BH398" s="5"/>
      <c r="BL398" s="36">
        <v>3</v>
      </c>
      <c r="BM398" s="3"/>
      <c r="BN398" s="77"/>
      <c r="BP398" s="36">
        <v>3</v>
      </c>
      <c r="BQ398" s="3"/>
      <c r="BR398" s="77"/>
      <c r="BV398" s="36">
        <v>3</v>
      </c>
      <c r="BW398" s="3"/>
      <c r="BX398" s="77"/>
      <c r="BZ398" s="36">
        <v>3</v>
      </c>
      <c r="CA398" s="3"/>
      <c r="CB398" s="77"/>
    </row>
    <row r="399" spans="2:86">
      <c r="B399" s="34">
        <v>4</v>
      </c>
      <c r="C399" s="3"/>
      <c r="D399" s="77"/>
      <c r="E399" s="8"/>
      <c r="F399" s="34">
        <v>4</v>
      </c>
      <c r="G399" s="3"/>
      <c r="H399" s="77"/>
      <c r="J399" s="34">
        <v>4</v>
      </c>
      <c r="K399" s="3"/>
      <c r="L399" s="77"/>
      <c r="P399" s="34">
        <v>4</v>
      </c>
      <c r="Q399" s="3"/>
      <c r="R399" s="77"/>
      <c r="T399" s="34">
        <v>4</v>
      </c>
      <c r="U399" s="3"/>
      <c r="V399" s="77"/>
      <c r="X399" s="34">
        <v>4</v>
      </c>
      <c r="Y399" s="3"/>
      <c r="Z399" s="77"/>
      <c r="AC399" s="5"/>
      <c r="AG399" s="34">
        <v>4</v>
      </c>
      <c r="AH399" s="3"/>
      <c r="AI399" s="77"/>
      <c r="AK399" s="34">
        <v>4</v>
      </c>
      <c r="AL399" s="3"/>
      <c r="AM399" s="77"/>
      <c r="AO399" s="34">
        <v>4</v>
      </c>
      <c r="AP399" s="3"/>
      <c r="AQ399" s="77"/>
      <c r="AU399" s="34">
        <v>4</v>
      </c>
      <c r="AV399" s="3"/>
      <c r="AW399" s="77"/>
      <c r="AY399" s="34">
        <v>4</v>
      </c>
      <c r="AZ399" s="3"/>
      <c r="BA399" s="77"/>
      <c r="BC399" s="34">
        <v>4</v>
      </c>
      <c r="BD399" s="3"/>
      <c r="BE399" s="77"/>
      <c r="BH399" s="5"/>
      <c r="BL399" s="36">
        <v>4</v>
      </c>
      <c r="BM399" s="3"/>
      <c r="BN399" s="77"/>
      <c r="BP399" s="36">
        <v>4</v>
      </c>
      <c r="BQ399" s="3"/>
      <c r="BR399" s="77"/>
      <c r="BV399" s="36">
        <v>4</v>
      </c>
      <c r="BW399" s="3"/>
      <c r="BX399" s="77"/>
      <c r="BZ399" s="36">
        <v>4</v>
      </c>
      <c r="CA399" s="3"/>
      <c r="CB399" s="77"/>
    </row>
    <row r="400" spans="2:86">
      <c r="B400" s="34">
        <v>5</v>
      </c>
      <c r="C400" s="3"/>
      <c r="D400" s="77"/>
      <c r="E400" s="8"/>
      <c r="F400" s="34">
        <v>5</v>
      </c>
      <c r="G400" s="3"/>
      <c r="H400" s="77"/>
      <c r="J400" s="34">
        <v>5</v>
      </c>
      <c r="K400" s="3"/>
      <c r="L400" s="77"/>
      <c r="P400" s="34">
        <v>5</v>
      </c>
      <c r="Q400" s="3"/>
      <c r="R400" s="77"/>
      <c r="T400" s="34">
        <v>5</v>
      </c>
      <c r="U400" s="3"/>
      <c r="V400" s="77"/>
      <c r="X400" s="34">
        <v>5</v>
      </c>
      <c r="Y400" s="3"/>
      <c r="Z400" s="77"/>
      <c r="AC400" s="5"/>
      <c r="AG400" s="34">
        <v>5</v>
      </c>
      <c r="AH400" s="3"/>
      <c r="AI400" s="77"/>
      <c r="AK400" s="34">
        <v>5</v>
      </c>
      <c r="AL400" s="3"/>
      <c r="AM400" s="77"/>
      <c r="AO400" s="34">
        <v>5</v>
      </c>
      <c r="AP400" s="3"/>
      <c r="AQ400" s="77"/>
      <c r="AU400" s="34">
        <v>5</v>
      </c>
      <c r="AV400" s="3"/>
      <c r="AW400" s="77"/>
      <c r="AY400" s="34">
        <v>5</v>
      </c>
      <c r="AZ400" s="3"/>
      <c r="BA400" s="77"/>
      <c r="BC400" s="34">
        <v>5</v>
      </c>
      <c r="BD400" s="3"/>
      <c r="BE400" s="77"/>
      <c r="BH400" s="5"/>
      <c r="BL400" s="36">
        <v>5</v>
      </c>
      <c r="BM400" s="3"/>
      <c r="BN400" s="77"/>
      <c r="BP400" s="36">
        <v>5</v>
      </c>
      <c r="BQ400" s="3"/>
      <c r="BR400" s="77"/>
      <c r="BV400" s="36">
        <v>5</v>
      </c>
      <c r="BW400" s="3"/>
      <c r="BX400" s="77"/>
      <c r="BZ400" s="36">
        <v>5</v>
      </c>
      <c r="CA400" s="3"/>
      <c r="CB400" s="77"/>
    </row>
    <row r="401" spans="2:80">
      <c r="B401" s="34">
        <v>6</v>
      </c>
      <c r="C401" s="3"/>
      <c r="D401" s="77"/>
      <c r="E401" s="8"/>
      <c r="F401" s="34">
        <v>6</v>
      </c>
      <c r="G401" s="3"/>
      <c r="H401" s="77"/>
      <c r="J401" s="34">
        <v>6</v>
      </c>
      <c r="K401" s="3"/>
      <c r="L401" s="77"/>
      <c r="P401" s="34">
        <v>6</v>
      </c>
      <c r="Q401" s="3"/>
      <c r="R401" s="77"/>
      <c r="T401" s="34">
        <v>6</v>
      </c>
      <c r="U401" s="3"/>
      <c r="V401" s="77"/>
      <c r="X401" s="34">
        <v>6</v>
      </c>
      <c r="Y401" s="3"/>
      <c r="Z401" s="77"/>
      <c r="AC401" s="5"/>
      <c r="AG401" s="34">
        <v>6</v>
      </c>
      <c r="AH401" s="3"/>
      <c r="AI401" s="77"/>
      <c r="AK401" s="34">
        <v>6</v>
      </c>
      <c r="AL401" s="3"/>
      <c r="AM401" s="77"/>
      <c r="AO401" s="34">
        <v>6</v>
      </c>
      <c r="AP401" s="3"/>
      <c r="AQ401" s="77"/>
      <c r="AU401" s="34">
        <v>6</v>
      </c>
      <c r="AV401" s="3"/>
      <c r="AW401" s="77"/>
      <c r="AY401" s="34">
        <v>6</v>
      </c>
      <c r="AZ401" s="3"/>
      <c r="BA401" s="77"/>
      <c r="BC401" s="34">
        <v>6</v>
      </c>
      <c r="BD401" s="3"/>
      <c r="BE401" s="77"/>
      <c r="BH401" s="5"/>
      <c r="BL401" s="36">
        <v>6</v>
      </c>
      <c r="BM401" s="3"/>
      <c r="BN401" s="77"/>
      <c r="BP401" s="36">
        <v>6</v>
      </c>
      <c r="BQ401" s="3"/>
      <c r="BR401" s="77"/>
      <c r="BV401" s="36">
        <v>6</v>
      </c>
      <c r="BW401" s="3"/>
      <c r="BX401" s="77"/>
      <c r="BZ401" s="36">
        <v>6</v>
      </c>
      <c r="CA401" s="3"/>
      <c r="CB401" s="77"/>
    </row>
    <row r="402" spans="2:80">
      <c r="B402" s="34">
        <v>7</v>
      </c>
      <c r="C402" s="3"/>
      <c r="D402" s="77"/>
      <c r="E402" s="8"/>
      <c r="F402" s="34">
        <v>7</v>
      </c>
      <c r="G402" s="3"/>
      <c r="H402" s="77"/>
      <c r="J402" s="34">
        <v>7</v>
      </c>
      <c r="K402" s="3"/>
      <c r="L402" s="77"/>
      <c r="P402" s="34">
        <v>7</v>
      </c>
      <c r="Q402" s="3"/>
      <c r="R402" s="77"/>
      <c r="T402" s="34">
        <v>7</v>
      </c>
      <c r="U402" s="3"/>
      <c r="V402" s="77"/>
      <c r="X402" s="34">
        <v>7</v>
      </c>
      <c r="Y402" s="3"/>
      <c r="Z402" s="77"/>
      <c r="AC402" s="5"/>
      <c r="AG402" s="34">
        <v>7</v>
      </c>
      <c r="AH402" s="3"/>
      <c r="AI402" s="77"/>
      <c r="AK402" s="34">
        <v>7</v>
      </c>
      <c r="AL402" s="3"/>
      <c r="AM402" s="77"/>
      <c r="AO402" s="34">
        <v>7</v>
      </c>
      <c r="AP402" s="3"/>
      <c r="AQ402" s="77"/>
      <c r="AU402" s="34">
        <v>7</v>
      </c>
      <c r="AV402" s="3"/>
      <c r="AW402" s="77"/>
      <c r="AY402" s="34">
        <v>7</v>
      </c>
      <c r="AZ402" s="3"/>
      <c r="BA402" s="77"/>
      <c r="BC402" s="34">
        <v>7</v>
      </c>
      <c r="BD402" s="3"/>
      <c r="BE402" s="77"/>
      <c r="BH402" s="5"/>
      <c r="BL402" s="36">
        <v>7</v>
      </c>
      <c r="BM402" s="3"/>
      <c r="BN402" s="77"/>
      <c r="BP402" s="36">
        <v>7</v>
      </c>
      <c r="BQ402" s="3"/>
      <c r="BR402" s="77"/>
      <c r="BV402" s="36">
        <v>7</v>
      </c>
      <c r="BW402" s="3"/>
      <c r="BX402" s="77"/>
      <c r="BZ402" s="36">
        <v>7</v>
      </c>
      <c r="CA402" s="3"/>
      <c r="CB402" s="77"/>
    </row>
    <row r="403" spans="2:80">
      <c r="B403" s="34">
        <v>8</v>
      </c>
      <c r="C403" s="3"/>
      <c r="D403" s="77"/>
      <c r="E403" s="8"/>
      <c r="F403" s="34">
        <v>8</v>
      </c>
      <c r="G403" s="3"/>
      <c r="H403" s="77"/>
      <c r="J403" s="34">
        <v>8</v>
      </c>
      <c r="K403" s="3"/>
      <c r="L403" s="77"/>
      <c r="P403" s="34">
        <v>8</v>
      </c>
      <c r="Q403" s="3"/>
      <c r="R403" s="77"/>
      <c r="T403" s="34">
        <v>8</v>
      </c>
      <c r="U403" s="3"/>
      <c r="V403" s="77"/>
      <c r="X403" s="34">
        <v>8</v>
      </c>
      <c r="Y403" s="3"/>
      <c r="Z403" s="77"/>
      <c r="AC403" s="5"/>
      <c r="AG403" s="34">
        <v>8</v>
      </c>
      <c r="AH403" s="3"/>
      <c r="AI403" s="77"/>
      <c r="AK403" s="34">
        <v>8</v>
      </c>
      <c r="AL403" s="3"/>
      <c r="AM403" s="77"/>
      <c r="AO403" s="34">
        <v>8</v>
      </c>
      <c r="AP403" s="3"/>
      <c r="AQ403" s="77"/>
      <c r="AU403" s="34">
        <v>8</v>
      </c>
      <c r="AV403" s="3"/>
      <c r="AW403" s="77"/>
      <c r="AY403" s="34">
        <v>8</v>
      </c>
      <c r="AZ403" s="3"/>
      <c r="BA403" s="77"/>
      <c r="BC403" s="34">
        <v>8</v>
      </c>
      <c r="BD403" s="3"/>
      <c r="BE403" s="77"/>
      <c r="BH403" s="5"/>
      <c r="BL403" s="36">
        <v>8</v>
      </c>
      <c r="BM403" s="3"/>
      <c r="BN403" s="77"/>
      <c r="BP403" s="36">
        <v>8</v>
      </c>
      <c r="BQ403" s="3"/>
      <c r="BR403" s="77"/>
      <c r="BV403" s="36">
        <v>8</v>
      </c>
      <c r="BW403" s="3"/>
      <c r="BX403" s="77"/>
      <c r="BZ403" s="36">
        <v>8</v>
      </c>
      <c r="CA403" s="3"/>
      <c r="CB403" s="77"/>
    </row>
    <row r="404" spans="2:80">
      <c r="B404" s="34">
        <v>9</v>
      </c>
      <c r="C404" s="3"/>
      <c r="D404" s="77"/>
      <c r="E404" s="8"/>
      <c r="F404" s="34">
        <v>9</v>
      </c>
      <c r="G404" s="3"/>
      <c r="H404" s="77"/>
      <c r="J404" s="34">
        <v>9</v>
      </c>
      <c r="K404" s="3"/>
      <c r="L404" s="77"/>
      <c r="P404" s="34">
        <v>9</v>
      </c>
      <c r="Q404" s="3"/>
      <c r="R404" s="77"/>
      <c r="T404" s="34">
        <v>9</v>
      </c>
      <c r="U404" s="3"/>
      <c r="V404" s="77"/>
      <c r="X404" s="34">
        <v>9</v>
      </c>
      <c r="Y404" s="3"/>
      <c r="Z404" s="77"/>
      <c r="AC404" s="5"/>
      <c r="AG404" s="34">
        <v>9</v>
      </c>
      <c r="AH404" s="3"/>
      <c r="AI404" s="77"/>
      <c r="AK404" s="34">
        <v>9</v>
      </c>
      <c r="AL404" s="3"/>
      <c r="AM404" s="77"/>
      <c r="AO404" s="34">
        <v>9</v>
      </c>
      <c r="AP404" s="3"/>
      <c r="AQ404" s="77"/>
      <c r="AU404" s="34">
        <v>9</v>
      </c>
      <c r="AV404" s="3"/>
      <c r="AW404" s="77"/>
      <c r="AY404" s="34">
        <v>9</v>
      </c>
      <c r="AZ404" s="3"/>
      <c r="BA404" s="77"/>
      <c r="BC404" s="34">
        <v>9</v>
      </c>
      <c r="BD404" s="3"/>
      <c r="BE404" s="77"/>
      <c r="BH404" s="5"/>
      <c r="BL404" s="36">
        <v>9</v>
      </c>
      <c r="BM404" s="3"/>
      <c r="BN404" s="77"/>
      <c r="BP404" s="36">
        <v>9</v>
      </c>
      <c r="BQ404" s="3"/>
      <c r="BR404" s="77"/>
      <c r="BV404" s="36">
        <v>9</v>
      </c>
      <c r="BW404" s="3"/>
      <c r="BX404" s="77"/>
      <c r="BZ404" s="36">
        <v>9</v>
      </c>
      <c r="CA404" s="3"/>
      <c r="CB404" s="77"/>
    </row>
    <row r="405" spans="2:80">
      <c r="B405" s="34">
        <v>10</v>
      </c>
      <c r="C405" s="3"/>
      <c r="D405" s="77"/>
      <c r="E405" s="8"/>
      <c r="F405" s="34">
        <v>10</v>
      </c>
      <c r="G405" s="3"/>
      <c r="H405" s="77"/>
      <c r="J405" s="34">
        <v>10</v>
      </c>
      <c r="K405" s="3"/>
      <c r="L405" s="77"/>
      <c r="P405" s="34">
        <v>10</v>
      </c>
      <c r="Q405" s="3"/>
      <c r="R405" s="77"/>
      <c r="T405" s="34">
        <v>10</v>
      </c>
      <c r="U405" s="3"/>
      <c r="V405" s="77"/>
      <c r="X405" s="34">
        <v>10</v>
      </c>
      <c r="Y405" s="3"/>
      <c r="Z405" s="77"/>
      <c r="AC405" s="5"/>
      <c r="AG405" s="34">
        <v>10</v>
      </c>
      <c r="AH405" s="3"/>
      <c r="AI405" s="77"/>
      <c r="AK405" s="34">
        <v>10</v>
      </c>
      <c r="AL405" s="3"/>
      <c r="AM405" s="77"/>
      <c r="AO405" s="34">
        <v>10</v>
      </c>
      <c r="AP405" s="3"/>
      <c r="AQ405" s="77"/>
      <c r="AU405" s="34">
        <v>10</v>
      </c>
      <c r="AV405" s="3"/>
      <c r="AW405" s="77"/>
      <c r="AY405" s="34">
        <v>10</v>
      </c>
      <c r="AZ405" s="3"/>
      <c r="BA405" s="77"/>
      <c r="BC405" s="34">
        <v>10</v>
      </c>
      <c r="BD405" s="3"/>
      <c r="BE405" s="77"/>
      <c r="BH405" s="5"/>
      <c r="BL405" s="36">
        <v>10</v>
      </c>
      <c r="BM405" s="3"/>
      <c r="BN405" s="77"/>
      <c r="BP405" s="36">
        <v>10</v>
      </c>
      <c r="BQ405" s="3"/>
      <c r="BR405" s="77"/>
      <c r="BV405" s="36">
        <v>10</v>
      </c>
      <c r="BW405" s="3"/>
      <c r="BX405" s="77"/>
      <c r="BZ405" s="36">
        <v>10</v>
      </c>
      <c r="CA405" s="3"/>
      <c r="CB405" s="77"/>
    </row>
    <row r="406" spans="2:80">
      <c r="B406" s="34">
        <v>11</v>
      </c>
      <c r="C406" s="3"/>
      <c r="D406" s="77"/>
      <c r="E406" s="8"/>
      <c r="F406" s="34">
        <v>11</v>
      </c>
      <c r="G406" s="3"/>
      <c r="H406" s="77"/>
      <c r="J406" s="34">
        <v>11</v>
      </c>
      <c r="K406" s="3"/>
      <c r="L406" s="77"/>
      <c r="P406" s="34">
        <v>11</v>
      </c>
      <c r="Q406" s="3"/>
      <c r="R406" s="77"/>
      <c r="T406" s="34">
        <v>11</v>
      </c>
      <c r="U406" s="3"/>
      <c r="V406" s="77"/>
      <c r="X406" s="34">
        <v>11</v>
      </c>
      <c r="Y406" s="3"/>
      <c r="Z406" s="77"/>
      <c r="AC406" s="5"/>
      <c r="AG406" s="34">
        <v>11</v>
      </c>
      <c r="AH406" s="3"/>
      <c r="AI406" s="77"/>
      <c r="AK406" s="34">
        <v>11</v>
      </c>
      <c r="AL406" s="3"/>
      <c r="AM406" s="77"/>
      <c r="AO406" s="34">
        <v>11</v>
      </c>
      <c r="AP406" s="3"/>
      <c r="AQ406" s="77"/>
      <c r="AU406" s="34">
        <v>11</v>
      </c>
      <c r="AV406" s="3"/>
      <c r="AW406" s="77"/>
      <c r="AY406" s="34">
        <v>11</v>
      </c>
      <c r="AZ406" s="3"/>
      <c r="BA406" s="77"/>
      <c r="BC406" s="34">
        <v>11</v>
      </c>
      <c r="BD406" s="3"/>
      <c r="BE406" s="77"/>
      <c r="BH406" s="5"/>
      <c r="BL406" s="36">
        <v>11</v>
      </c>
      <c r="BM406" s="3"/>
      <c r="BN406" s="4"/>
      <c r="BP406" s="36">
        <v>11</v>
      </c>
      <c r="BQ406" s="3"/>
      <c r="BR406" s="77"/>
      <c r="BV406" s="36">
        <v>11</v>
      </c>
      <c r="BW406" s="3"/>
      <c r="BX406" s="4"/>
      <c r="BZ406" s="36">
        <v>11</v>
      </c>
      <c r="CA406" s="3"/>
      <c r="CB406" s="4"/>
    </row>
    <row r="407" spans="2:80">
      <c r="B407" s="34">
        <v>12</v>
      </c>
      <c r="C407" s="3"/>
      <c r="D407" s="77"/>
      <c r="E407" s="8"/>
      <c r="F407" s="34">
        <v>12</v>
      </c>
      <c r="G407" s="3"/>
      <c r="H407" s="77"/>
      <c r="J407" s="34">
        <v>12</v>
      </c>
      <c r="K407" s="3"/>
      <c r="L407" s="77"/>
      <c r="P407" s="34">
        <v>12</v>
      </c>
      <c r="Q407" s="3"/>
      <c r="R407" s="77"/>
      <c r="T407" s="34">
        <v>12</v>
      </c>
      <c r="U407" s="3"/>
      <c r="V407" s="77"/>
      <c r="X407" s="34">
        <v>12</v>
      </c>
      <c r="Y407" s="3"/>
      <c r="Z407" s="77"/>
      <c r="AC407" s="5"/>
      <c r="AG407" s="34">
        <v>12</v>
      </c>
      <c r="AH407" s="3"/>
      <c r="AI407" s="77"/>
      <c r="AK407" s="34">
        <v>12</v>
      </c>
      <c r="AL407" s="3"/>
      <c r="AM407" s="77"/>
      <c r="AO407" s="34">
        <v>12</v>
      </c>
      <c r="AP407" s="3"/>
      <c r="AQ407" s="77"/>
      <c r="AU407" s="34">
        <v>12</v>
      </c>
      <c r="AV407" s="3"/>
      <c r="AW407" s="77"/>
      <c r="AY407" s="34">
        <v>12</v>
      </c>
      <c r="AZ407" s="3"/>
      <c r="BA407" s="77"/>
      <c r="BC407" s="34">
        <v>12</v>
      </c>
      <c r="BD407" s="3"/>
      <c r="BE407" s="77"/>
      <c r="BH407" s="5"/>
      <c r="BL407" s="36">
        <v>12</v>
      </c>
      <c r="BM407" s="3"/>
      <c r="BN407" s="77"/>
      <c r="BP407" s="36">
        <v>12</v>
      </c>
      <c r="BQ407" s="3"/>
      <c r="BR407" s="77"/>
      <c r="BV407" s="36">
        <v>12</v>
      </c>
      <c r="BW407" s="3"/>
      <c r="BX407" s="77"/>
      <c r="BZ407" s="36">
        <v>12</v>
      </c>
      <c r="CA407" s="3"/>
      <c r="CB407" s="77"/>
    </row>
    <row r="408" spans="2:80">
      <c r="B408" s="34">
        <v>13</v>
      </c>
      <c r="C408" s="3"/>
      <c r="D408" s="77"/>
      <c r="E408" s="8"/>
      <c r="F408" s="34">
        <v>13</v>
      </c>
      <c r="G408" s="3"/>
      <c r="H408" s="77"/>
      <c r="J408" s="34">
        <v>13</v>
      </c>
      <c r="K408" s="3"/>
      <c r="L408" s="77"/>
      <c r="P408" s="34">
        <v>13</v>
      </c>
      <c r="Q408" s="3"/>
      <c r="R408" s="77"/>
      <c r="T408" s="34">
        <v>13</v>
      </c>
      <c r="U408" s="3"/>
      <c r="V408" s="77"/>
      <c r="X408" s="34">
        <v>13</v>
      </c>
      <c r="Y408" s="3"/>
      <c r="Z408" s="77"/>
      <c r="AC408" s="5"/>
      <c r="AG408" s="34">
        <v>13</v>
      </c>
      <c r="AH408" s="3"/>
      <c r="AI408" s="77"/>
      <c r="AK408" s="34">
        <v>13</v>
      </c>
      <c r="AL408" s="3"/>
      <c r="AM408" s="77"/>
      <c r="AO408" s="34">
        <v>13</v>
      </c>
      <c r="AP408" s="3"/>
      <c r="AQ408" s="77"/>
      <c r="AU408" s="34">
        <v>13</v>
      </c>
      <c r="AV408" s="3"/>
      <c r="AW408" s="77"/>
      <c r="AY408" s="34">
        <v>13</v>
      </c>
      <c r="AZ408" s="3"/>
      <c r="BA408" s="77"/>
      <c r="BC408" s="34">
        <v>13</v>
      </c>
      <c r="BD408" s="3"/>
      <c r="BE408" s="77"/>
      <c r="BH408" s="5"/>
      <c r="BL408" s="36">
        <v>13</v>
      </c>
      <c r="BM408" s="3"/>
      <c r="BN408" s="77"/>
      <c r="BP408" s="36">
        <v>13</v>
      </c>
      <c r="BQ408" s="3"/>
      <c r="BR408" s="77"/>
      <c r="BV408" s="36">
        <v>13</v>
      </c>
      <c r="BW408" s="3"/>
      <c r="BX408" s="77"/>
      <c r="BZ408" s="36">
        <v>13</v>
      </c>
      <c r="CA408" s="3"/>
      <c r="CB408" s="77"/>
    </row>
    <row r="409" spans="2:80">
      <c r="B409" s="34">
        <v>14</v>
      </c>
      <c r="C409" s="3"/>
      <c r="D409" s="77"/>
      <c r="E409" s="8"/>
      <c r="F409" s="34">
        <v>14</v>
      </c>
      <c r="G409" s="3"/>
      <c r="H409" s="77"/>
      <c r="J409" s="34">
        <v>14</v>
      </c>
      <c r="K409" s="3"/>
      <c r="L409" s="77"/>
      <c r="P409" s="34">
        <v>14</v>
      </c>
      <c r="Q409" s="3"/>
      <c r="R409" s="77"/>
      <c r="T409" s="34">
        <v>14</v>
      </c>
      <c r="U409" s="3"/>
      <c r="V409" s="77"/>
      <c r="X409" s="34">
        <v>14</v>
      </c>
      <c r="Y409" s="3"/>
      <c r="Z409" s="77"/>
      <c r="AC409" s="5"/>
      <c r="AG409" s="34">
        <v>14</v>
      </c>
      <c r="AH409" s="3"/>
      <c r="AI409" s="77"/>
      <c r="AK409" s="34">
        <v>14</v>
      </c>
      <c r="AL409" s="3"/>
      <c r="AM409" s="77"/>
      <c r="AO409" s="34">
        <v>14</v>
      </c>
      <c r="AP409" s="3"/>
      <c r="AQ409" s="77"/>
      <c r="AU409" s="34">
        <v>14</v>
      </c>
      <c r="AV409" s="3"/>
      <c r="AW409" s="77"/>
      <c r="AY409" s="34">
        <v>14</v>
      </c>
      <c r="AZ409" s="3"/>
      <c r="BA409" s="77"/>
      <c r="BC409" s="34">
        <v>14</v>
      </c>
      <c r="BD409" s="3"/>
      <c r="BE409" s="77"/>
      <c r="BH409" s="5"/>
      <c r="BL409" s="36">
        <v>14</v>
      </c>
      <c r="BM409" s="3"/>
      <c r="BN409" s="77"/>
      <c r="BP409" s="36">
        <v>14</v>
      </c>
      <c r="BQ409" s="3"/>
      <c r="BR409" s="77"/>
      <c r="BU409" s="29"/>
      <c r="BV409" s="36">
        <v>14</v>
      </c>
      <c r="BW409" s="3"/>
      <c r="BX409" s="4"/>
      <c r="BZ409" s="36">
        <v>14</v>
      </c>
      <c r="CA409" s="3"/>
      <c r="CB409" s="77"/>
    </row>
    <row r="410" spans="2:80">
      <c r="B410" s="34">
        <v>15</v>
      </c>
      <c r="C410" s="3"/>
      <c r="D410" s="77"/>
      <c r="E410" s="8"/>
      <c r="F410" s="34">
        <v>15</v>
      </c>
      <c r="G410" s="3"/>
      <c r="H410" s="77"/>
      <c r="J410" s="34">
        <v>15</v>
      </c>
      <c r="K410" s="3"/>
      <c r="L410" s="77"/>
      <c r="P410" s="34">
        <v>15</v>
      </c>
      <c r="Q410" s="3"/>
      <c r="R410" s="77"/>
      <c r="T410" s="34">
        <v>15</v>
      </c>
      <c r="U410" s="3"/>
      <c r="V410" s="77"/>
      <c r="X410" s="34">
        <v>15</v>
      </c>
      <c r="Y410" s="3"/>
      <c r="Z410" s="77"/>
      <c r="AC410" s="5"/>
      <c r="AG410" s="34">
        <v>15</v>
      </c>
      <c r="AH410" s="3"/>
      <c r="AI410" s="77"/>
      <c r="AK410" s="34">
        <v>15</v>
      </c>
      <c r="AL410" s="3"/>
      <c r="AM410" s="77"/>
      <c r="AO410" s="34">
        <v>15</v>
      </c>
      <c r="AP410" s="3"/>
      <c r="AQ410" s="77"/>
      <c r="AU410" s="34">
        <v>15</v>
      </c>
      <c r="AV410" s="3"/>
      <c r="AW410" s="77"/>
      <c r="AY410" s="34">
        <v>15</v>
      </c>
      <c r="AZ410" s="3"/>
      <c r="BA410" s="77"/>
      <c r="BC410" s="34">
        <v>15</v>
      </c>
      <c r="BD410" s="3"/>
      <c r="BE410" s="77"/>
      <c r="BH410" s="5"/>
      <c r="BL410" s="36">
        <v>15</v>
      </c>
      <c r="BM410" s="3"/>
      <c r="BN410" s="4"/>
      <c r="BP410" s="36">
        <v>15</v>
      </c>
      <c r="BQ410" s="3"/>
      <c r="BR410" s="4"/>
      <c r="BV410" s="36">
        <v>15</v>
      </c>
      <c r="BW410" s="3"/>
      <c r="BX410" s="4"/>
      <c r="BZ410" s="36">
        <v>15</v>
      </c>
      <c r="CA410" s="3"/>
      <c r="CB410" s="77"/>
    </row>
    <row r="411" spans="2:80">
      <c r="B411" s="34">
        <v>16</v>
      </c>
      <c r="C411" s="3"/>
      <c r="D411" s="77"/>
      <c r="E411" s="8"/>
      <c r="F411" s="34">
        <v>16</v>
      </c>
      <c r="G411" s="3"/>
      <c r="H411" s="77"/>
      <c r="J411" s="34">
        <v>16</v>
      </c>
      <c r="K411" s="3"/>
      <c r="L411" s="77"/>
      <c r="P411" s="34">
        <v>16</v>
      </c>
      <c r="Q411" s="3"/>
      <c r="R411" s="77"/>
      <c r="T411" s="34">
        <v>16</v>
      </c>
      <c r="U411" s="3"/>
      <c r="V411" s="77"/>
      <c r="X411" s="34">
        <v>16</v>
      </c>
      <c r="Y411" s="3"/>
      <c r="Z411" s="77"/>
      <c r="AC411" s="5"/>
      <c r="AG411" s="34">
        <v>16</v>
      </c>
      <c r="AH411" s="3"/>
      <c r="AI411" s="77"/>
      <c r="AK411" s="34">
        <v>16</v>
      </c>
      <c r="AL411" s="3"/>
      <c r="AM411" s="77"/>
      <c r="AO411" s="34">
        <v>16</v>
      </c>
      <c r="AP411" s="3"/>
      <c r="AQ411" s="77"/>
      <c r="AU411" s="34">
        <v>16</v>
      </c>
      <c r="AV411" s="3"/>
      <c r="AW411" s="77"/>
      <c r="AY411" s="34">
        <v>16</v>
      </c>
      <c r="AZ411" s="3"/>
      <c r="BA411" s="77"/>
      <c r="BC411" s="34">
        <v>16</v>
      </c>
      <c r="BD411" s="3"/>
      <c r="BE411" s="77"/>
      <c r="BH411" s="5"/>
      <c r="BL411" s="36">
        <v>16</v>
      </c>
      <c r="BM411" s="3"/>
      <c r="BN411" s="77"/>
      <c r="BP411" s="36">
        <v>16</v>
      </c>
      <c r="BQ411" s="3"/>
      <c r="BR411" s="4"/>
      <c r="BV411" s="36">
        <v>16</v>
      </c>
      <c r="BW411" s="3"/>
      <c r="BX411" s="4"/>
      <c r="BZ411" s="36">
        <v>16</v>
      </c>
      <c r="CA411" s="3"/>
      <c r="CB411" s="77"/>
    </row>
    <row r="412" spans="2:80">
      <c r="B412" s="34">
        <v>17</v>
      </c>
      <c r="C412" s="3"/>
      <c r="D412" s="77"/>
      <c r="E412" s="8"/>
      <c r="F412" s="34">
        <v>17</v>
      </c>
      <c r="G412" s="3"/>
      <c r="H412" s="77"/>
      <c r="J412" s="34">
        <v>17</v>
      </c>
      <c r="K412" s="3"/>
      <c r="L412" s="77"/>
      <c r="P412" s="34">
        <v>17</v>
      </c>
      <c r="Q412" s="3"/>
      <c r="R412" s="77"/>
      <c r="T412" s="34">
        <v>17</v>
      </c>
      <c r="U412" s="3"/>
      <c r="V412" s="77"/>
      <c r="X412" s="34">
        <v>17</v>
      </c>
      <c r="Y412" s="3"/>
      <c r="Z412" s="77"/>
      <c r="AC412" s="5"/>
      <c r="AG412" s="34">
        <v>17</v>
      </c>
      <c r="AH412" s="3"/>
      <c r="AI412" s="77"/>
      <c r="AK412" s="34">
        <v>17</v>
      </c>
      <c r="AL412" s="3"/>
      <c r="AM412" s="77"/>
      <c r="AO412" s="34">
        <v>17</v>
      </c>
      <c r="AP412" s="3"/>
      <c r="AQ412" s="77"/>
      <c r="AU412" s="34">
        <v>17</v>
      </c>
      <c r="AV412" s="3"/>
      <c r="AW412" s="77"/>
      <c r="AY412" s="34">
        <v>17</v>
      </c>
      <c r="AZ412" s="3"/>
      <c r="BA412" s="77"/>
      <c r="BC412" s="34">
        <v>17</v>
      </c>
      <c r="BD412" s="3"/>
      <c r="BE412" s="77"/>
      <c r="BH412" s="5"/>
      <c r="BL412" s="36">
        <v>17</v>
      </c>
      <c r="BM412" s="3"/>
      <c r="BN412" s="77"/>
      <c r="BP412" s="36">
        <v>17</v>
      </c>
      <c r="BQ412" s="3"/>
      <c r="BR412" s="77"/>
      <c r="BV412" s="36">
        <v>17</v>
      </c>
      <c r="BW412" s="3"/>
      <c r="BX412" s="4"/>
      <c r="BZ412" s="36">
        <v>17</v>
      </c>
      <c r="CA412" s="3"/>
      <c r="CB412" s="77"/>
    </row>
    <row r="413" spans="2:80">
      <c r="B413" s="34">
        <v>18</v>
      </c>
      <c r="C413" s="3"/>
      <c r="D413" s="77"/>
      <c r="E413" s="8"/>
      <c r="F413" s="34">
        <v>18</v>
      </c>
      <c r="G413" s="3"/>
      <c r="H413" s="77"/>
      <c r="J413" s="34">
        <v>18</v>
      </c>
      <c r="K413" s="3"/>
      <c r="L413" s="77"/>
      <c r="P413" s="34">
        <v>18</v>
      </c>
      <c r="Q413" s="3"/>
      <c r="R413" s="77"/>
      <c r="T413" s="34">
        <v>18</v>
      </c>
      <c r="U413" s="3"/>
      <c r="V413" s="77"/>
      <c r="X413" s="34">
        <v>18</v>
      </c>
      <c r="Y413" s="3"/>
      <c r="Z413" s="77"/>
      <c r="AC413" s="5"/>
      <c r="AG413" s="34">
        <v>18</v>
      </c>
      <c r="AH413" s="3"/>
      <c r="AI413" s="77"/>
      <c r="AK413" s="34">
        <v>18</v>
      </c>
      <c r="AL413" s="3"/>
      <c r="AM413" s="77"/>
      <c r="AO413" s="34">
        <v>18</v>
      </c>
      <c r="AP413" s="3"/>
      <c r="AQ413" s="77"/>
      <c r="AU413" s="34">
        <v>18</v>
      </c>
      <c r="AV413" s="3"/>
      <c r="AW413" s="77"/>
      <c r="AY413" s="34">
        <v>18</v>
      </c>
      <c r="AZ413" s="3"/>
      <c r="BA413" s="77"/>
      <c r="BC413" s="34">
        <v>18</v>
      </c>
      <c r="BD413" s="3"/>
      <c r="BE413" s="77"/>
      <c r="BH413" s="5"/>
      <c r="BL413" s="36">
        <v>18</v>
      </c>
      <c r="BM413" s="3"/>
      <c r="BN413" s="77"/>
      <c r="BP413" s="36">
        <v>18</v>
      </c>
      <c r="BQ413" s="3"/>
      <c r="BR413" s="77"/>
      <c r="BV413" s="36">
        <v>18</v>
      </c>
      <c r="BW413" s="3"/>
      <c r="BX413" s="4"/>
      <c r="BZ413" s="36">
        <v>18</v>
      </c>
      <c r="CA413" s="3"/>
      <c r="CB413" s="77"/>
    </row>
    <row r="414" spans="2:80">
      <c r="B414" s="34">
        <v>19</v>
      </c>
      <c r="C414" s="3"/>
      <c r="D414" s="77"/>
      <c r="E414" s="8"/>
      <c r="F414" s="34">
        <v>19</v>
      </c>
      <c r="G414" s="3"/>
      <c r="H414" s="77"/>
      <c r="J414" s="34">
        <v>19</v>
      </c>
      <c r="K414" s="3"/>
      <c r="L414" s="77"/>
      <c r="P414" s="34">
        <v>19</v>
      </c>
      <c r="Q414" s="3"/>
      <c r="R414" s="77"/>
      <c r="T414" s="34">
        <v>19</v>
      </c>
      <c r="U414" s="3"/>
      <c r="V414" s="77"/>
      <c r="X414" s="34">
        <v>19</v>
      </c>
      <c r="Y414" s="3"/>
      <c r="Z414" s="77"/>
      <c r="AC414" s="5"/>
      <c r="AG414" s="34">
        <v>19</v>
      </c>
      <c r="AH414" s="3"/>
      <c r="AI414" s="77"/>
      <c r="AK414" s="34">
        <v>19</v>
      </c>
      <c r="AL414" s="3"/>
      <c r="AM414" s="77"/>
      <c r="AO414" s="34">
        <v>19</v>
      </c>
      <c r="AP414" s="3"/>
      <c r="AQ414" s="77"/>
      <c r="AU414" s="34">
        <v>19</v>
      </c>
      <c r="AV414" s="3"/>
      <c r="AW414" s="77"/>
      <c r="AY414" s="34">
        <v>19</v>
      </c>
      <c r="AZ414" s="3"/>
      <c r="BA414" s="77"/>
      <c r="BC414" s="34">
        <v>19</v>
      </c>
      <c r="BD414" s="3"/>
      <c r="BE414" s="77"/>
      <c r="BH414" s="5"/>
      <c r="BL414" s="36">
        <v>19</v>
      </c>
      <c r="BM414" s="3"/>
      <c r="BN414" s="4"/>
      <c r="BP414" s="36">
        <v>19</v>
      </c>
      <c r="BQ414" s="3"/>
      <c r="BR414" s="4"/>
      <c r="BV414" s="36">
        <v>19</v>
      </c>
      <c r="BW414" s="3"/>
      <c r="BX414" s="4"/>
      <c r="BZ414" s="36">
        <v>19</v>
      </c>
      <c r="CA414" s="3"/>
      <c r="CB414" s="4"/>
    </row>
    <row r="415" spans="2:80">
      <c r="B415" s="34">
        <v>20</v>
      </c>
      <c r="C415" s="3"/>
      <c r="D415" s="77"/>
      <c r="E415" s="8"/>
      <c r="F415" s="34">
        <v>20</v>
      </c>
      <c r="G415" s="3"/>
      <c r="H415" s="77"/>
      <c r="J415" s="34">
        <v>20</v>
      </c>
      <c r="K415" s="3"/>
      <c r="L415" s="77"/>
      <c r="P415" s="34">
        <v>20</v>
      </c>
      <c r="Q415" s="3"/>
      <c r="R415" s="77"/>
      <c r="T415" s="34">
        <v>20</v>
      </c>
      <c r="U415" s="3"/>
      <c r="V415" s="77"/>
      <c r="X415" s="34">
        <v>20</v>
      </c>
      <c r="Y415" s="3"/>
      <c r="Z415" s="77"/>
      <c r="AC415" s="5"/>
      <c r="AG415" s="34">
        <v>20</v>
      </c>
      <c r="AH415" s="3"/>
      <c r="AI415" s="77"/>
      <c r="AK415" s="34">
        <v>20</v>
      </c>
      <c r="AL415" s="3"/>
      <c r="AM415" s="77"/>
      <c r="AO415" s="34">
        <v>20</v>
      </c>
      <c r="AP415" s="3"/>
      <c r="AQ415" s="77"/>
      <c r="AU415" s="34">
        <v>20</v>
      </c>
      <c r="AV415" s="3"/>
      <c r="AW415" s="77"/>
      <c r="AY415" s="34">
        <v>20</v>
      </c>
      <c r="AZ415" s="3"/>
      <c r="BA415" s="77"/>
      <c r="BC415" s="34">
        <v>20</v>
      </c>
      <c r="BD415" s="3"/>
      <c r="BE415" s="77"/>
      <c r="BH415" s="5"/>
      <c r="BL415" s="36">
        <v>20</v>
      </c>
      <c r="BM415" s="3"/>
      <c r="BN415" s="4"/>
      <c r="BP415" s="36">
        <v>20</v>
      </c>
      <c r="BQ415" s="3"/>
      <c r="BR415" s="4"/>
      <c r="BV415" s="36">
        <v>20</v>
      </c>
      <c r="BW415" s="3"/>
      <c r="BX415" s="4"/>
      <c r="BZ415" s="36">
        <v>20</v>
      </c>
      <c r="CA415" s="3"/>
      <c r="CB415" s="77"/>
    </row>
    <row r="416" spans="2:80">
      <c r="B416" s="34">
        <v>21</v>
      </c>
      <c r="C416" s="3"/>
      <c r="D416" s="77"/>
      <c r="F416" s="34">
        <v>21</v>
      </c>
      <c r="G416" s="3"/>
      <c r="H416" s="77"/>
      <c r="J416" s="34">
        <v>21</v>
      </c>
      <c r="K416" s="3"/>
      <c r="L416" s="77"/>
      <c r="P416" s="34">
        <v>21</v>
      </c>
      <c r="Q416" s="3"/>
      <c r="R416" s="77"/>
      <c r="T416" s="34">
        <v>21</v>
      </c>
      <c r="U416" s="3"/>
      <c r="V416" s="77"/>
      <c r="X416" s="34">
        <v>21</v>
      </c>
      <c r="Y416" s="3"/>
      <c r="Z416" s="77"/>
      <c r="AC416" s="5"/>
      <c r="AG416" s="34">
        <v>21</v>
      </c>
      <c r="AH416" s="3"/>
      <c r="AI416" s="77"/>
      <c r="AK416" s="34">
        <v>21</v>
      </c>
      <c r="AL416" s="3"/>
      <c r="AM416" s="77"/>
      <c r="AO416" s="34">
        <v>21</v>
      </c>
      <c r="AP416" s="3"/>
      <c r="AQ416" s="77"/>
      <c r="AU416" s="34">
        <v>21</v>
      </c>
      <c r="AV416" s="3"/>
      <c r="AW416" s="77"/>
      <c r="AY416" s="34">
        <v>21</v>
      </c>
      <c r="AZ416" s="3"/>
      <c r="BA416" s="77"/>
      <c r="BC416" s="34">
        <v>21</v>
      </c>
      <c r="BD416" s="3"/>
      <c r="BE416" s="77"/>
      <c r="BH416" s="5"/>
      <c r="BL416" s="36">
        <v>21</v>
      </c>
      <c r="BM416" s="3"/>
      <c r="BN416" s="4"/>
      <c r="BP416" s="36">
        <v>21</v>
      </c>
      <c r="BQ416" s="3"/>
      <c r="BR416" s="4"/>
      <c r="BV416" s="36">
        <v>21</v>
      </c>
      <c r="BW416" s="3"/>
      <c r="BX416" s="4"/>
      <c r="BZ416" s="36">
        <v>21</v>
      </c>
      <c r="CA416" s="3"/>
      <c r="CB416" s="4"/>
    </row>
    <row r="417" spans="2:86">
      <c r="B417" s="34">
        <v>22</v>
      </c>
      <c r="C417" s="3"/>
      <c r="D417" s="77"/>
      <c r="F417" s="34">
        <v>22</v>
      </c>
      <c r="G417" s="3"/>
      <c r="H417" s="77"/>
      <c r="J417" s="34">
        <v>22</v>
      </c>
      <c r="K417" s="3"/>
      <c r="L417" s="77"/>
      <c r="P417" s="34">
        <v>22</v>
      </c>
      <c r="Q417" s="3"/>
      <c r="R417" s="77"/>
      <c r="T417" s="34">
        <v>22</v>
      </c>
      <c r="U417" s="3"/>
      <c r="V417" s="77"/>
      <c r="X417" s="34">
        <v>22</v>
      </c>
      <c r="Y417" s="3"/>
      <c r="Z417" s="77"/>
      <c r="AC417" s="5"/>
      <c r="AG417" s="34">
        <v>22</v>
      </c>
      <c r="AH417" s="3"/>
      <c r="AI417" s="77"/>
      <c r="AK417" s="34">
        <v>22</v>
      </c>
      <c r="AL417" s="3"/>
      <c r="AM417" s="77"/>
      <c r="AO417" s="34">
        <v>22</v>
      </c>
      <c r="AP417" s="3"/>
      <c r="AQ417" s="77"/>
      <c r="AU417" s="34">
        <v>22</v>
      </c>
      <c r="AV417" s="3"/>
      <c r="AW417" s="77"/>
      <c r="AY417" s="34">
        <v>22</v>
      </c>
      <c r="AZ417" s="3"/>
      <c r="BA417" s="77"/>
      <c r="BC417" s="34">
        <v>22</v>
      </c>
      <c r="BD417" s="3"/>
      <c r="BE417" s="77"/>
      <c r="BH417" s="5"/>
      <c r="BL417" s="36">
        <v>22</v>
      </c>
      <c r="BM417" s="3"/>
      <c r="BN417" s="4"/>
      <c r="BP417" s="36">
        <v>22</v>
      </c>
      <c r="BQ417" s="3"/>
      <c r="BR417" s="4"/>
      <c r="BV417" s="36">
        <v>22</v>
      </c>
      <c r="BW417" s="3"/>
      <c r="BX417" s="4"/>
      <c r="BZ417" s="36">
        <v>22</v>
      </c>
      <c r="CA417" s="3"/>
      <c r="CB417" s="4"/>
    </row>
    <row r="418" spans="2:86">
      <c r="B418" s="34">
        <v>23</v>
      </c>
      <c r="C418" s="3"/>
      <c r="D418" s="77"/>
      <c r="F418" s="34">
        <v>23</v>
      </c>
      <c r="G418" s="3"/>
      <c r="H418" s="77"/>
      <c r="J418" s="34">
        <v>23</v>
      </c>
      <c r="K418" s="3"/>
      <c r="L418" s="77"/>
      <c r="P418" s="34">
        <v>23</v>
      </c>
      <c r="Q418" s="3"/>
      <c r="R418" s="77"/>
      <c r="T418" s="34">
        <v>23</v>
      </c>
      <c r="U418" s="3"/>
      <c r="V418" s="77"/>
      <c r="X418" s="34">
        <v>23</v>
      </c>
      <c r="Y418" s="3"/>
      <c r="Z418" s="77"/>
      <c r="AC418" s="5"/>
      <c r="AG418" s="34">
        <v>23</v>
      </c>
      <c r="AH418" s="3"/>
      <c r="AI418" s="77"/>
      <c r="AK418" s="34">
        <v>23</v>
      </c>
      <c r="AL418" s="3"/>
      <c r="AM418" s="77"/>
      <c r="AO418" s="34">
        <v>23</v>
      </c>
      <c r="AP418" s="3"/>
      <c r="AQ418" s="77"/>
      <c r="AU418" s="34">
        <v>23</v>
      </c>
      <c r="AV418" s="3"/>
      <c r="AW418" s="77"/>
      <c r="AY418" s="34">
        <v>23</v>
      </c>
      <c r="AZ418" s="3"/>
      <c r="BA418" s="77"/>
      <c r="BC418" s="34">
        <v>23</v>
      </c>
      <c r="BD418" s="3"/>
      <c r="BE418" s="77"/>
      <c r="BH418" s="5"/>
      <c r="BL418" s="36">
        <v>23</v>
      </c>
      <c r="BM418" s="3"/>
      <c r="BN418" s="4"/>
      <c r="BP418" s="36">
        <v>23</v>
      </c>
      <c r="BQ418" s="3"/>
      <c r="BR418" s="4"/>
      <c r="BV418" s="36">
        <v>23</v>
      </c>
      <c r="BW418" s="3"/>
      <c r="BX418" s="4"/>
      <c r="BZ418" s="36">
        <v>23</v>
      </c>
      <c r="CA418" s="3"/>
      <c r="CB418" s="4"/>
    </row>
    <row r="419" spans="2:86">
      <c r="AC419" s="5"/>
      <c r="AL419" s="13"/>
      <c r="AU419"/>
      <c r="BC419"/>
      <c r="BH419" s="5"/>
    </row>
    <row r="420" spans="2:86">
      <c r="AC420" s="5"/>
      <c r="AU420"/>
      <c r="BC420"/>
      <c r="BH420" s="5"/>
    </row>
    <row r="421" spans="2:86">
      <c r="AC421" s="5"/>
      <c r="AU421"/>
      <c r="BC421"/>
      <c r="BH421" s="5"/>
    </row>
    <row r="422" spans="2:86" s="1" customFormat="1" ht="20.25" customHeight="1">
      <c r="B422" s="54"/>
      <c r="C422" s="55">
        <f>'NRB 공장 내부 배치도'!C23</f>
        <v>0</v>
      </c>
      <c r="D422" s="199"/>
      <c r="F422" s="54"/>
      <c r="G422" s="55">
        <f>'NRB 공장 내부 배치도'!D23</f>
        <v>0</v>
      </c>
      <c r="H422" s="199"/>
      <c r="J422" s="54"/>
      <c r="K422" s="55">
        <f>'NRB 공장 내부 배치도'!E23</f>
        <v>0</v>
      </c>
      <c r="L422" s="199"/>
      <c r="P422" s="54"/>
      <c r="Q422" s="55">
        <f>'NRB 공장 내부 배치도'!G23</f>
        <v>0</v>
      </c>
      <c r="R422" s="199"/>
      <c r="T422" s="54"/>
      <c r="U422" s="55">
        <f>'NRB 공장 내부 배치도'!H23</f>
        <v>0</v>
      </c>
      <c r="V422" s="199"/>
      <c r="X422" s="54"/>
      <c r="Y422" s="55">
        <f>'NRB 공장 내부 배치도'!I23</f>
        <v>0</v>
      </c>
      <c r="Z422" s="199"/>
      <c r="AC422" s="71"/>
      <c r="AG422" s="54"/>
      <c r="AH422" s="55">
        <f>'NRB 공장 내부 배치도'!L23</f>
        <v>0</v>
      </c>
      <c r="AI422" s="199"/>
      <c r="AK422" s="54"/>
      <c r="AL422" s="55">
        <f>'NRB 공장 내부 배치도'!M23</f>
        <v>0</v>
      </c>
      <c r="AM422" s="199"/>
      <c r="AO422" s="54"/>
      <c r="AP422" s="55">
        <f>'NRB 공장 내부 배치도'!N23</f>
        <v>0</v>
      </c>
      <c r="AQ422" s="199"/>
      <c r="AU422" s="54"/>
      <c r="AV422" s="55">
        <f>'NRB 공장 내부 배치도'!P23</f>
        <v>0</v>
      </c>
      <c r="AW422" s="199"/>
      <c r="AY422" s="54"/>
      <c r="AZ422" s="55">
        <f>'NRB 공장 내부 배치도'!Q23</f>
        <v>0</v>
      </c>
      <c r="BA422" s="199"/>
      <c r="BC422" s="54"/>
      <c r="BD422" s="55">
        <f>'NRB 공장 내부 배치도'!R23</f>
        <v>0</v>
      </c>
      <c r="BE422" s="199"/>
      <c r="BF422" s="204"/>
      <c r="BH422" s="71"/>
      <c r="BL422" s="54"/>
      <c r="BM422" s="55">
        <f>'NRB 공장 내부 배치도'!U23</f>
        <v>0</v>
      </c>
      <c r="BN422" s="56"/>
      <c r="BP422" s="54"/>
      <c r="BQ422" s="55">
        <f>'NRB 공장 내부 배치도'!V23</f>
        <v>0</v>
      </c>
      <c r="BR422" s="56"/>
      <c r="BV422" s="54"/>
      <c r="BW422" s="55">
        <f>'NRB 공장 내부 배치도'!X23</f>
        <v>0</v>
      </c>
      <c r="BX422" s="56"/>
      <c r="BZ422" s="54"/>
      <c r="CA422" s="55">
        <f>'NRB 공장 내부 배치도'!Y23</f>
        <v>0</v>
      </c>
      <c r="CB422" s="56"/>
      <c r="CF422" s="71"/>
      <c r="CG422" s="71"/>
      <c r="CH422" s="71"/>
    </row>
    <row r="423" spans="2:86">
      <c r="B423" s="34">
        <v>1</v>
      </c>
      <c r="C423" s="2"/>
      <c r="D423" s="205"/>
      <c r="F423" s="34">
        <v>1</v>
      </c>
      <c r="G423" s="3"/>
      <c r="H423" s="77"/>
      <c r="J423" s="34">
        <v>1</v>
      </c>
      <c r="K423" s="3"/>
      <c r="L423" s="253"/>
      <c r="P423" s="34">
        <v>1</v>
      </c>
      <c r="Q423" s="3"/>
      <c r="R423" s="77"/>
      <c r="T423" s="34">
        <v>1</v>
      </c>
      <c r="U423" s="3"/>
      <c r="V423" s="77"/>
      <c r="X423" s="34">
        <v>1</v>
      </c>
      <c r="Y423" s="3"/>
      <c r="Z423" s="77"/>
      <c r="AC423" s="5"/>
      <c r="AG423" s="34">
        <v>1</v>
      </c>
      <c r="AH423" s="3"/>
      <c r="AI423" s="77"/>
      <c r="AK423" s="34"/>
      <c r="AL423" s="3"/>
      <c r="AM423" s="77"/>
      <c r="AO423" s="34">
        <v>1</v>
      </c>
      <c r="AP423" s="3"/>
      <c r="AQ423" s="77"/>
      <c r="AU423" s="34">
        <v>1</v>
      </c>
      <c r="AV423" s="3"/>
      <c r="AW423" s="77"/>
      <c r="AY423" s="34">
        <v>1</v>
      </c>
      <c r="AZ423" s="3"/>
      <c r="BA423" s="205"/>
      <c r="BC423" s="34">
        <v>1</v>
      </c>
      <c r="BD423" s="3"/>
      <c r="BE423" s="77"/>
      <c r="BH423" s="5"/>
      <c r="BL423" s="36">
        <v>1</v>
      </c>
      <c r="BM423" s="3"/>
      <c r="BN423" s="77"/>
      <c r="BP423" s="36">
        <v>1</v>
      </c>
      <c r="BQ423" s="3"/>
      <c r="BR423" s="77"/>
      <c r="BV423" s="36">
        <v>1</v>
      </c>
      <c r="BW423" s="3"/>
      <c r="BX423" s="77"/>
      <c r="BZ423" s="36">
        <v>1</v>
      </c>
      <c r="CA423" s="3"/>
      <c r="CB423" s="77"/>
    </row>
    <row r="424" spans="2:86">
      <c r="B424" s="34">
        <v>2</v>
      </c>
      <c r="C424" s="2"/>
      <c r="D424" s="205"/>
      <c r="F424" s="34">
        <v>2</v>
      </c>
      <c r="G424" s="3"/>
      <c r="H424" s="77"/>
      <c r="J424" s="34">
        <v>2</v>
      </c>
      <c r="K424" s="3"/>
      <c r="L424" s="77"/>
      <c r="P424" s="34">
        <v>2</v>
      </c>
      <c r="Q424" s="3"/>
      <c r="R424" s="77"/>
      <c r="T424" s="34">
        <v>2</v>
      </c>
      <c r="U424" s="3"/>
      <c r="V424" s="77"/>
      <c r="X424" s="34">
        <v>2</v>
      </c>
      <c r="Y424" s="3"/>
      <c r="Z424" s="77"/>
      <c r="AC424" s="5"/>
      <c r="AG424" s="34">
        <v>2</v>
      </c>
      <c r="AH424" s="3"/>
      <c r="AI424" s="77"/>
      <c r="AK424" s="34"/>
      <c r="AL424" s="3"/>
      <c r="AM424" s="77"/>
      <c r="AO424" s="34">
        <v>2</v>
      </c>
      <c r="AP424" s="3"/>
      <c r="AQ424" s="77"/>
      <c r="AU424" s="34">
        <v>2</v>
      </c>
      <c r="AV424" s="3"/>
      <c r="AW424" s="77"/>
      <c r="AY424" s="34">
        <v>2</v>
      </c>
      <c r="AZ424" s="3"/>
      <c r="BA424" s="77"/>
      <c r="BC424" s="34">
        <v>2</v>
      </c>
      <c r="BD424" s="3"/>
      <c r="BE424" s="77"/>
      <c r="BH424" s="5"/>
      <c r="BL424" s="36">
        <v>2</v>
      </c>
      <c r="BM424" s="3"/>
      <c r="BN424" s="77"/>
      <c r="BP424" s="36">
        <v>2</v>
      </c>
      <c r="BQ424" s="3"/>
      <c r="BR424" s="77"/>
      <c r="BV424" s="36">
        <v>2</v>
      </c>
      <c r="BW424" s="3"/>
      <c r="BX424" s="77"/>
      <c r="BZ424" s="36">
        <v>2</v>
      </c>
      <c r="CA424" s="3"/>
      <c r="CB424" s="77"/>
    </row>
    <row r="425" spans="2:86">
      <c r="B425" s="34">
        <v>3</v>
      </c>
      <c r="C425" s="2"/>
      <c r="D425" s="205"/>
      <c r="F425" s="34">
        <v>3</v>
      </c>
      <c r="G425" s="3"/>
      <c r="H425" s="77"/>
      <c r="J425" s="34">
        <v>3</v>
      </c>
      <c r="K425" s="3"/>
      <c r="L425" s="77"/>
      <c r="P425" s="34">
        <v>3</v>
      </c>
      <c r="Q425" s="3"/>
      <c r="R425" s="77"/>
      <c r="T425" s="34">
        <v>3</v>
      </c>
      <c r="U425" s="3"/>
      <c r="V425" s="77"/>
      <c r="X425" s="34">
        <v>3</v>
      </c>
      <c r="Y425" s="3"/>
      <c r="Z425" s="77"/>
      <c r="AC425" s="5"/>
      <c r="AG425" s="34">
        <v>3</v>
      </c>
      <c r="AH425" s="3"/>
      <c r="AI425" s="77"/>
      <c r="AK425" s="34"/>
      <c r="AL425" s="3"/>
      <c r="AM425" s="77"/>
      <c r="AO425" s="34">
        <v>3</v>
      </c>
      <c r="AP425" s="3"/>
      <c r="AQ425" s="77"/>
      <c r="AU425" s="34">
        <v>3</v>
      </c>
      <c r="AV425" s="3"/>
      <c r="AW425" s="77"/>
      <c r="AY425" s="34">
        <v>3</v>
      </c>
      <c r="AZ425" s="3"/>
      <c r="BA425" s="77"/>
      <c r="BC425" s="34">
        <v>3</v>
      </c>
      <c r="BD425" s="3"/>
      <c r="BE425" s="77"/>
      <c r="BH425" s="5"/>
      <c r="BL425" s="36">
        <v>3</v>
      </c>
      <c r="BM425" s="3"/>
      <c r="BN425" s="77"/>
      <c r="BP425" s="36">
        <v>3</v>
      </c>
      <c r="BQ425" s="3"/>
      <c r="BR425" s="77"/>
      <c r="BV425" s="36">
        <v>3</v>
      </c>
      <c r="BW425" s="3"/>
      <c r="BX425" s="77"/>
      <c r="BZ425" s="36">
        <v>3</v>
      </c>
      <c r="CA425" s="3"/>
      <c r="CB425" s="77"/>
    </row>
    <row r="426" spans="2:86">
      <c r="B426" s="34">
        <v>4</v>
      </c>
      <c r="C426" s="2"/>
      <c r="D426" s="205"/>
      <c r="F426" s="34">
        <v>4</v>
      </c>
      <c r="G426" s="3"/>
      <c r="H426" s="77"/>
      <c r="J426" s="34">
        <v>4</v>
      </c>
      <c r="K426" s="3"/>
      <c r="L426" s="77"/>
      <c r="P426" s="34">
        <v>4</v>
      </c>
      <c r="Q426" s="3"/>
      <c r="R426" s="77"/>
      <c r="T426" s="34">
        <v>4</v>
      </c>
      <c r="U426" s="3"/>
      <c r="V426" s="77"/>
      <c r="X426" s="34">
        <v>4</v>
      </c>
      <c r="Y426" s="3"/>
      <c r="Z426" s="77"/>
      <c r="AC426" s="5"/>
      <c r="AG426" s="34">
        <v>4</v>
      </c>
      <c r="AH426" s="3"/>
      <c r="AI426" s="77"/>
      <c r="AK426" s="34"/>
      <c r="AL426" s="3"/>
      <c r="AM426" s="77"/>
      <c r="AO426" s="34">
        <v>4</v>
      </c>
      <c r="AP426" s="3"/>
      <c r="AQ426" s="77"/>
      <c r="AU426" s="34">
        <v>4</v>
      </c>
      <c r="AV426" s="3"/>
      <c r="AW426" s="77"/>
      <c r="AY426" s="34">
        <v>4</v>
      </c>
      <c r="AZ426" s="3"/>
      <c r="BA426" s="77"/>
      <c r="BC426" s="34">
        <v>4</v>
      </c>
      <c r="BD426" s="3"/>
      <c r="BE426" s="77"/>
      <c r="BH426" s="5"/>
      <c r="BL426" s="36">
        <v>4</v>
      </c>
      <c r="BM426" s="3"/>
      <c r="BN426" s="77"/>
      <c r="BP426" s="36">
        <v>4</v>
      </c>
      <c r="BQ426" s="3"/>
      <c r="BR426" s="77"/>
      <c r="BV426" s="36">
        <v>4</v>
      </c>
      <c r="BW426" s="3"/>
      <c r="BX426" s="77"/>
      <c r="BZ426" s="36">
        <v>4</v>
      </c>
      <c r="CA426" s="3"/>
      <c r="CB426" s="77"/>
    </row>
    <row r="427" spans="2:86">
      <c r="B427" s="34">
        <v>5</v>
      </c>
      <c r="C427" s="2"/>
      <c r="D427" s="205"/>
      <c r="F427" s="34">
        <v>5</v>
      </c>
      <c r="G427" s="3"/>
      <c r="H427" s="77"/>
      <c r="J427" s="34">
        <v>5</v>
      </c>
      <c r="K427" s="3"/>
      <c r="L427" s="77"/>
      <c r="P427" s="34">
        <v>5</v>
      </c>
      <c r="Q427" s="3"/>
      <c r="R427" s="77"/>
      <c r="T427" s="34">
        <v>5</v>
      </c>
      <c r="U427" s="3"/>
      <c r="V427" s="77"/>
      <c r="X427" s="34">
        <v>5</v>
      </c>
      <c r="Y427" s="3"/>
      <c r="Z427" s="77"/>
      <c r="AC427" s="5"/>
      <c r="AG427" s="34">
        <v>5</v>
      </c>
      <c r="AH427" s="3"/>
      <c r="AI427" s="77"/>
      <c r="AK427" s="34"/>
      <c r="AL427" s="3"/>
      <c r="AM427" s="77"/>
      <c r="AO427" s="34">
        <v>5</v>
      </c>
      <c r="AP427" s="3"/>
      <c r="AQ427" s="77"/>
      <c r="AU427" s="34">
        <v>5</v>
      </c>
      <c r="AV427" s="3"/>
      <c r="AW427" s="77"/>
      <c r="AY427" s="34">
        <v>5</v>
      </c>
      <c r="AZ427" s="3"/>
      <c r="BA427" s="77"/>
      <c r="BC427" s="34">
        <v>5</v>
      </c>
      <c r="BD427" s="3"/>
      <c r="BE427" s="77"/>
      <c r="BH427" s="5"/>
      <c r="BL427" s="36">
        <v>5</v>
      </c>
      <c r="BM427" s="3"/>
      <c r="BN427" s="77"/>
      <c r="BP427" s="36">
        <v>5</v>
      </c>
      <c r="BQ427" s="3"/>
      <c r="BR427" s="77"/>
      <c r="BV427" s="36">
        <v>5</v>
      </c>
      <c r="BW427" s="3"/>
      <c r="BX427" s="77"/>
      <c r="BZ427" s="36">
        <v>5</v>
      </c>
      <c r="CA427" s="3"/>
      <c r="CB427" s="77"/>
    </row>
    <row r="428" spans="2:86">
      <c r="B428" s="34">
        <v>6</v>
      </c>
      <c r="C428" s="2"/>
      <c r="D428" s="205"/>
      <c r="F428" s="34">
        <v>6</v>
      </c>
      <c r="G428" s="3"/>
      <c r="H428" s="77"/>
      <c r="J428" s="34">
        <v>6</v>
      </c>
      <c r="K428" s="3"/>
      <c r="L428" s="77"/>
      <c r="P428" s="34">
        <v>6</v>
      </c>
      <c r="Q428" s="3"/>
      <c r="R428" s="77"/>
      <c r="T428" s="34">
        <v>6</v>
      </c>
      <c r="U428" s="3"/>
      <c r="V428" s="77"/>
      <c r="X428" s="34">
        <v>6</v>
      </c>
      <c r="Y428" s="3"/>
      <c r="Z428" s="77"/>
      <c r="AC428" s="5"/>
      <c r="AG428" s="34">
        <v>6</v>
      </c>
      <c r="AH428" s="3"/>
      <c r="AI428" s="77"/>
      <c r="AK428" s="34"/>
      <c r="AL428" s="3"/>
      <c r="AM428" s="77"/>
      <c r="AO428" s="34">
        <v>6</v>
      </c>
      <c r="AP428" s="3"/>
      <c r="AQ428" s="77"/>
      <c r="AU428" s="34">
        <v>6</v>
      </c>
      <c r="AV428" s="3"/>
      <c r="AW428" s="77"/>
      <c r="AY428" s="34">
        <v>6</v>
      </c>
      <c r="AZ428" s="3"/>
      <c r="BA428" s="77"/>
      <c r="BC428" s="34">
        <v>6</v>
      </c>
      <c r="BD428" s="3"/>
      <c r="BE428" s="77"/>
      <c r="BH428" s="5"/>
      <c r="BL428" s="36">
        <v>6</v>
      </c>
      <c r="BM428" s="3"/>
      <c r="BN428" s="77"/>
      <c r="BP428" s="36">
        <v>6</v>
      </c>
      <c r="BQ428" s="3"/>
      <c r="BR428" s="77"/>
      <c r="BV428" s="36">
        <v>6</v>
      </c>
      <c r="BW428" s="3"/>
      <c r="BX428" s="77"/>
      <c r="BZ428" s="36">
        <v>6</v>
      </c>
      <c r="CA428" s="3"/>
      <c r="CB428" s="77"/>
    </row>
    <row r="429" spans="2:86">
      <c r="B429" s="34">
        <v>7</v>
      </c>
      <c r="C429" s="2"/>
      <c r="D429" s="205"/>
      <c r="F429" s="34">
        <v>7</v>
      </c>
      <c r="G429" s="3"/>
      <c r="H429" s="77"/>
      <c r="J429" s="34">
        <v>7</v>
      </c>
      <c r="K429" s="3"/>
      <c r="L429" s="77"/>
      <c r="P429" s="34">
        <v>7</v>
      </c>
      <c r="Q429" s="3"/>
      <c r="R429" s="77"/>
      <c r="T429" s="34">
        <v>7</v>
      </c>
      <c r="U429" s="3"/>
      <c r="V429" s="77"/>
      <c r="X429" s="34">
        <v>7</v>
      </c>
      <c r="Y429" s="3"/>
      <c r="Z429" s="77"/>
      <c r="AC429" s="5"/>
      <c r="AG429" s="34">
        <v>7</v>
      </c>
      <c r="AH429" s="3"/>
      <c r="AI429" s="77"/>
      <c r="AK429" s="34"/>
      <c r="AL429" s="3"/>
      <c r="AM429" s="77"/>
      <c r="AO429" s="34">
        <v>7</v>
      </c>
      <c r="AP429" s="3"/>
      <c r="AQ429" s="77"/>
      <c r="AU429" s="34">
        <v>7</v>
      </c>
      <c r="AV429" s="3"/>
      <c r="AW429" s="77"/>
      <c r="AY429" s="34">
        <v>7</v>
      </c>
      <c r="AZ429" s="3"/>
      <c r="BA429" s="77"/>
      <c r="BC429" s="34">
        <v>7</v>
      </c>
      <c r="BD429" s="3"/>
      <c r="BE429" s="77"/>
      <c r="BH429" s="5"/>
      <c r="BL429" s="36">
        <v>7</v>
      </c>
      <c r="BM429" s="3"/>
      <c r="BN429" s="77"/>
      <c r="BP429" s="36">
        <v>7</v>
      </c>
      <c r="BQ429" s="3"/>
      <c r="BR429" s="77"/>
      <c r="BV429" s="36">
        <v>7</v>
      </c>
      <c r="BW429" s="3"/>
      <c r="BX429" s="77"/>
      <c r="BZ429" s="36">
        <v>7</v>
      </c>
      <c r="CA429" s="3"/>
      <c r="CB429" s="77"/>
    </row>
    <row r="430" spans="2:86">
      <c r="B430" s="34">
        <v>8</v>
      </c>
      <c r="C430" s="2"/>
      <c r="D430" s="205"/>
      <c r="F430" s="34">
        <v>8</v>
      </c>
      <c r="G430" s="3"/>
      <c r="H430" s="77"/>
      <c r="J430" s="34">
        <v>8</v>
      </c>
      <c r="K430" s="3"/>
      <c r="L430" s="77"/>
      <c r="P430" s="34">
        <v>8</v>
      </c>
      <c r="Q430" s="3"/>
      <c r="R430" s="77"/>
      <c r="T430" s="34">
        <v>8</v>
      </c>
      <c r="U430" s="3"/>
      <c r="V430" s="77"/>
      <c r="X430" s="34">
        <v>8</v>
      </c>
      <c r="Y430" s="3"/>
      <c r="Z430" s="77"/>
      <c r="AC430" s="5"/>
      <c r="AG430" s="34">
        <v>8</v>
      </c>
      <c r="AH430" s="3"/>
      <c r="AI430" s="77"/>
      <c r="AK430" s="34"/>
      <c r="AL430" s="3"/>
      <c r="AM430" s="77"/>
      <c r="AO430" s="34">
        <v>8</v>
      </c>
      <c r="AP430" s="3"/>
      <c r="AQ430" s="77"/>
      <c r="AU430" s="34">
        <v>8</v>
      </c>
      <c r="AV430" s="3"/>
      <c r="AW430" s="77"/>
      <c r="AY430" s="34">
        <v>8</v>
      </c>
      <c r="AZ430" s="3"/>
      <c r="BA430" s="77"/>
      <c r="BC430" s="34">
        <v>8</v>
      </c>
      <c r="BD430" s="3"/>
      <c r="BE430" s="77"/>
      <c r="BH430" s="5"/>
      <c r="BL430" s="36">
        <v>8</v>
      </c>
      <c r="BM430" s="3"/>
      <c r="BN430" s="77"/>
      <c r="BP430" s="36">
        <v>8</v>
      </c>
      <c r="BQ430" s="3"/>
      <c r="BR430" s="77"/>
      <c r="BV430" s="36">
        <v>8</v>
      </c>
      <c r="BW430" s="3"/>
      <c r="BX430" s="77"/>
      <c r="BZ430" s="36">
        <v>8</v>
      </c>
      <c r="CA430" s="3"/>
      <c r="CB430" s="77"/>
    </row>
    <row r="431" spans="2:86">
      <c r="B431" s="34">
        <v>9</v>
      </c>
      <c r="C431" s="2"/>
      <c r="D431" s="205"/>
      <c r="F431" s="34">
        <v>9</v>
      </c>
      <c r="G431" s="3"/>
      <c r="H431" s="77"/>
      <c r="J431" s="34">
        <v>9</v>
      </c>
      <c r="K431" s="3"/>
      <c r="L431" s="77"/>
      <c r="P431" s="34">
        <v>9</v>
      </c>
      <c r="Q431" s="3"/>
      <c r="R431" s="77"/>
      <c r="T431" s="34">
        <v>9</v>
      </c>
      <c r="U431" s="3"/>
      <c r="V431" s="77"/>
      <c r="X431" s="34">
        <v>9</v>
      </c>
      <c r="Y431" s="3"/>
      <c r="Z431" s="77"/>
      <c r="AC431" s="5"/>
      <c r="AG431" s="34">
        <v>9</v>
      </c>
      <c r="AH431" s="3"/>
      <c r="AI431" s="77"/>
      <c r="AK431" s="34"/>
      <c r="AL431" s="3"/>
      <c r="AM431" s="77"/>
      <c r="AO431" s="34">
        <v>9</v>
      </c>
      <c r="AP431" s="3"/>
      <c r="AQ431" s="77"/>
      <c r="AU431" s="34">
        <v>9</v>
      </c>
      <c r="AV431" s="3"/>
      <c r="AW431" s="77"/>
      <c r="AY431" s="34">
        <v>9</v>
      </c>
      <c r="AZ431" s="3"/>
      <c r="BA431" s="77"/>
      <c r="BC431" s="34">
        <v>9</v>
      </c>
      <c r="BD431" s="3"/>
      <c r="BE431" s="77"/>
      <c r="BH431" s="5"/>
      <c r="BL431" s="36">
        <v>9</v>
      </c>
      <c r="BM431" s="3"/>
      <c r="BN431" s="77"/>
      <c r="BP431" s="36">
        <v>9</v>
      </c>
      <c r="BQ431" s="3"/>
      <c r="BR431" s="77"/>
      <c r="BV431" s="36">
        <v>9</v>
      </c>
      <c r="BW431" s="3"/>
      <c r="BX431" s="77"/>
      <c r="BZ431" s="36">
        <v>9</v>
      </c>
      <c r="CA431" s="3"/>
      <c r="CB431" s="77"/>
    </row>
    <row r="432" spans="2:86">
      <c r="B432" s="34">
        <v>10</v>
      </c>
      <c r="C432" s="2"/>
      <c r="D432" s="205"/>
      <c r="F432" s="34">
        <v>10</v>
      </c>
      <c r="G432" s="3"/>
      <c r="H432" s="77"/>
      <c r="J432" s="34">
        <v>10</v>
      </c>
      <c r="K432" s="3"/>
      <c r="L432" s="77"/>
      <c r="P432" s="34">
        <v>10</v>
      </c>
      <c r="Q432" s="3"/>
      <c r="R432" s="77"/>
      <c r="T432" s="34">
        <v>10</v>
      </c>
      <c r="U432" s="3"/>
      <c r="V432" s="77"/>
      <c r="X432" s="34">
        <v>10</v>
      </c>
      <c r="Y432" s="3"/>
      <c r="Z432" s="77"/>
      <c r="AC432" s="5"/>
      <c r="AG432" s="34">
        <v>10</v>
      </c>
      <c r="AH432" s="3"/>
      <c r="AI432" s="77"/>
      <c r="AK432" s="34"/>
      <c r="AL432" s="3"/>
      <c r="AM432" s="77"/>
      <c r="AO432" s="34">
        <v>10</v>
      </c>
      <c r="AP432" s="3"/>
      <c r="AQ432" s="77"/>
      <c r="AU432" s="34">
        <v>10</v>
      </c>
      <c r="AV432" s="3"/>
      <c r="AW432" s="77"/>
      <c r="AY432" s="34">
        <v>10</v>
      </c>
      <c r="AZ432" s="3"/>
      <c r="BA432" s="77"/>
      <c r="BC432" s="34">
        <v>10</v>
      </c>
      <c r="BD432" s="3"/>
      <c r="BE432" s="77"/>
      <c r="BH432" s="5"/>
      <c r="BL432" s="36">
        <v>10</v>
      </c>
      <c r="BM432" s="3"/>
      <c r="BN432" s="77"/>
      <c r="BP432" s="36">
        <v>10</v>
      </c>
      <c r="BQ432" s="3"/>
      <c r="BR432" s="77"/>
      <c r="BV432" s="36">
        <v>10</v>
      </c>
      <c r="BW432" s="3"/>
      <c r="BX432" s="77"/>
      <c r="BZ432" s="36">
        <v>10</v>
      </c>
      <c r="CA432" s="3"/>
      <c r="CB432" s="77"/>
    </row>
    <row r="433" spans="2:80">
      <c r="B433" s="34">
        <v>11</v>
      </c>
      <c r="C433" s="2"/>
      <c r="D433" s="205"/>
      <c r="F433" s="34">
        <v>11</v>
      </c>
      <c r="G433" s="3"/>
      <c r="H433" s="77"/>
      <c r="J433" s="34">
        <v>11</v>
      </c>
      <c r="K433" s="3"/>
      <c r="L433" s="77"/>
      <c r="P433" s="34">
        <v>11</v>
      </c>
      <c r="Q433" s="3"/>
      <c r="R433" s="77"/>
      <c r="T433" s="34">
        <v>11</v>
      </c>
      <c r="U433" s="3"/>
      <c r="V433" s="77"/>
      <c r="X433" s="34">
        <v>11</v>
      </c>
      <c r="Y433" s="3"/>
      <c r="Z433" s="77"/>
      <c r="AC433" s="5"/>
      <c r="AG433" s="34">
        <v>11</v>
      </c>
      <c r="AH433" s="3"/>
      <c r="AI433" s="77"/>
      <c r="AK433" s="34"/>
      <c r="AL433" s="3"/>
      <c r="AM433" s="77"/>
      <c r="AO433" s="34">
        <v>11</v>
      </c>
      <c r="AP433" s="3"/>
      <c r="AQ433" s="77"/>
      <c r="AU433" s="34">
        <v>11</v>
      </c>
      <c r="AV433" s="3"/>
      <c r="AW433" s="77"/>
      <c r="AY433" s="34">
        <v>11</v>
      </c>
      <c r="AZ433" s="3"/>
      <c r="BA433" s="77"/>
      <c r="BC433" s="34">
        <v>11</v>
      </c>
      <c r="BD433" s="3"/>
      <c r="BE433" s="77"/>
      <c r="BH433" s="5"/>
      <c r="BL433" s="36">
        <v>11</v>
      </c>
      <c r="BM433" s="3"/>
      <c r="BN433" s="4"/>
      <c r="BP433" s="36">
        <v>11</v>
      </c>
      <c r="BQ433" s="3"/>
      <c r="BR433" s="77"/>
      <c r="BV433" s="36">
        <v>11</v>
      </c>
      <c r="BW433" s="3"/>
      <c r="BX433" s="4"/>
      <c r="BZ433" s="36">
        <v>11</v>
      </c>
      <c r="CA433" s="3"/>
      <c r="CB433" s="4"/>
    </row>
    <row r="434" spans="2:80">
      <c r="B434" s="34">
        <v>12</v>
      </c>
      <c r="C434" s="2"/>
      <c r="D434" s="205"/>
      <c r="F434" s="34">
        <v>12</v>
      </c>
      <c r="G434" s="3"/>
      <c r="H434" s="77"/>
      <c r="J434" s="34">
        <v>12</v>
      </c>
      <c r="K434" s="3"/>
      <c r="L434" s="77"/>
      <c r="P434" s="34">
        <v>12</v>
      </c>
      <c r="Q434" s="3"/>
      <c r="R434" s="77"/>
      <c r="T434" s="34">
        <v>12</v>
      </c>
      <c r="U434" s="3"/>
      <c r="V434" s="77"/>
      <c r="X434" s="34">
        <v>12</v>
      </c>
      <c r="Y434" s="3"/>
      <c r="Z434" s="77"/>
      <c r="AC434" s="5"/>
      <c r="AG434" s="34">
        <v>12</v>
      </c>
      <c r="AH434" s="3"/>
      <c r="AI434" s="77"/>
      <c r="AK434" s="34"/>
      <c r="AL434" s="3"/>
      <c r="AM434" s="77"/>
      <c r="AO434" s="34">
        <v>12</v>
      </c>
      <c r="AP434" s="3"/>
      <c r="AQ434" s="77"/>
      <c r="AU434" s="34">
        <v>12</v>
      </c>
      <c r="AV434" s="3"/>
      <c r="AW434" s="77"/>
      <c r="AY434" s="34">
        <v>12</v>
      </c>
      <c r="AZ434" s="3"/>
      <c r="BA434" s="77"/>
      <c r="BC434" s="34">
        <v>12</v>
      </c>
      <c r="BD434" s="3"/>
      <c r="BE434" s="77"/>
      <c r="BH434" s="5"/>
      <c r="BL434" s="36">
        <v>12</v>
      </c>
      <c r="BM434" s="3"/>
      <c r="BN434" s="77"/>
      <c r="BP434" s="36">
        <v>12</v>
      </c>
      <c r="BQ434" s="3"/>
      <c r="BR434" s="77"/>
      <c r="BV434" s="36">
        <v>12</v>
      </c>
      <c r="BW434" s="3"/>
      <c r="BX434" s="77"/>
      <c r="BZ434" s="36">
        <v>12</v>
      </c>
      <c r="CA434" s="3"/>
      <c r="CB434" s="77"/>
    </row>
    <row r="435" spans="2:80">
      <c r="B435" s="34">
        <v>13</v>
      </c>
      <c r="C435" s="2"/>
      <c r="D435" s="205"/>
      <c r="F435" s="34">
        <v>13</v>
      </c>
      <c r="G435" s="3"/>
      <c r="H435" s="77"/>
      <c r="J435" s="34">
        <v>13</v>
      </c>
      <c r="K435" s="3"/>
      <c r="L435" s="77"/>
      <c r="O435" t="s">
        <v>27</v>
      </c>
      <c r="P435" s="34">
        <v>13</v>
      </c>
      <c r="Q435" s="3"/>
      <c r="R435" s="77"/>
      <c r="T435" s="34">
        <v>13</v>
      </c>
      <c r="U435" s="3"/>
      <c r="V435" s="77"/>
      <c r="X435" s="34">
        <v>13</v>
      </c>
      <c r="Y435" s="3"/>
      <c r="Z435" s="77"/>
      <c r="AC435" s="5"/>
      <c r="AG435" s="34">
        <v>13</v>
      </c>
      <c r="AH435" s="3"/>
      <c r="AI435" s="77"/>
      <c r="AK435" s="34"/>
      <c r="AL435" s="3"/>
      <c r="AM435" s="77"/>
      <c r="AO435" s="34">
        <v>13</v>
      </c>
      <c r="AP435" s="3"/>
      <c r="AQ435" s="77"/>
      <c r="AU435" s="34">
        <v>13</v>
      </c>
      <c r="AV435" s="3"/>
      <c r="AW435" s="77"/>
      <c r="AY435" s="34">
        <v>13</v>
      </c>
      <c r="AZ435" s="3"/>
      <c r="BA435" s="77"/>
      <c r="BC435" s="34">
        <v>13</v>
      </c>
      <c r="BD435" s="3"/>
      <c r="BE435" s="77"/>
      <c r="BH435" s="5"/>
      <c r="BL435" s="36">
        <v>13</v>
      </c>
      <c r="BM435" s="3"/>
      <c r="BN435" s="77"/>
      <c r="BP435" s="36">
        <v>13</v>
      </c>
      <c r="BQ435" s="3"/>
      <c r="BR435" s="77"/>
      <c r="BV435" s="36">
        <v>13</v>
      </c>
      <c r="BW435" s="3"/>
      <c r="BX435" s="77"/>
      <c r="BZ435" s="36">
        <v>13</v>
      </c>
      <c r="CA435" s="3"/>
      <c r="CB435" s="77"/>
    </row>
    <row r="436" spans="2:80">
      <c r="B436" s="34">
        <v>14</v>
      </c>
      <c r="C436" s="2"/>
      <c r="D436" s="205"/>
      <c r="F436" s="34">
        <v>14</v>
      </c>
      <c r="G436" s="3"/>
      <c r="H436" s="77"/>
      <c r="J436" s="34">
        <v>14</v>
      </c>
      <c r="K436" s="3"/>
      <c r="L436" s="77"/>
      <c r="P436" s="34">
        <v>14</v>
      </c>
      <c r="Q436" s="3"/>
      <c r="R436" s="77"/>
      <c r="T436" s="34">
        <v>14</v>
      </c>
      <c r="U436" s="3"/>
      <c r="V436" s="77"/>
      <c r="X436" s="34">
        <v>14</v>
      </c>
      <c r="Y436" s="3"/>
      <c r="Z436" s="77"/>
      <c r="AC436" s="5"/>
      <c r="AG436" s="34">
        <v>14</v>
      </c>
      <c r="AH436" s="3"/>
      <c r="AI436" s="77"/>
      <c r="AK436" s="34"/>
      <c r="AL436" s="3"/>
      <c r="AM436" s="77"/>
      <c r="AO436" s="34">
        <v>14</v>
      </c>
      <c r="AP436" s="3"/>
      <c r="AQ436" s="77"/>
      <c r="AU436" s="34">
        <v>14</v>
      </c>
      <c r="AV436" s="3"/>
      <c r="AW436" s="77"/>
      <c r="AY436" s="34">
        <v>14</v>
      </c>
      <c r="AZ436" s="3"/>
      <c r="BA436" s="77"/>
      <c r="BC436" s="34">
        <v>14</v>
      </c>
      <c r="BD436" s="3"/>
      <c r="BE436" s="77"/>
      <c r="BH436" s="5"/>
      <c r="BL436" s="36">
        <v>14</v>
      </c>
      <c r="BM436" s="3"/>
      <c r="BN436" s="77"/>
      <c r="BP436" s="36">
        <v>14</v>
      </c>
      <c r="BQ436" s="3"/>
      <c r="BR436" s="77"/>
      <c r="BV436" s="36">
        <v>14</v>
      </c>
      <c r="BW436" s="3"/>
      <c r="BX436" s="4"/>
      <c r="BZ436" s="36">
        <v>14</v>
      </c>
      <c r="CA436" s="3"/>
      <c r="CB436" s="77"/>
    </row>
    <row r="437" spans="2:80">
      <c r="B437" s="34">
        <v>15</v>
      </c>
      <c r="C437" s="2"/>
      <c r="D437" s="205"/>
      <c r="F437" s="34">
        <v>15</v>
      </c>
      <c r="G437" s="3"/>
      <c r="H437" s="77"/>
      <c r="J437" s="34">
        <v>15</v>
      </c>
      <c r="K437" s="3"/>
      <c r="L437" s="77"/>
      <c r="P437" s="34">
        <v>15</v>
      </c>
      <c r="Q437" s="3"/>
      <c r="R437" s="77"/>
      <c r="T437" s="34">
        <v>15</v>
      </c>
      <c r="U437" s="3"/>
      <c r="V437" s="77"/>
      <c r="X437" s="34">
        <v>15</v>
      </c>
      <c r="Y437" s="3"/>
      <c r="Z437" s="77"/>
      <c r="AC437" s="5"/>
      <c r="AG437" s="34">
        <v>15</v>
      </c>
      <c r="AH437" s="3"/>
      <c r="AI437" s="77"/>
      <c r="AK437" s="34"/>
      <c r="AL437" s="3"/>
      <c r="AM437" s="77"/>
      <c r="AO437" s="34">
        <v>15</v>
      </c>
      <c r="AP437" s="3"/>
      <c r="AQ437" s="77"/>
      <c r="AU437" s="34">
        <v>15</v>
      </c>
      <c r="AV437" s="3"/>
      <c r="AW437" s="77"/>
      <c r="AY437" s="34">
        <v>15</v>
      </c>
      <c r="AZ437" s="3"/>
      <c r="BA437" s="77"/>
      <c r="BC437" s="34">
        <v>15</v>
      </c>
      <c r="BD437" s="3"/>
      <c r="BE437" s="77"/>
      <c r="BH437" s="5"/>
      <c r="BL437" s="36">
        <v>15</v>
      </c>
      <c r="BM437" s="3"/>
      <c r="BN437" s="4"/>
      <c r="BP437" s="36">
        <v>15</v>
      </c>
      <c r="BQ437" s="3"/>
      <c r="BR437" s="4"/>
      <c r="BV437" s="36">
        <v>15</v>
      </c>
      <c r="BW437" s="3"/>
      <c r="BX437" s="4"/>
      <c r="BZ437" s="36">
        <v>15</v>
      </c>
      <c r="CA437" s="3"/>
      <c r="CB437" s="77"/>
    </row>
    <row r="438" spans="2:80">
      <c r="B438" s="34">
        <v>16</v>
      </c>
      <c r="C438" s="3"/>
      <c r="D438" s="77"/>
      <c r="F438" s="34">
        <v>16</v>
      </c>
      <c r="G438" s="3"/>
      <c r="H438" s="77"/>
      <c r="J438" s="34">
        <v>16</v>
      </c>
      <c r="K438" s="3"/>
      <c r="L438" s="77"/>
      <c r="P438" s="34">
        <v>16</v>
      </c>
      <c r="Q438" s="3"/>
      <c r="R438" s="77"/>
      <c r="T438" s="34">
        <v>16</v>
      </c>
      <c r="U438" s="3"/>
      <c r="V438" s="77"/>
      <c r="X438" s="34">
        <v>16</v>
      </c>
      <c r="Y438" s="3"/>
      <c r="Z438" s="77"/>
      <c r="AC438" s="5"/>
      <c r="AG438" s="34">
        <v>16</v>
      </c>
      <c r="AH438" s="3"/>
      <c r="AI438" s="77"/>
      <c r="AK438" s="34"/>
      <c r="AL438" s="3"/>
      <c r="AM438" s="77"/>
      <c r="AO438" s="34">
        <v>16</v>
      </c>
      <c r="AP438" s="3"/>
      <c r="AQ438" s="77"/>
      <c r="AU438" s="34">
        <v>16</v>
      </c>
      <c r="AV438" s="3"/>
      <c r="AW438" s="77"/>
      <c r="AY438" s="34">
        <v>16</v>
      </c>
      <c r="AZ438" s="3"/>
      <c r="BA438" s="77"/>
      <c r="BC438" s="34">
        <v>16</v>
      </c>
      <c r="BD438" s="3"/>
      <c r="BE438" s="77"/>
      <c r="BH438" s="5"/>
      <c r="BL438" s="36">
        <v>16</v>
      </c>
      <c r="BM438" s="3"/>
      <c r="BN438" s="77"/>
      <c r="BP438" s="36">
        <v>16</v>
      </c>
      <c r="BQ438" s="3"/>
      <c r="BR438" s="4"/>
      <c r="BV438" s="36">
        <v>16</v>
      </c>
      <c r="BW438" s="3"/>
      <c r="BX438" s="4"/>
      <c r="BZ438" s="36">
        <v>16</v>
      </c>
      <c r="CA438" s="3"/>
      <c r="CB438" s="77"/>
    </row>
    <row r="439" spans="2:80">
      <c r="B439" s="34">
        <v>17</v>
      </c>
      <c r="C439" s="3"/>
      <c r="D439" s="77"/>
      <c r="F439" s="34">
        <v>17</v>
      </c>
      <c r="G439" s="3"/>
      <c r="H439" s="77"/>
      <c r="J439" s="34">
        <v>17</v>
      </c>
      <c r="K439" s="3"/>
      <c r="L439" s="77"/>
      <c r="P439" s="34">
        <v>17</v>
      </c>
      <c r="Q439" s="3"/>
      <c r="R439" s="77"/>
      <c r="T439" s="34">
        <v>17</v>
      </c>
      <c r="U439" s="3"/>
      <c r="V439" s="77"/>
      <c r="X439" s="34">
        <v>17</v>
      </c>
      <c r="Y439" s="3"/>
      <c r="Z439" s="77"/>
      <c r="AC439" s="5"/>
      <c r="AG439" s="34">
        <v>17</v>
      </c>
      <c r="AH439" s="3"/>
      <c r="AI439" s="77"/>
      <c r="AK439" s="34"/>
      <c r="AL439" s="3"/>
      <c r="AM439" s="77"/>
      <c r="AO439" s="34">
        <v>17</v>
      </c>
      <c r="AP439" s="3"/>
      <c r="AQ439" s="77"/>
      <c r="AU439" s="34">
        <v>17</v>
      </c>
      <c r="AV439" s="3"/>
      <c r="AW439" s="77"/>
      <c r="AY439" s="34">
        <v>17</v>
      </c>
      <c r="AZ439" s="3"/>
      <c r="BA439" s="77"/>
      <c r="BC439" s="34">
        <v>17</v>
      </c>
      <c r="BD439" s="3"/>
      <c r="BE439" s="77"/>
      <c r="BH439" s="5"/>
      <c r="BL439" s="36">
        <v>17</v>
      </c>
      <c r="BM439" s="3"/>
      <c r="BN439" s="77"/>
      <c r="BP439" s="36">
        <v>17</v>
      </c>
      <c r="BQ439" s="3"/>
      <c r="BR439" s="77"/>
      <c r="BV439" s="36">
        <v>17</v>
      </c>
      <c r="BW439" s="3"/>
      <c r="BX439" s="4"/>
      <c r="BZ439" s="36">
        <v>17</v>
      </c>
      <c r="CA439" s="3"/>
      <c r="CB439" s="77"/>
    </row>
    <row r="440" spans="2:80">
      <c r="B440" s="34">
        <v>18</v>
      </c>
      <c r="C440" s="3"/>
      <c r="D440" s="77"/>
      <c r="F440" s="34">
        <v>18</v>
      </c>
      <c r="G440" s="3"/>
      <c r="H440" s="77"/>
      <c r="J440" s="34">
        <v>18</v>
      </c>
      <c r="K440" s="3"/>
      <c r="L440" s="77"/>
      <c r="P440" s="34">
        <v>18</v>
      </c>
      <c r="Q440" s="3"/>
      <c r="R440" s="77"/>
      <c r="T440" s="34">
        <v>18</v>
      </c>
      <c r="U440" s="3"/>
      <c r="V440" s="77"/>
      <c r="X440" s="34">
        <v>18</v>
      </c>
      <c r="Y440" s="3"/>
      <c r="Z440" s="77"/>
      <c r="AC440" s="5"/>
      <c r="AG440" s="34">
        <v>18</v>
      </c>
      <c r="AH440" s="3"/>
      <c r="AI440" s="77"/>
      <c r="AK440" s="34"/>
      <c r="AL440" s="3"/>
      <c r="AM440" s="77"/>
      <c r="AO440" s="34">
        <v>18</v>
      </c>
      <c r="AP440" s="3"/>
      <c r="AQ440" s="77"/>
      <c r="AU440" s="34">
        <v>18</v>
      </c>
      <c r="AV440" s="3"/>
      <c r="AW440" s="77"/>
      <c r="AY440" s="34">
        <v>18</v>
      </c>
      <c r="AZ440" s="3"/>
      <c r="BA440" s="77"/>
      <c r="BC440" s="34">
        <v>18</v>
      </c>
      <c r="BD440" s="3"/>
      <c r="BE440" s="77"/>
      <c r="BH440" s="5"/>
      <c r="BL440" s="36">
        <v>18</v>
      </c>
      <c r="BM440" s="3"/>
      <c r="BN440" s="77"/>
      <c r="BP440" s="36">
        <v>18</v>
      </c>
      <c r="BQ440" s="3"/>
      <c r="BR440" s="77"/>
      <c r="BV440" s="36">
        <v>18</v>
      </c>
      <c r="BW440" s="3"/>
      <c r="BX440" s="4"/>
      <c r="BZ440" s="36">
        <v>18</v>
      </c>
      <c r="CA440" s="3"/>
      <c r="CB440" s="77"/>
    </row>
    <row r="441" spans="2:80">
      <c r="B441" s="34">
        <v>19</v>
      </c>
      <c r="C441" s="3"/>
      <c r="D441" s="77"/>
      <c r="F441" s="34">
        <v>19</v>
      </c>
      <c r="G441" s="3"/>
      <c r="H441" s="77"/>
      <c r="J441" s="34">
        <v>19</v>
      </c>
      <c r="K441" s="3"/>
      <c r="L441" s="77"/>
      <c r="P441" s="34">
        <v>19</v>
      </c>
      <c r="Q441" s="3"/>
      <c r="R441" s="77"/>
      <c r="T441" s="34">
        <v>19</v>
      </c>
      <c r="U441" s="3"/>
      <c r="V441" s="77"/>
      <c r="X441" s="34">
        <v>19</v>
      </c>
      <c r="Y441" s="3"/>
      <c r="Z441" s="77"/>
      <c r="AC441" s="5"/>
      <c r="AG441" s="34">
        <v>19</v>
      </c>
      <c r="AH441" s="3"/>
      <c r="AI441" s="77"/>
      <c r="AK441" s="34"/>
      <c r="AL441" s="3"/>
      <c r="AM441" s="77"/>
      <c r="AO441" s="34">
        <v>19</v>
      </c>
      <c r="AP441" s="3"/>
      <c r="AQ441" s="77"/>
      <c r="AU441" s="34">
        <v>19</v>
      </c>
      <c r="AV441" s="3"/>
      <c r="AW441" s="77"/>
      <c r="AY441" s="34">
        <v>19</v>
      </c>
      <c r="AZ441" s="3"/>
      <c r="BA441" s="77"/>
      <c r="BC441" s="34">
        <v>19</v>
      </c>
      <c r="BD441" s="3"/>
      <c r="BE441" s="77"/>
      <c r="BH441" s="5"/>
      <c r="BL441" s="36">
        <v>19</v>
      </c>
      <c r="BM441" s="3"/>
      <c r="BN441" s="4"/>
      <c r="BP441" s="36">
        <v>19</v>
      </c>
      <c r="BQ441" s="3"/>
      <c r="BR441" s="4"/>
      <c r="BV441" s="36">
        <v>19</v>
      </c>
      <c r="BW441" s="3"/>
      <c r="BX441" s="4"/>
      <c r="BZ441" s="36">
        <v>19</v>
      </c>
      <c r="CA441" s="3"/>
      <c r="CB441" s="4"/>
    </row>
    <row r="442" spans="2:80">
      <c r="B442" s="34">
        <v>20</v>
      </c>
      <c r="C442" s="3"/>
      <c r="D442" s="77"/>
      <c r="F442" s="34">
        <v>20</v>
      </c>
      <c r="G442" s="3"/>
      <c r="H442" s="77"/>
      <c r="J442" s="34">
        <v>20</v>
      </c>
      <c r="K442" s="3"/>
      <c r="L442" s="77"/>
      <c r="P442" s="34">
        <v>20</v>
      </c>
      <c r="Q442" s="3"/>
      <c r="R442" s="77"/>
      <c r="T442" s="34">
        <v>20</v>
      </c>
      <c r="U442" s="3"/>
      <c r="V442" s="77"/>
      <c r="X442" s="34">
        <v>20</v>
      </c>
      <c r="Y442" s="3"/>
      <c r="Z442" s="77"/>
      <c r="AC442" s="5"/>
      <c r="AG442" s="34">
        <v>20</v>
      </c>
      <c r="AH442" s="3"/>
      <c r="AI442" s="77"/>
      <c r="AK442" s="34"/>
      <c r="AL442" s="3"/>
      <c r="AM442" s="77"/>
      <c r="AO442" s="34">
        <v>20</v>
      </c>
      <c r="AP442" s="3"/>
      <c r="AQ442" s="77"/>
      <c r="AU442" s="34">
        <v>20</v>
      </c>
      <c r="AV442" s="3"/>
      <c r="AW442" s="77"/>
      <c r="AY442" s="34">
        <v>20</v>
      </c>
      <c r="AZ442" s="3"/>
      <c r="BA442" s="77"/>
      <c r="BC442" s="34">
        <v>20</v>
      </c>
      <c r="BD442" s="3"/>
      <c r="BE442" s="77"/>
      <c r="BH442" s="5"/>
      <c r="BL442" s="36">
        <v>20</v>
      </c>
      <c r="BM442" s="3"/>
      <c r="BN442" s="4"/>
      <c r="BP442" s="36">
        <v>20</v>
      </c>
      <c r="BQ442" s="3"/>
      <c r="BR442" s="4"/>
      <c r="BV442" s="36">
        <v>20</v>
      </c>
      <c r="BW442" s="3"/>
      <c r="BX442" s="4"/>
      <c r="BZ442" s="36">
        <v>20</v>
      </c>
      <c r="CA442" s="3"/>
      <c r="CB442" s="77"/>
    </row>
    <row r="443" spans="2:80">
      <c r="B443" s="34">
        <v>21</v>
      </c>
      <c r="C443" s="3"/>
      <c r="D443" s="77"/>
      <c r="F443" s="34">
        <v>21</v>
      </c>
      <c r="G443" s="3"/>
      <c r="H443" s="77"/>
      <c r="J443" s="34">
        <v>21</v>
      </c>
      <c r="K443" s="3"/>
      <c r="L443" s="77"/>
      <c r="P443" s="34">
        <v>21</v>
      </c>
      <c r="Q443" s="3"/>
      <c r="R443" s="77"/>
      <c r="T443" s="34">
        <v>21</v>
      </c>
      <c r="U443" s="3"/>
      <c r="V443" s="77"/>
      <c r="X443" s="34">
        <v>21</v>
      </c>
      <c r="Y443" s="3"/>
      <c r="Z443" s="77"/>
      <c r="AC443" s="5"/>
      <c r="AG443" s="34">
        <v>21</v>
      </c>
      <c r="AH443" s="3"/>
      <c r="AI443" s="77"/>
      <c r="AK443" s="34"/>
      <c r="AL443" s="3"/>
      <c r="AM443" s="77"/>
      <c r="AO443" s="34">
        <v>21</v>
      </c>
      <c r="AP443" s="3"/>
      <c r="AQ443" s="77"/>
      <c r="AU443" s="34">
        <v>21</v>
      </c>
      <c r="AV443" s="3"/>
      <c r="AW443" s="77"/>
      <c r="AY443" s="34">
        <v>21</v>
      </c>
      <c r="AZ443" s="3"/>
      <c r="BA443" s="77"/>
      <c r="BC443" s="34">
        <v>21</v>
      </c>
      <c r="BD443" s="3"/>
      <c r="BE443" s="77"/>
      <c r="BH443" s="5"/>
      <c r="BL443" s="36">
        <v>21</v>
      </c>
      <c r="BM443" s="3"/>
      <c r="BN443" s="4"/>
      <c r="BP443" s="36">
        <v>21</v>
      </c>
      <c r="BQ443" s="3"/>
      <c r="BR443" s="4"/>
      <c r="BV443" s="36">
        <v>21</v>
      </c>
      <c r="BW443" s="3"/>
      <c r="BX443" s="4"/>
      <c r="BZ443" s="36">
        <v>21</v>
      </c>
      <c r="CA443" s="3"/>
      <c r="CB443" s="4"/>
    </row>
    <row r="444" spans="2:80">
      <c r="B444" s="34">
        <v>22</v>
      </c>
      <c r="C444" s="3"/>
      <c r="D444" s="77"/>
      <c r="F444" s="34">
        <v>22</v>
      </c>
      <c r="G444" s="3"/>
      <c r="H444" s="77"/>
      <c r="J444" s="34">
        <v>22</v>
      </c>
      <c r="K444" s="3"/>
      <c r="L444" s="77"/>
      <c r="P444" s="34">
        <v>22</v>
      </c>
      <c r="Q444" s="3"/>
      <c r="R444" s="77"/>
      <c r="T444" s="34">
        <v>22</v>
      </c>
      <c r="U444" s="3"/>
      <c r="V444" s="77"/>
      <c r="X444" s="34">
        <v>22</v>
      </c>
      <c r="Y444" s="3"/>
      <c r="Z444" s="77"/>
      <c r="AC444" s="5"/>
      <c r="AG444" s="34">
        <v>22</v>
      </c>
      <c r="AH444" s="3"/>
      <c r="AI444" s="77"/>
      <c r="AK444" s="34"/>
      <c r="AL444" s="3"/>
      <c r="AM444" s="77"/>
      <c r="AO444" s="34">
        <v>22</v>
      </c>
      <c r="AP444" s="3"/>
      <c r="AQ444" s="77"/>
      <c r="AU444" s="34">
        <v>22</v>
      </c>
      <c r="AV444" s="3"/>
      <c r="AW444" s="77"/>
      <c r="AY444" s="34">
        <v>22</v>
      </c>
      <c r="AZ444" s="3"/>
      <c r="BA444" s="77"/>
      <c r="BC444" s="34">
        <v>22</v>
      </c>
      <c r="BD444" s="3"/>
      <c r="BE444" s="77"/>
      <c r="BH444" s="5"/>
      <c r="BL444" s="36">
        <v>22</v>
      </c>
      <c r="BM444" s="3"/>
      <c r="BN444" s="4"/>
      <c r="BP444" s="36">
        <v>22</v>
      </c>
      <c r="BQ444" s="3"/>
      <c r="BR444" s="4"/>
      <c r="BV444" s="36">
        <v>22</v>
      </c>
      <c r="BW444" s="3"/>
      <c r="BX444" s="4"/>
      <c r="BZ444" s="36">
        <v>22</v>
      </c>
      <c r="CA444" s="3"/>
      <c r="CB444" s="4"/>
    </row>
    <row r="445" spans="2:80">
      <c r="B445" s="34">
        <v>23</v>
      </c>
      <c r="C445" s="3"/>
      <c r="D445" s="77"/>
      <c r="F445" s="34">
        <v>23</v>
      </c>
      <c r="G445" s="3"/>
      <c r="H445" s="77"/>
      <c r="J445" s="34">
        <v>23</v>
      </c>
      <c r="K445" s="3"/>
      <c r="L445" s="77"/>
      <c r="P445" s="34">
        <v>23</v>
      </c>
      <c r="Q445" s="3"/>
      <c r="R445" s="77"/>
      <c r="T445" s="34">
        <v>23</v>
      </c>
      <c r="U445" s="3"/>
      <c r="V445" s="77"/>
      <c r="X445" s="34">
        <v>23</v>
      </c>
      <c r="Y445" s="3"/>
      <c r="Z445" s="77"/>
      <c r="AC445" s="5"/>
      <c r="AG445" s="34">
        <v>23</v>
      </c>
      <c r="AH445" s="3"/>
      <c r="AI445" s="77"/>
      <c r="AK445" s="34"/>
      <c r="AL445" s="3"/>
      <c r="AM445" s="77"/>
      <c r="AO445" s="34">
        <v>23</v>
      </c>
      <c r="AP445" s="3"/>
      <c r="AQ445" s="77"/>
      <c r="AU445" s="34">
        <v>23</v>
      </c>
      <c r="AV445" s="3"/>
      <c r="AW445" s="77"/>
      <c r="AY445" s="34">
        <v>23</v>
      </c>
      <c r="AZ445" s="3"/>
      <c r="BA445" s="77"/>
      <c r="BC445" s="34">
        <v>23</v>
      </c>
      <c r="BD445" s="3"/>
      <c r="BE445" s="77"/>
      <c r="BH445" s="5"/>
      <c r="BL445" s="36">
        <v>23</v>
      </c>
      <c r="BM445" s="3"/>
      <c r="BN445" s="4"/>
      <c r="BP445" s="36">
        <v>23</v>
      </c>
      <c r="BQ445" s="3"/>
      <c r="BR445" s="4"/>
      <c r="BV445" s="36">
        <v>23</v>
      </c>
      <c r="BW445" s="3"/>
      <c r="BX445" s="4"/>
      <c r="BZ445" s="36">
        <v>23</v>
      </c>
      <c r="CA445" s="3"/>
      <c r="CB445" s="4"/>
    </row>
    <row r="446" spans="2:80">
      <c r="AC446" s="5"/>
      <c r="AU446"/>
      <c r="BC446"/>
      <c r="BH446" s="5"/>
      <c r="BL446" s="12"/>
      <c r="BM446" s="30"/>
      <c r="BN446" s="14"/>
    </row>
    <row r="447" spans="2:80">
      <c r="AC447" s="5"/>
      <c r="AU447"/>
      <c r="AZ447" s="1"/>
      <c r="BC447"/>
      <c r="BH447" s="5"/>
      <c r="BL447" s="10"/>
      <c r="BM447" s="22"/>
    </row>
    <row r="448" spans="2:80">
      <c r="AC448" s="5"/>
      <c r="AU448"/>
      <c r="BC448"/>
      <c r="BH448" s="5"/>
      <c r="BL448" s="31"/>
      <c r="BM448" s="32"/>
      <c r="BN448" s="25"/>
    </row>
    <row r="449" spans="2:86" s="1" customFormat="1" ht="20.25" customHeight="1">
      <c r="B449" s="54"/>
      <c r="C449" s="55">
        <f>'NRB 공장 내부 배치도'!C24</f>
        <v>0</v>
      </c>
      <c r="D449" s="199"/>
      <c r="F449" s="54"/>
      <c r="G449" s="55">
        <f>'NRB 공장 내부 배치도'!D24</f>
        <v>0</v>
      </c>
      <c r="H449" s="199"/>
      <c r="J449" s="54"/>
      <c r="K449" s="55">
        <f>'NRB 공장 내부 배치도'!E24</f>
        <v>0</v>
      </c>
      <c r="L449" s="199"/>
      <c r="P449" s="54"/>
      <c r="Q449" s="55">
        <f>'NRB 공장 내부 배치도'!G24</f>
        <v>0</v>
      </c>
      <c r="R449" s="199"/>
      <c r="T449" s="54"/>
      <c r="U449" s="55">
        <f>'NRB 공장 내부 배치도'!H24</f>
        <v>0</v>
      </c>
      <c r="V449" s="199"/>
      <c r="X449" s="54"/>
      <c r="Y449" s="55">
        <f>'NRB 공장 내부 배치도'!I24</f>
        <v>0</v>
      </c>
      <c r="Z449" s="199"/>
      <c r="AC449" s="71"/>
      <c r="AG449" s="54"/>
      <c r="AH449" s="55">
        <f>'NRB 공장 내부 배치도'!L24</f>
        <v>0</v>
      </c>
      <c r="AI449" s="199"/>
      <c r="AK449" s="85"/>
      <c r="AL449" s="86">
        <f>'NRB 공장 내부 배치도'!M24</f>
        <v>0</v>
      </c>
      <c r="AM449" s="201"/>
      <c r="AO449" s="54"/>
      <c r="AP449" s="55">
        <f>'NRB 공장 내부 배치도'!N24</f>
        <v>0</v>
      </c>
      <c r="AQ449" s="199"/>
      <c r="AU449" s="54"/>
      <c r="AV449" s="55">
        <f>'NRB 공장 내부 배치도'!P24</f>
        <v>0</v>
      </c>
      <c r="AW449" s="199"/>
      <c r="AY449" s="54"/>
      <c r="AZ449" s="55">
        <f>'NRB 공장 내부 배치도'!Q24</f>
        <v>0</v>
      </c>
      <c r="BA449" s="199"/>
      <c r="BC449" s="54"/>
      <c r="BD449" s="55">
        <f>'NRB 공장 내부 배치도'!R24</f>
        <v>0</v>
      </c>
      <c r="BE449" s="199"/>
      <c r="BF449" s="204"/>
      <c r="BH449" s="71"/>
      <c r="BL449" s="54"/>
      <c r="BM449" s="55">
        <f>'NRB 공장 내부 배치도'!U24</f>
        <v>0</v>
      </c>
      <c r="BN449" s="56"/>
      <c r="BP449" s="54"/>
      <c r="BQ449" s="55">
        <f>'NRB 공장 내부 배치도'!V24</f>
        <v>0</v>
      </c>
      <c r="BR449" s="56"/>
      <c r="BV449" s="54"/>
      <c r="BW449" s="55">
        <f>'NRB 공장 내부 배치도'!X24</f>
        <v>0</v>
      </c>
      <c r="BX449" s="56"/>
      <c r="BZ449" s="54"/>
      <c r="CA449" s="55">
        <f>'NRB 공장 내부 배치도'!YP24</f>
        <v>0</v>
      </c>
      <c r="CB449" s="56"/>
      <c r="CF449" s="71"/>
      <c r="CG449" s="71"/>
      <c r="CH449" s="71"/>
    </row>
    <row r="450" spans="2:86">
      <c r="B450" s="34">
        <v>1</v>
      </c>
      <c r="C450" s="2"/>
      <c r="D450" s="253"/>
      <c r="F450" s="34">
        <v>1</v>
      </c>
      <c r="G450" s="3"/>
      <c r="H450" s="77"/>
      <c r="J450" s="34">
        <v>1</v>
      </c>
      <c r="K450" s="3"/>
      <c r="L450" s="253"/>
      <c r="P450" s="34">
        <v>1</v>
      </c>
      <c r="Q450" s="3"/>
      <c r="R450" s="77"/>
      <c r="T450" s="34">
        <v>1</v>
      </c>
      <c r="U450" s="3"/>
      <c r="V450" s="77"/>
      <c r="X450" s="34">
        <v>1</v>
      </c>
      <c r="Y450" s="2"/>
      <c r="Z450" s="205"/>
      <c r="AC450" s="5"/>
      <c r="AG450" s="34">
        <v>1</v>
      </c>
      <c r="AH450" s="3"/>
      <c r="AI450" s="77"/>
      <c r="AK450" s="34">
        <v>1</v>
      </c>
      <c r="AL450" s="3"/>
      <c r="AM450" s="77"/>
      <c r="AO450" s="34">
        <v>1</v>
      </c>
      <c r="AP450" s="3"/>
      <c r="AQ450" s="77"/>
      <c r="AU450" s="34">
        <v>1</v>
      </c>
      <c r="AV450" s="3"/>
      <c r="AW450" s="77"/>
      <c r="AY450" s="34">
        <v>1</v>
      </c>
      <c r="AZ450" s="3"/>
      <c r="BA450" s="205"/>
      <c r="BC450" s="34">
        <v>1</v>
      </c>
      <c r="BD450" s="3"/>
      <c r="BE450" s="77"/>
      <c r="BH450" s="5"/>
      <c r="BL450" s="36">
        <v>1</v>
      </c>
      <c r="BM450" s="3"/>
      <c r="BN450" s="4"/>
      <c r="BP450" s="36">
        <v>1</v>
      </c>
      <c r="BQ450" s="3"/>
      <c r="BR450" s="77"/>
      <c r="BV450" s="36">
        <v>1</v>
      </c>
      <c r="BW450" s="3"/>
      <c r="BX450" s="77"/>
      <c r="BZ450" s="36">
        <v>1</v>
      </c>
      <c r="CA450" s="3"/>
      <c r="CB450" s="77"/>
    </row>
    <row r="451" spans="2:86">
      <c r="B451" s="34">
        <v>2</v>
      </c>
      <c r="C451" s="2"/>
      <c r="D451" s="205"/>
      <c r="F451" s="34">
        <v>2</v>
      </c>
      <c r="G451" s="3"/>
      <c r="H451" s="77"/>
      <c r="J451" s="34">
        <v>2</v>
      </c>
      <c r="K451" s="3"/>
      <c r="L451" s="77"/>
      <c r="P451" s="34">
        <v>2</v>
      </c>
      <c r="Q451" s="3"/>
      <c r="R451" s="77"/>
      <c r="T451" s="34">
        <v>2</v>
      </c>
      <c r="U451" s="3"/>
      <c r="V451" s="77"/>
      <c r="X451" s="34">
        <v>2</v>
      </c>
      <c r="Y451" s="2"/>
      <c r="Z451" s="205"/>
      <c r="AC451" s="5"/>
      <c r="AG451" s="34">
        <v>2</v>
      </c>
      <c r="AH451" s="3"/>
      <c r="AI451" s="77"/>
      <c r="AK451" s="34">
        <v>2</v>
      </c>
      <c r="AL451" s="3"/>
      <c r="AM451" s="77"/>
      <c r="AO451" s="34">
        <v>2</v>
      </c>
      <c r="AP451" s="3"/>
      <c r="AQ451" s="77"/>
      <c r="AU451" s="34">
        <v>2</v>
      </c>
      <c r="AV451" s="3"/>
      <c r="AW451" s="77"/>
      <c r="AY451" s="34">
        <v>2</v>
      </c>
      <c r="AZ451" s="3"/>
      <c r="BA451" s="77"/>
      <c r="BC451" s="34">
        <v>2</v>
      </c>
      <c r="BD451" s="3"/>
      <c r="BE451" s="77"/>
      <c r="BH451" s="5"/>
      <c r="BL451" s="36">
        <v>2</v>
      </c>
      <c r="BM451" s="3"/>
      <c r="BN451" s="4"/>
      <c r="BP451" s="36">
        <v>2</v>
      </c>
      <c r="BQ451" s="3"/>
      <c r="BR451" s="77"/>
      <c r="BV451" s="36">
        <v>2</v>
      </c>
      <c r="BW451" s="3"/>
      <c r="BX451" s="77"/>
      <c r="BZ451" s="36">
        <v>2</v>
      </c>
      <c r="CA451" s="3"/>
      <c r="CB451" s="77"/>
    </row>
    <row r="452" spans="2:86">
      <c r="B452" s="34">
        <v>3</v>
      </c>
      <c r="C452" s="2"/>
      <c r="D452" s="205"/>
      <c r="F452" s="34">
        <v>3</v>
      </c>
      <c r="G452" s="3"/>
      <c r="H452" s="77"/>
      <c r="J452" s="34">
        <v>3</v>
      </c>
      <c r="K452" s="3"/>
      <c r="L452" s="77"/>
      <c r="P452" s="34">
        <v>3</v>
      </c>
      <c r="Q452" s="3"/>
      <c r="R452" s="77"/>
      <c r="T452" s="34">
        <v>3</v>
      </c>
      <c r="U452" s="3"/>
      <c r="V452" s="77"/>
      <c r="X452" s="34">
        <v>3</v>
      </c>
      <c r="Y452" s="2"/>
      <c r="Z452" s="205"/>
      <c r="AC452" s="5"/>
      <c r="AG452" s="34">
        <v>3</v>
      </c>
      <c r="AH452" s="3"/>
      <c r="AI452" s="77"/>
      <c r="AK452" s="34">
        <v>3</v>
      </c>
      <c r="AL452" s="3"/>
      <c r="AM452" s="77"/>
      <c r="AO452" s="34">
        <v>3</v>
      </c>
      <c r="AP452" s="3"/>
      <c r="AQ452" s="77"/>
      <c r="AU452" s="34">
        <v>3</v>
      </c>
      <c r="AV452" s="3"/>
      <c r="AW452" s="77"/>
      <c r="AY452" s="34">
        <v>3</v>
      </c>
      <c r="AZ452" s="3"/>
      <c r="BA452" s="77"/>
      <c r="BC452" s="34">
        <v>3</v>
      </c>
      <c r="BD452" s="3"/>
      <c r="BE452" s="77"/>
      <c r="BH452" s="5"/>
      <c r="BL452" s="36">
        <v>3</v>
      </c>
      <c r="BM452" s="3"/>
      <c r="BN452" s="4"/>
      <c r="BP452" s="36">
        <v>3</v>
      </c>
      <c r="BQ452" s="3"/>
      <c r="BR452" s="77"/>
      <c r="BV452" s="36">
        <v>3</v>
      </c>
      <c r="BW452" s="3"/>
      <c r="BX452" s="77"/>
      <c r="BZ452" s="36">
        <v>3</v>
      </c>
      <c r="CA452" s="3"/>
      <c r="CB452" s="77"/>
    </row>
    <row r="453" spans="2:86">
      <c r="B453" s="34">
        <v>4</v>
      </c>
      <c r="C453" s="2"/>
      <c r="D453" s="205"/>
      <c r="F453" s="34">
        <v>4</v>
      </c>
      <c r="G453" s="3"/>
      <c r="H453" s="77"/>
      <c r="J453" s="34">
        <v>4</v>
      </c>
      <c r="K453" s="3"/>
      <c r="L453" s="77"/>
      <c r="P453" s="34">
        <v>4</v>
      </c>
      <c r="Q453" s="3"/>
      <c r="R453" s="77"/>
      <c r="T453" s="34">
        <v>4</v>
      </c>
      <c r="U453" s="3"/>
      <c r="V453" s="77"/>
      <c r="X453" s="34">
        <v>4</v>
      </c>
      <c r="Y453" s="2"/>
      <c r="Z453" s="205"/>
      <c r="AC453" s="5"/>
      <c r="AG453" s="34">
        <v>4</v>
      </c>
      <c r="AH453" s="3"/>
      <c r="AI453" s="77"/>
      <c r="AK453" s="34">
        <v>4</v>
      </c>
      <c r="AL453" s="3"/>
      <c r="AM453" s="77"/>
      <c r="AO453" s="34">
        <v>4</v>
      </c>
      <c r="AP453" s="3"/>
      <c r="AQ453" s="77"/>
      <c r="AU453" s="34">
        <v>4</v>
      </c>
      <c r="AV453" s="3"/>
      <c r="AW453" s="77"/>
      <c r="AY453" s="34">
        <v>4</v>
      </c>
      <c r="AZ453" s="3"/>
      <c r="BA453" s="77"/>
      <c r="BC453" s="34">
        <v>4</v>
      </c>
      <c r="BD453" s="3"/>
      <c r="BE453" s="77"/>
      <c r="BH453" s="5"/>
      <c r="BL453" s="36">
        <v>4</v>
      </c>
      <c r="BM453" s="3"/>
      <c r="BN453" s="4"/>
      <c r="BP453" s="36">
        <v>4</v>
      </c>
      <c r="BQ453" s="3"/>
      <c r="BR453" s="77"/>
      <c r="BV453" s="36">
        <v>4</v>
      </c>
      <c r="BW453" s="3"/>
      <c r="BX453" s="77"/>
      <c r="BZ453" s="36">
        <v>4</v>
      </c>
      <c r="CA453" s="3"/>
      <c r="CB453" s="77"/>
    </row>
    <row r="454" spans="2:86">
      <c r="B454" s="34">
        <v>5</v>
      </c>
      <c r="C454" s="2"/>
      <c r="D454" s="205"/>
      <c r="F454" s="34">
        <v>5</v>
      </c>
      <c r="G454" s="3"/>
      <c r="H454" s="77"/>
      <c r="J454" s="34">
        <v>5</v>
      </c>
      <c r="K454" s="3"/>
      <c r="L454" s="77"/>
      <c r="P454" s="34">
        <v>5</v>
      </c>
      <c r="Q454" s="3"/>
      <c r="R454" s="77"/>
      <c r="T454" s="34">
        <v>5</v>
      </c>
      <c r="U454" s="3"/>
      <c r="V454" s="77"/>
      <c r="X454" s="34">
        <v>5</v>
      </c>
      <c r="Y454" s="2"/>
      <c r="Z454" s="205"/>
      <c r="AC454" s="5"/>
      <c r="AG454" s="34">
        <v>5</v>
      </c>
      <c r="AH454" s="3"/>
      <c r="AI454" s="77"/>
      <c r="AK454" s="34">
        <v>5</v>
      </c>
      <c r="AL454" s="3"/>
      <c r="AM454" s="77"/>
      <c r="AO454" s="34">
        <v>5</v>
      </c>
      <c r="AP454" s="3"/>
      <c r="AQ454" s="77"/>
      <c r="AU454" s="34">
        <v>5</v>
      </c>
      <c r="AV454" s="3"/>
      <c r="AW454" s="77"/>
      <c r="AY454" s="34">
        <v>5</v>
      </c>
      <c r="AZ454" s="3"/>
      <c r="BA454" s="77"/>
      <c r="BC454" s="34">
        <v>5</v>
      </c>
      <c r="BD454" s="3"/>
      <c r="BE454" s="77"/>
      <c r="BH454" s="5"/>
      <c r="BL454" s="36">
        <v>5</v>
      </c>
      <c r="BM454" s="3"/>
      <c r="BN454" s="4"/>
      <c r="BP454" s="36">
        <v>5</v>
      </c>
      <c r="BQ454" s="3"/>
      <c r="BR454" s="4"/>
      <c r="BV454" s="36">
        <v>5</v>
      </c>
      <c r="BW454" s="3"/>
      <c r="BX454" s="77"/>
      <c r="BZ454" s="36">
        <v>5</v>
      </c>
      <c r="CA454" s="3"/>
      <c r="CB454" s="77"/>
    </row>
    <row r="455" spans="2:86">
      <c r="B455" s="34">
        <v>6</v>
      </c>
      <c r="C455" s="2"/>
      <c r="D455" s="205"/>
      <c r="F455" s="34">
        <v>6</v>
      </c>
      <c r="G455" s="3"/>
      <c r="H455" s="77"/>
      <c r="J455" s="34">
        <v>6</v>
      </c>
      <c r="K455" s="3"/>
      <c r="L455" s="77"/>
      <c r="P455" s="34">
        <v>6</v>
      </c>
      <c r="Q455" s="3"/>
      <c r="R455" s="77"/>
      <c r="T455" s="34">
        <v>6</v>
      </c>
      <c r="U455" s="3"/>
      <c r="V455" s="77"/>
      <c r="X455" s="34">
        <v>6</v>
      </c>
      <c r="Y455" s="2"/>
      <c r="Z455" s="205"/>
      <c r="AC455" s="5"/>
      <c r="AG455" s="34">
        <v>6</v>
      </c>
      <c r="AH455" s="3"/>
      <c r="AI455" s="77"/>
      <c r="AK455" s="34">
        <v>6</v>
      </c>
      <c r="AL455" s="3"/>
      <c r="AM455" s="77"/>
      <c r="AO455" s="34">
        <v>6</v>
      </c>
      <c r="AP455" s="3"/>
      <c r="AQ455" s="77"/>
      <c r="AU455" s="34">
        <v>6</v>
      </c>
      <c r="AV455" s="3"/>
      <c r="AW455" s="77"/>
      <c r="AY455" s="34">
        <v>6</v>
      </c>
      <c r="AZ455" s="3"/>
      <c r="BA455" s="77"/>
      <c r="BC455" s="34">
        <v>6</v>
      </c>
      <c r="BD455" s="3"/>
      <c r="BE455" s="77"/>
      <c r="BH455" s="5"/>
      <c r="BL455" s="36">
        <v>6</v>
      </c>
      <c r="BM455" s="3"/>
      <c r="BN455" s="4"/>
      <c r="BP455" s="36">
        <v>6</v>
      </c>
      <c r="BQ455" s="3"/>
      <c r="BR455" s="77"/>
      <c r="BV455" s="36">
        <v>6</v>
      </c>
      <c r="BW455" s="3"/>
      <c r="BX455" s="77"/>
      <c r="BZ455" s="36">
        <v>6</v>
      </c>
      <c r="CA455" s="3"/>
      <c r="CB455" s="77"/>
    </row>
    <row r="456" spans="2:86">
      <c r="B456" s="34">
        <v>7</v>
      </c>
      <c r="C456" s="2"/>
      <c r="D456" s="205"/>
      <c r="F456" s="34">
        <v>7</v>
      </c>
      <c r="G456" s="3"/>
      <c r="H456" s="77"/>
      <c r="J456" s="34">
        <v>7</v>
      </c>
      <c r="K456" s="3"/>
      <c r="L456" s="77"/>
      <c r="P456" s="34">
        <v>7</v>
      </c>
      <c r="Q456" s="3"/>
      <c r="R456" s="77"/>
      <c r="T456" s="34">
        <v>7</v>
      </c>
      <c r="U456" s="3"/>
      <c r="V456" s="77"/>
      <c r="X456" s="34">
        <v>7</v>
      </c>
      <c r="Y456" s="2"/>
      <c r="Z456" s="205"/>
      <c r="AC456" s="5"/>
      <c r="AG456" s="34">
        <v>7</v>
      </c>
      <c r="AH456" s="3"/>
      <c r="AI456" s="77"/>
      <c r="AK456" s="34">
        <v>7</v>
      </c>
      <c r="AL456" s="3"/>
      <c r="AM456" s="77"/>
      <c r="AO456" s="34">
        <v>7</v>
      </c>
      <c r="AP456" s="3"/>
      <c r="AQ456" s="77"/>
      <c r="AU456" s="34">
        <v>7</v>
      </c>
      <c r="AV456" s="3"/>
      <c r="AW456" s="77"/>
      <c r="AY456" s="34">
        <v>7</v>
      </c>
      <c r="AZ456" s="3"/>
      <c r="BA456" s="77"/>
      <c r="BC456" s="34">
        <v>7</v>
      </c>
      <c r="BD456" s="3"/>
      <c r="BE456" s="77"/>
      <c r="BH456" s="5"/>
      <c r="BL456" s="36">
        <v>7</v>
      </c>
      <c r="BM456" s="3"/>
      <c r="BN456" s="4"/>
      <c r="BP456" s="36">
        <v>7</v>
      </c>
      <c r="BQ456" s="3"/>
      <c r="BR456" s="77"/>
      <c r="BV456" s="36">
        <v>7</v>
      </c>
      <c r="BW456" s="3"/>
      <c r="BX456" s="77"/>
      <c r="BZ456" s="36">
        <v>7</v>
      </c>
      <c r="CA456" s="3"/>
      <c r="CB456" s="77"/>
    </row>
    <row r="457" spans="2:86" ht="17.25" customHeight="1">
      <c r="B457" s="34">
        <v>8</v>
      </c>
      <c r="C457" s="2"/>
      <c r="D457" s="205"/>
      <c r="F457" s="34">
        <v>8</v>
      </c>
      <c r="G457" s="3"/>
      <c r="H457" s="77"/>
      <c r="J457" s="34">
        <v>8</v>
      </c>
      <c r="K457" s="3"/>
      <c r="L457" s="77"/>
      <c r="P457" s="34">
        <v>8</v>
      </c>
      <c r="Q457" s="3"/>
      <c r="R457" s="77"/>
      <c r="T457" s="34">
        <v>8</v>
      </c>
      <c r="U457" s="3"/>
      <c r="V457" s="77"/>
      <c r="X457" s="34">
        <v>8</v>
      </c>
      <c r="Y457" s="2"/>
      <c r="Z457" s="205"/>
      <c r="AC457" s="5"/>
      <c r="AG457" s="34">
        <v>8</v>
      </c>
      <c r="AH457" s="3"/>
      <c r="AI457" s="77"/>
      <c r="AK457" s="34">
        <v>8</v>
      </c>
      <c r="AL457" s="3"/>
      <c r="AM457" s="77"/>
      <c r="AO457" s="34">
        <v>8</v>
      </c>
      <c r="AP457" s="3"/>
      <c r="AQ457" s="77"/>
      <c r="AU457" s="34">
        <v>8</v>
      </c>
      <c r="AV457" s="3"/>
      <c r="AW457" s="77"/>
      <c r="AY457" s="34">
        <v>8</v>
      </c>
      <c r="AZ457" s="3"/>
      <c r="BA457" s="77"/>
      <c r="BC457" s="34">
        <v>8</v>
      </c>
      <c r="BD457" s="3"/>
      <c r="BE457" s="77"/>
      <c r="BH457" s="5"/>
      <c r="BL457" s="36">
        <v>8</v>
      </c>
      <c r="BM457" s="3"/>
      <c r="BN457" s="4"/>
      <c r="BP457" s="36">
        <v>8</v>
      </c>
      <c r="BQ457" s="3"/>
      <c r="BR457" s="4"/>
      <c r="BV457" s="36">
        <v>8</v>
      </c>
      <c r="BW457" s="3"/>
      <c r="BX457" s="77"/>
      <c r="BZ457" s="36">
        <v>8</v>
      </c>
      <c r="CA457" s="3"/>
      <c r="CB457" s="77"/>
    </row>
    <row r="458" spans="2:86" ht="17.25" customHeight="1">
      <c r="B458" s="34">
        <v>9</v>
      </c>
      <c r="C458" s="2"/>
      <c r="D458" s="205"/>
      <c r="F458" s="34">
        <v>9</v>
      </c>
      <c r="G458" s="3"/>
      <c r="H458" s="77"/>
      <c r="J458" s="34">
        <v>9</v>
      </c>
      <c r="K458" s="3"/>
      <c r="L458" s="77"/>
      <c r="P458" s="34">
        <v>9</v>
      </c>
      <c r="Q458" s="3"/>
      <c r="R458" s="77"/>
      <c r="T458" s="34">
        <v>9</v>
      </c>
      <c r="U458" s="3"/>
      <c r="V458" s="77"/>
      <c r="X458" s="34">
        <v>9</v>
      </c>
      <c r="Y458" s="2"/>
      <c r="Z458" s="205"/>
      <c r="AC458" s="5"/>
      <c r="AG458" s="34">
        <v>9</v>
      </c>
      <c r="AH458" s="3"/>
      <c r="AI458" s="77"/>
      <c r="AK458" s="34">
        <v>9</v>
      </c>
      <c r="AL458" s="3"/>
      <c r="AM458" s="77"/>
      <c r="AO458" s="34">
        <v>9</v>
      </c>
      <c r="AP458" s="3"/>
      <c r="AQ458" s="77"/>
      <c r="AU458" s="34">
        <v>9</v>
      </c>
      <c r="AV458" s="3"/>
      <c r="AW458" s="77"/>
      <c r="AY458" s="34">
        <v>9</v>
      </c>
      <c r="AZ458" s="3"/>
      <c r="BA458" s="77"/>
      <c r="BC458" s="34">
        <v>9</v>
      </c>
      <c r="BD458" s="3"/>
      <c r="BE458" s="77"/>
      <c r="BH458" s="5"/>
      <c r="BL458" s="36">
        <v>9</v>
      </c>
      <c r="BM458" s="3"/>
      <c r="BN458" s="4"/>
      <c r="BP458" s="36">
        <v>9</v>
      </c>
      <c r="BQ458" s="3"/>
      <c r="BR458" s="46"/>
      <c r="BV458" s="36">
        <v>9</v>
      </c>
      <c r="BW458" s="3"/>
      <c r="BX458" s="4"/>
      <c r="BZ458" s="36">
        <v>9</v>
      </c>
      <c r="CA458" s="3"/>
      <c r="CB458" s="77"/>
    </row>
    <row r="459" spans="2:86" ht="17.25" customHeight="1">
      <c r="B459" s="34">
        <v>10</v>
      </c>
      <c r="C459" s="2"/>
      <c r="D459" s="205"/>
      <c r="F459" s="34">
        <v>10</v>
      </c>
      <c r="G459" s="3"/>
      <c r="H459" s="77"/>
      <c r="J459" s="34">
        <v>10</v>
      </c>
      <c r="K459" s="3"/>
      <c r="L459" s="77"/>
      <c r="P459" s="34">
        <v>10</v>
      </c>
      <c r="Q459" s="3"/>
      <c r="R459" s="77"/>
      <c r="T459" s="34">
        <v>10</v>
      </c>
      <c r="U459" s="3"/>
      <c r="V459" s="77"/>
      <c r="X459" s="34">
        <v>10</v>
      </c>
      <c r="Y459" s="2"/>
      <c r="Z459" s="205"/>
      <c r="AC459" s="5"/>
      <c r="AG459" s="34">
        <v>10</v>
      </c>
      <c r="AH459" s="3"/>
      <c r="AI459" s="77"/>
      <c r="AK459" s="34">
        <v>10</v>
      </c>
      <c r="AL459" s="3"/>
      <c r="AM459" s="77"/>
      <c r="AO459" s="34">
        <v>10</v>
      </c>
      <c r="AP459" s="3"/>
      <c r="AQ459" s="77"/>
      <c r="AU459" s="34">
        <v>10</v>
      </c>
      <c r="AV459" s="3"/>
      <c r="AW459" s="77"/>
      <c r="AY459" s="34">
        <v>10</v>
      </c>
      <c r="AZ459" s="3"/>
      <c r="BA459" s="77"/>
      <c r="BC459" s="34">
        <v>10</v>
      </c>
      <c r="BD459" s="3"/>
      <c r="BE459" s="77"/>
      <c r="BH459" s="5"/>
      <c r="BL459" s="36">
        <v>10</v>
      </c>
      <c r="BM459" s="3"/>
      <c r="BN459" s="4"/>
      <c r="BP459" s="36">
        <v>10</v>
      </c>
      <c r="BQ459" s="3"/>
      <c r="BR459" s="4"/>
      <c r="BV459" s="36">
        <v>10</v>
      </c>
      <c r="BW459" s="3"/>
      <c r="BX459" s="77"/>
      <c r="BZ459" s="36">
        <v>10</v>
      </c>
      <c r="CA459" s="3"/>
      <c r="CB459" s="77"/>
    </row>
    <row r="460" spans="2:86" ht="17.25" customHeight="1">
      <c r="B460" s="34">
        <v>11</v>
      </c>
      <c r="C460" s="2"/>
      <c r="D460" s="205"/>
      <c r="F460" s="34">
        <v>11</v>
      </c>
      <c r="G460" s="3"/>
      <c r="H460" s="77"/>
      <c r="J460" s="34">
        <v>11</v>
      </c>
      <c r="K460" s="3"/>
      <c r="L460" s="77"/>
      <c r="P460" s="34">
        <v>11</v>
      </c>
      <c r="Q460" s="3"/>
      <c r="R460" s="77"/>
      <c r="T460" s="34">
        <v>11</v>
      </c>
      <c r="U460" s="3"/>
      <c r="V460" s="77"/>
      <c r="X460" s="34">
        <v>11</v>
      </c>
      <c r="Y460" s="2"/>
      <c r="Z460" s="205"/>
      <c r="AC460" s="5"/>
      <c r="AG460" s="34">
        <v>11</v>
      </c>
      <c r="AH460" s="3"/>
      <c r="AI460" s="77"/>
      <c r="AK460" s="34">
        <v>11</v>
      </c>
      <c r="AL460" s="3"/>
      <c r="AM460" s="77"/>
      <c r="AO460" s="34">
        <v>11</v>
      </c>
      <c r="AP460" s="3"/>
      <c r="AQ460" s="77"/>
      <c r="AU460" s="34">
        <v>11</v>
      </c>
      <c r="AV460" s="3"/>
      <c r="AW460" s="77"/>
      <c r="AY460" s="34">
        <v>11</v>
      </c>
      <c r="AZ460" s="3"/>
      <c r="BA460" s="77"/>
      <c r="BC460" s="34">
        <v>11</v>
      </c>
      <c r="BD460" s="3"/>
      <c r="BE460" s="77"/>
      <c r="BH460" s="5"/>
      <c r="BL460" s="36">
        <v>11</v>
      </c>
      <c r="BM460" s="3"/>
      <c r="BN460" s="4"/>
      <c r="BP460" s="36">
        <v>11</v>
      </c>
      <c r="BQ460" s="3"/>
      <c r="BR460" s="77"/>
      <c r="BV460" s="36">
        <v>11</v>
      </c>
      <c r="BW460" s="3"/>
      <c r="BX460" s="4"/>
      <c r="BZ460" s="36">
        <v>11</v>
      </c>
      <c r="CA460" s="3"/>
      <c r="CB460" s="77"/>
    </row>
    <row r="461" spans="2:86">
      <c r="B461" s="34">
        <v>12</v>
      </c>
      <c r="C461" s="2"/>
      <c r="D461" s="205"/>
      <c r="F461" s="34">
        <v>12</v>
      </c>
      <c r="G461" s="3"/>
      <c r="H461" s="77"/>
      <c r="J461" s="34">
        <v>12</v>
      </c>
      <c r="K461" s="3"/>
      <c r="L461" s="77"/>
      <c r="P461" s="34">
        <v>12</v>
      </c>
      <c r="Q461" s="3"/>
      <c r="R461" s="77"/>
      <c r="T461" s="34">
        <v>12</v>
      </c>
      <c r="U461" s="3"/>
      <c r="V461" s="77"/>
      <c r="X461" s="34">
        <v>12</v>
      </c>
      <c r="Y461" s="2"/>
      <c r="Z461" s="205"/>
      <c r="AC461" s="5"/>
      <c r="AG461" s="34">
        <v>12</v>
      </c>
      <c r="AH461" s="3"/>
      <c r="AI461" s="77"/>
      <c r="AK461" s="34">
        <v>12</v>
      </c>
      <c r="AL461" s="3"/>
      <c r="AM461" s="77"/>
      <c r="AO461" s="34">
        <v>12</v>
      </c>
      <c r="AP461" s="3"/>
      <c r="AQ461" s="77"/>
      <c r="AU461" s="34">
        <v>12</v>
      </c>
      <c r="AV461" s="3"/>
      <c r="AW461" s="77"/>
      <c r="AY461" s="34">
        <v>12</v>
      </c>
      <c r="AZ461" s="3"/>
      <c r="BA461" s="77"/>
      <c r="BC461" s="34">
        <v>12</v>
      </c>
      <c r="BD461" s="3"/>
      <c r="BE461" s="77"/>
      <c r="BH461" s="5"/>
      <c r="BL461" s="36">
        <v>12</v>
      </c>
      <c r="BM461" s="3"/>
      <c r="BN461" s="4"/>
      <c r="BP461" s="36">
        <v>12</v>
      </c>
      <c r="BQ461" s="3"/>
      <c r="BR461" s="4"/>
      <c r="BV461" s="36">
        <v>12</v>
      </c>
      <c r="BW461" s="3"/>
      <c r="BX461" s="77"/>
      <c r="BZ461" s="36">
        <v>12</v>
      </c>
      <c r="CA461" s="3"/>
      <c r="CB461" s="77"/>
    </row>
    <row r="462" spans="2:86">
      <c r="B462" s="34">
        <v>13</v>
      </c>
      <c r="C462" s="2"/>
      <c r="D462" s="205"/>
      <c r="F462" s="34">
        <v>13</v>
      </c>
      <c r="G462" s="3"/>
      <c r="H462" s="77"/>
      <c r="J462" s="34">
        <v>13</v>
      </c>
      <c r="K462" s="3"/>
      <c r="L462" s="77"/>
      <c r="P462" s="34">
        <v>13</v>
      </c>
      <c r="Q462" s="3"/>
      <c r="R462" s="77"/>
      <c r="T462" s="34">
        <v>13</v>
      </c>
      <c r="U462" s="3"/>
      <c r="V462" s="77"/>
      <c r="X462" s="34">
        <v>13</v>
      </c>
      <c r="Y462" s="2"/>
      <c r="Z462" s="205"/>
      <c r="AC462" s="5"/>
      <c r="AG462" s="34">
        <v>13</v>
      </c>
      <c r="AH462" s="3"/>
      <c r="AI462" s="77"/>
      <c r="AK462" s="34">
        <v>13</v>
      </c>
      <c r="AL462" s="3"/>
      <c r="AM462" s="77"/>
      <c r="AO462" s="34">
        <v>13</v>
      </c>
      <c r="AP462" s="3"/>
      <c r="AQ462" s="77"/>
      <c r="AU462" s="34">
        <v>13</v>
      </c>
      <c r="AV462" s="3"/>
      <c r="AW462" s="77"/>
      <c r="AY462" s="34">
        <v>13</v>
      </c>
      <c r="AZ462" s="3"/>
      <c r="BA462" s="77"/>
      <c r="BC462" s="34">
        <v>13</v>
      </c>
      <c r="BD462" s="3"/>
      <c r="BE462" s="77"/>
      <c r="BH462" s="5"/>
      <c r="BL462" s="36">
        <v>13</v>
      </c>
      <c r="BM462" s="3"/>
      <c r="BN462" s="4"/>
      <c r="BP462" s="36">
        <v>13</v>
      </c>
      <c r="BQ462" s="3"/>
      <c r="BR462" s="4"/>
      <c r="BV462" s="36">
        <v>13</v>
      </c>
      <c r="BW462" s="3"/>
      <c r="BX462" s="4"/>
      <c r="BZ462" s="36">
        <v>13</v>
      </c>
      <c r="CA462" s="3"/>
      <c r="CB462" s="77"/>
    </row>
    <row r="463" spans="2:86">
      <c r="B463" s="34">
        <v>14</v>
      </c>
      <c r="C463" s="2"/>
      <c r="D463" s="205"/>
      <c r="F463" s="34">
        <v>14</v>
      </c>
      <c r="G463" s="3"/>
      <c r="H463" s="77"/>
      <c r="J463" s="34">
        <v>14</v>
      </c>
      <c r="K463" s="3"/>
      <c r="L463" s="77"/>
      <c r="P463" s="34">
        <v>14</v>
      </c>
      <c r="Q463" s="3"/>
      <c r="R463" s="77"/>
      <c r="T463" s="34">
        <v>14</v>
      </c>
      <c r="U463" s="3"/>
      <c r="V463" s="77"/>
      <c r="X463" s="34">
        <v>14</v>
      </c>
      <c r="Y463" s="2"/>
      <c r="Z463" s="205"/>
      <c r="AC463" s="5"/>
      <c r="AG463" s="34">
        <v>14</v>
      </c>
      <c r="AH463" s="3"/>
      <c r="AI463" s="77"/>
      <c r="AK463" s="34">
        <v>14</v>
      </c>
      <c r="AL463" s="3"/>
      <c r="AM463" s="77"/>
      <c r="AO463" s="34">
        <v>14</v>
      </c>
      <c r="AP463" s="3"/>
      <c r="AQ463" s="77"/>
      <c r="AU463" s="34">
        <v>14</v>
      </c>
      <c r="AV463" s="3"/>
      <c r="AW463" s="77"/>
      <c r="AY463" s="34">
        <v>14</v>
      </c>
      <c r="AZ463" s="3"/>
      <c r="BA463" s="77"/>
      <c r="BC463" s="34">
        <v>14</v>
      </c>
      <c r="BD463" s="3"/>
      <c r="BE463" s="77"/>
      <c r="BH463" s="5"/>
      <c r="BL463" s="36">
        <v>14</v>
      </c>
      <c r="BM463" s="3"/>
      <c r="BN463" s="4"/>
      <c r="BP463" s="36">
        <v>14</v>
      </c>
      <c r="BQ463" s="3"/>
      <c r="BR463" s="4"/>
      <c r="BV463" s="36">
        <v>14</v>
      </c>
      <c r="BW463" s="3"/>
      <c r="BX463" s="4"/>
      <c r="BZ463" s="36">
        <v>14</v>
      </c>
      <c r="CA463" s="3"/>
      <c r="CB463" s="77"/>
    </row>
    <row r="464" spans="2:86">
      <c r="B464" s="34">
        <v>15</v>
      </c>
      <c r="C464" s="3"/>
      <c r="D464" s="77"/>
      <c r="F464" s="34">
        <v>15</v>
      </c>
      <c r="G464" s="3"/>
      <c r="H464" s="77"/>
      <c r="J464" s="34">
        <v>15</v>
      </c>
      <c r="K464" s="3"/>
      <c r="L464" s="77"/>
      <c r="P464" s="34">
        <v>15</v>
      </c>
      <c r="Q464" s="3"/>
      <c r="R464" s="77"/>
      <c r="T464" s="34">
        <v>15</v>
      </c>
      <c r="U464" s="3"/>
      <c r="V464" s="77"/>
      <c r="X464" s="34">
        <v>15</v>
      </c>
      <c r="Y464" s="2"/>
      <c r="Z464" s="205"/>
      <c r="AC464" s="5"/>
      <c r="AG464" s="34">
        <v>15</v>
      </c>
      <c r="AH464" s="3"/>
      <c r="AI464" s="77"/>
      <c r="AK464" s="34">
        <v>15</v>
      </c>
      <c r="AL464" s="3"/>
      <c r="AM464" s="77"/>
      <c r="AO464" s="34">
        <v>15</v>
      </c>
      <c r="AP464" s="3"/>
      <c r="AQ464" s="77"/>
      <c r="AU464" s="34">
        <v>15</v>
      </c>
      <c r="AV464" s="3"/>
      <c r="AW464" s="77"/>
      <c r="AY464" s="34">
        <v>15</v>
      </c>
      <c r="AZ464" s="3"/>
      <c r="BA464" s="77"/>
      <c r="BC464" s="34">
        <v>15</v>
      </c>
      <c r="BD464" s="3"/>
      <c r="BE464" s="77"/>
      <c r="BH464" s="5"/>
      <c r="BL464" s="36">
        <v>15</v>
      </c>
      <c r="BM464" s="3"/>
      <c r="BN464" s="4"/>
      <c r="BP464" s="36">
        <v>15</v>
      </c>
      <c r="BQ464" s="3"/>
      <c r="BR464" s="4"/>
      <c r="BV464" s="36">
        <v>15</v>
      </c>
      <c r="BW464" s="3"/>
      <c r="BX464" s="4"/>
      <c r="BZ464" s="36">
        <v>15</v>
      </c>
      <c r="CA464" s="3"/>
      <c r="CB464" s="77"/>
    </row>
    <row r="465" spans="2:92">
      <c r="B465" s="34">
        <v>16</v>
      </c>
      <c r="C465" s="3"/>
      <c r="D465" s="77"/>
      <c r="F465" s="34">
        <v>16</v>
      </c>
      <c r="G465" s="2"/>
      <c r="H465" s="205"/>
      <c r="J465" s="34">
        <v>16</v>
      </c>
      <c r="K465" s="3"/>
      <c r="L465" s="77"/>
      <c r="P465" s="34">
        <v>16</v>
      </c>
      <c r="Q465" s="3"/>
      <c r="R465" s="77"/>
      <c r="T465" s="34">
        <v>16</v>
      </c>
      <c r="U465" s="3"/>
      <c r="V465" s="77"/>
      <c r="X465" s="34">
        <v>16</v>
      </c>
      <c r="Y465" s="2"/>
      <c r="Z465" s="205"/>
      <c r="AC465" s="5"/>
      <c r="AG465" s="34">
        <v>16</v>
      </c>
      <c r="AH465" s="3"/>
      <c r="AI465" s="77"/>
      <c r="AK465" s="34">
        <v>16</v>
      </c>
      <c r="AL465" s="3"/>
      <c r="AM465" s="77"/>
      <c r="AO465" s="34">
        <v>16</v>
      </c>
      <c r="AP465" s="3"/>
      <c r="AQ465" s="77"/>
      <c r="AU465" s="34">
        <v>16</v>
      </c>
      <c r="AV465" s="3"/>
      <c r="AW465" s="77"/>
      <c r="AY465" s="34">
        <v>16</v>
      </c>
      <c r="AZ465" s="3"/>
      <c r="BA465" s="77"/>
      <c r="BC465" s="34">
        <v>16</v>
      </c>
      <c r="BD465" s="3"/>
      <c r="BE465" s="77"/>
      <c r="BH465" s="5"/>
      <c r="BL465" s="36">
        <v>16</v>
      </c>
      <c r="BM465" s="3"/>
      <c r="BN465" s="77"/>
      <c r="BP465" s="36">
        <v>16</v>
      </c>
      <c r="BQ465" s="3"/>
      <c r="BR465" s="4"/>
      <c r="BV465" s="36">
        <v>16</v>
      </c>
      <c r="BW465" s="3"/>
      <c r="BX465" s="4"/>
      <c r="BZ465" s="36">
        <v>16</v>
      </c>
      <c r="CA465" s="3"/>
      <c r="CB465" s="77"/>
    </row>
    <row r="466" spans="2:92">
      <c r="B466" s="34">
        <v>17</v>
      </c>
      <c r="C466" s="3"/>
      <c r="D466" s="77"/>
      <c r="F466" s="34">
        <v>17</v>
      </c>
      <c r="G466" s="2"/>
      <c r="H466" s="205"/>
      <c r="J466" s="34">
        <v>17</v>
      </c>
      <c r="K466" s="3"/>
      <c r="L466" s="77"/>
      <c r="P466" s="34">
        <v>17</v>
      </c>
      <c r="Q466" s="3"/>
      <c r="R466" s="77"/>
      <c r="T466" s="34">
        <v>17</v>
      </c>
      <c r="U466" s="3"/>
      <c r="V466" s="77"/>
      <c r="X466" s="34">
        <v>17</v>
      </c>
      <c r="Y466" s="2"/>
      <c r="Z466" s="205"/>
      <c r="AC466" s="5"/>
      <c r="AG466" s="34">
        <v>17</v>
      </c>
      <c r="AH466" s="3"/>
      <c r="AI466" s="77"/>
      <c r="AK466" s="34">
        <v>17</v>
      </c>
      <c r="AL466" s="3"/>
      <c r="AM466" s="77"/>
      <c r="AO466" s="34">
        <v>17</v>
      </c>
      <c r="AP466" s="3"/>
      <c r="AQ466" s="77"/>
      <c r="AU466" s="34">
        <v>17</v>
      </c>
      <c r="AV466" s="3"/>
      <c r="AW466" s="77"/>
      <c r="AY466" s="34">
        <v>17</v>
      </c>
      <c r="AZ466" s="3"/>
      <c r="BA466" s="77"/>
      <c r="BC466" s="34">
        <v>17</v>
      </c>
      <c r="BD466" s="3"/>
      <c r="BE466" s="77"/>
      <c r="BH466" s="5"/>
      <c r="BL466" s="36">
        <v>17</v>
      </c>
      <c r="BM466" s="3"/>
      <c r="BN466" s="4"/>
      <c r="BP466" s="36">
        <v>17</v>
      </c>
      <c r="BQ466" s="3"/>
      <c r="BR466" s="4"/>
      <c r="BV466" s="36">
        <v>17</v>
      </c>
      <c r="BW466" s="3"/>
      <c r="BX466" s="4"/>
      <c r="BZ466" s="36">
        <v>17</v>
      </c>
      <c r="CA466" s="3"/>
      <c r="CB466" s="77"/>
    </row>
    <row r="467" spans="2:92">
      <c r="B467" s="34">
        <v>18</v>
      </c>
      <c r="C467" s="3"/>
      <c r="D467" s="77"/>
      <c r="F467" s="34">
        <v>18</v>
      </c>
      <c r="G467" s="2"/>
      <c r="H467" s="205"/>
      <c r="J467" s="34">
        <v>18</v>
      </c>
      <c r="K467" s="3"/>
      <c r="L467" s="77"/>
      <c r="P467" s="34">
        <v>18</v>
      </c>
      <c r="Q467" s="3"/>
      <c r="R467" s="77"/>
      <c r="T467" s="34">
        <v>18</v>
      </c>
      <c r="U467" s="3"/>
      <c r="V467" s="77"/>
      <c r="X467" s="34">
        <v>18</v>
      </c>
      <c r="Y467" s="2"/>
      <c r="Z467" s="205"/>
      <c r="AC467" s="5"/>
      <c r="AG467" s="34">
        <v>18</v>
      </c>
      <c r="AH467" s="3"/>
      <c r="AI467" s="77"/>
      <c r="AK467" s="34">
        <v>18</v>
      </c>
      <c r="AL467" s="3"/>
      <c r="AM467" s="77"/>
      <c r="AO467" s="34">
        <v>18</v>
      </c>
      <c r="AP467" s="3"/>
      <c r="AQ467" s="77"/>
      <c r="AU467" s="34">
        <v>18</v>
      </c>
      <c r="AV467" s="3"/>
      <c r="AW467" s="77"/>
      <c r="AY467" s="34">
        <v>18</v>
      </c>
      <c r="AZ467" s="3"/>
      <c r="BA467" s="77"/>
      <c r="BC467" s="34">
        <v>18</v>
      </c>
      <c r="BD467" s="3"/>
      <c r="BE467" s="77"/>
      <c r="BH467" s="5"/>
      <c r="BL467" s="36">
        <v>18</v>
      </c>
      <c r="BM467" s="3"/>
      <c r="BN467" s="4"/>
      <c r="BP467" s="36">
        <v>18</v>
      </c>
      <c r="BQ467" s="3"/>
      <c r="BR467" s="4"/>
      <c r="BV467" s="36">
        <v>18</v>
      </c>
      <c r="BW467" s="3"/>
      <c r="BX467" s="4"/>
      <c r="BZ467" s="36">
        <v>18</v>
      </c>
      <c r="CA467" s="3"/>
      <c r="CB467" s="77"/>
    </row>
    <row r="468" spans="2:92">
      <c r="B468" s="34">
        <v>19</v>
      </c>
      <c r="C468" s="3"/>
      <c r="D468" s="77"/>
      <c r="F468" s="34">
        <v>19</v>
      </c>
      <c r="G468" s="2"/>
      <c r="H468" s="205"/>
      <c r="J468" s="34">
        <v>19</v>
      </c>
      <c r="K468" s="3"/>
      <c r="L468" s="77"/>
      <c r="P468" s="34">
        <v>19</v>
      </c>
      <c r="Q468" s="3"/>
      <c r="R468" s="77"/>
      <c r="T468" s="34">
        <v>19</v>
      </c>
      <c r="U468" s="3"/>
      <c r="V468" s="77"/>
      <c r="X468" s="34">
        <v>19</v>
      </c>
      <c r="Y468" s="2"/>
      <c r="Z468" s="205"/>
      <c r="AC468" s="5"/>
      <c r="AG468" s="34">
        <v>19</v>
      </c>
      <c r="AH468" s="3"/>
      <c r="AI468" s="77"/>
      <c r="AK468" s="34">
        <v>19</v>
      </c>
      <c r="AL468" s="3"/>
      <c r="AM468" s="77"/>
      <c r="AO468" s="34">
        <v>19</v>
      </c>
      <c r="AP468" s="3"/>
      <c r="AQ468" s="77"/>
      <c r="AU468" s="34">
        <v>19</v>
      </c>
      <c r="AV468" s="3"/>
      <c r="AW468" s="77"/>
      <c r="AY468" s="34">
        <v>19</v>
      </c>
      <c r="AZ468" s="3"/>
      <c r="BA468" s="77"/>
      <c r="BC468" s="34">
        <v>19</v>
      </c>
      <c r="BD468" s="3"/>
      <c r="BE468" s="77"/>
      <c r="BH468" s="5"/>
      <c r="BL468" s="36">
        <v>19</v>
      </c>
      <c r="BM468" s="3"/>
      <c r="BN468" s="77"/>
      <c r="BP468" s="36">
        <v>19</v>
      </c>
      <c r="BQ468" s="3"/>
      <c r="BR468" s="4"/>
      <c r="BV468" s="36">
        <v>19</v>
      </c>
      <c r="BW468" s="3"/>
      <c r="BX468" s="4"/>
      <c r="BZ468" s="36">
        <v>19</v>
      </c>
      <c r="CA468" s="3"/>
      <c r="CB468" s="4"/>
    </row>
    <row r="469" spans="2:92">
      <c r="B469" s="34">
        <v>20</v>
      </c>
      <c r="C469" s="3"/>
      <c r="D469" s="77"/>
      <c r="F469" s="34">
        <v>20</v>
      </c>
      <c r="G469" s="2"/>
      <c r="H469" s="205"/>
      <c r="J469" s="34">
        <v>20</v>
      </c>
      <c r="K469" s="3"/>
      <c r="L469" s="77"/>
      <c r="P469" s="34">
        <v>20</v>
      </c>
      <c r="Q469" s="3"/>
      <c r="R469" s="77"/>
      <c r="T469" s="34">
        <v>20</v>
      </c>
      <c r="U469" s="3"/>
      <c r="V469" s="77"/>
      <c r="X469" s="34">
        <v>20</v>
      </c>
      <c r="Y469" s="2"/>
      <c r="Z469" s="205"/>
      <c r="AC469" s="5"/>
      <c r="AG469" s="34">
        <v>20</v>
      </c>
      <c r="AH469" s="3"/>
      <c r="AI469" s="77"/>
      <c r="AK469" s="34">
        <v>20</v>
      </c>
      <c r="AL469" s="3"/>
      <c r="AM469" s="77"/>
      <c r="AO469" s="34">
        <v>20</v>
      </c>
      <c r="AP469" s="3"/>
      <c r="AQ469" s="77"/>
      <c r="AU469" s="34">
        <v>20</v>
      </c>
      <c r="AV469" s="3"/>
      <c r="AW469" s="77"/>
      <c r="AY469" s="34">
        <v>20</v>
      </c>
      <c r="AZ469" s="3"/>
      <c r="BA469" s="77"/>
      <c r="BC469" s="34">
        <v>20</v>
      </c>
      <c r="BD469" s="3"/>
      <c r="BE469" s="77"/>
      <c r="BH469" s="5"/>
      <c r="BL469" s="36">
        <v>20</v>
      </c>
      <c r="BM469" s="3"/>
      <c r="BN469" s="77"/>
      <c r="BP469" s="36">
        <v>20</v>
      </c>
      <c r="BQ469" s="3"/>
      <c r="BR469" s="4"/>
      <c r="BV469" s="36">
        <v>20</v>
      </c>
      <c r="BW469" s="3"/>
      <c r="BX469" s="4"/>
      <c r="BZ469" s="36">
        <v>20</v>
      </c>
      <c r="CA469" s="3"/>
      <c r="CB469" s="77"/>
    </row>
    <row r="470" spans="2:92">
      <c r="B470" s="34">
        <v>21</v>
      </c>
      <c r="C470" s="3"/>
      <c r="D470" s="77"/>
      <c r="F470" s="34">
        <v>21</v>
      </c>
      <c r="G470" s="2"/>
      <c r="H470" s="205"/>
      <c r="J470" s="34">
        <v>21</v>
      </c>
      <c r="K470" s="2"/>
      <c r="L470" s="205"/>
      <c r="P470" s="34">
        <v>21</v>
      </c>
      <c r="Q470" s="3"/>
      <c r="R470" s="77"/>
      <c r="T470" s="34">
        <v>21</v>
      </c>
      <c r="U470" s="3"/>
      <c r="V470" s="77"/>
      <c r="X470" s="34">
        <v>21</v>
      </c>
      <c r="Y470" s="2"/>
      <c r="Z470" s="205"/>
      <c r="AC470" s="5"/>
      <c r="AG470" s="34">
        <v>21</v>
      </c>
      <c r="AH470" s="3"/>
      <c r="AI470" s="77"/>
      <c r="AK470" s="34">
        <v>21</v>
      </c>
      <c r="AL470" s="3"/>
      <c r="AM470" s="77"/>
      <c r="AO470" s="34">
        <v>21</v>
      </c>
      <c r="AP470" s="3"/>
      <c r="AQ470" s="77"/>
      <c r="AU470" s="34">
        <v>21</v>
      </c>
      <c r="AV470" s="3"/>
      <c r="AW470" s="77"/>
      <c r="AY470" s="34">
        <v>21</v>
      </c>
      <c r="AZ470" s="3"/>
      <c r="BA470" s="77"/>
      <c r="BC470" s="34">
        <v>21</v>
      </c>
      <c r="BD470" s="3"/>
      <c r="BE470" s="77"/>
      <c r="BH470" s="5"/>
      <c r="BL470" s="36">
        <v>21</v>
      </c>
      <c r="BM470" s="3"/>
      <c r="BN470" s="77"/>
      <c r="BP470" s="36">
        <v>21</v>
      </c>
      <c r="BQ470" s="3"/>
      <c r="BR470" s="4"/>
      <c r="BV470" s="36">
        <v>21</v>
      </c>
      <c r="BW470" s="3"/>
      <c r="BX470" s="4"/>
      <c r="BZ470" s="36">
        <v>21</v>
      </c>
      <c r="CA470" s="3"/>
      <c r="CB470" s="4"/>
    </row>
    <row r="471" spans="2:92">
      <c r="B471" s="34">
        <v>22</v>
      </c>
      <c r="C471" s="3"/>
      <c r="D471" s="77"/>
      <c r="F471" s="34">
        <v>22</v>
      </c>
      <c r="G471" s="2"/>
      <c r="H471" s="205"/>
      <c r="J471" s="34">
        <v>22</v>
      </c>
      <c r="K471" s="2"/>
      <c r="L471" s="205"/>
      <c r="P471" s="34">
        <v>22</v>
      </c>
      <c r="Q471" s="3"/>
      <c r="R471" s="77"/>
      <c r="T471" s="34">
        <v>22</v>
      </c>
      <c r="U471" s="3"/>
      <c r="V471" s="77"/>
      <c r="X471" s="34">
        <v>22</v>
      </c>
      <c r="Y471" s="2"/>
      <c r="Z471" s="205"/>
      <c r="AC471" s="5"/>
      <c r="AG471" s="34">
        <v>22</v>
      </c>
      <c r="AH471" s="3"/>
      <c r="AI471" s="77"/>
      <c r="AK471" s="34">
        <v>22</v>
      </c>
      <c r="AL471" s="3"/>
      <c r="AM471" s="77"/>
      <c r="AO471" s="34">
        <v>22</v>
      </c>
      <c r="AP471" s="3"/>
      <c r="AQ471" s="77"/>
      <c r="AU471" s="34">
        <v>22</v>
      </c>
      <c r="AV471" s="3"/>
      <c r="AW471" s="77"/>
      <c r="AY471" s="34">
        <v>22</v>
      </c>
      <c r="AZ471" s="3"/>
      <c r="BA471" s="77"/>
      <c r="BC471" s="34">
        <v>22</v>
      </c>
      <c r="BD471" s="3"/>
      <c r="BE471" s="77"/>
      <c r="BH471" s="5"/>
      <c r="BL471" s="36">
        <v>22</v>
      </c>
      <c r="BM471" s="3"/>
      <c r="BN471" s="4"/>
      <c r="BP471" s="36">
        <v>22</v>
      </c>
      <c r="BQ471" s="3"/>
      <c r="BR471" s="4"/>
      <c r="BV471" s="36">
        <v>22</v>
      </c>
      <c r="BW471" s="3"/>
      <c r="BX471" s="4"/>
      <c r="BZ471" s="36">
        <v>22</v>
      </c>
      <c r="CA471" s="3"/>
      <c r="CB471" s="4"/>
    </row>
    <row r="472" spans="2:92">
      <c r="B472" s="34">
        <v>23</v>
      </c>
      <c r="C472" s="3"/>
      <c r="D472" s="77"/>
      <c r="F472" s="34">
        <v>23</v>
      </c>
      <c r="G472" s="3"/>
      <c r="H472" s="77"/>
      <c r="J472" s="34">
        <v>23</v>
      </c>
      <c r="K472" s="3"/>
      <c r="L472" s="77"/>
      <c r="P472" s="34">
        <v>23</v>
      </c>
      <c r="Q472" s="3"/>
      <c r="R472" s="77"/>
      <c r="T472" s="34">
        <v>23</v>
      </c>
      <c r="U472" s="3"/>
      <c r="V472" s="77"/>
      <c r="X472" s="34">
        <v>23</v>
      </c>
      <c r="Y472" s="3"/>
      <c r="Z472" s="77"/>
      <c r="AC472" s="5"/>
      <c r="AG472" s="34">
        <v>23</v>
      </c>
      <c r="AH472" s="3"/>
      <c r="AI472" s="77"/>
      <c r="AK472" s="34">
        <v>23</v>
      </c>
      <c r="AL472" s="3"/>
      <c r="AM472" s="77"/>
      <c r="AO472" s="34">
        <v>23</v>
      </c>
      <c r="AP472" s="3"/>
      <c r="AQ472" s="77"/>
      <c r="AU472" s="34">
        <v>23</v>
      </c>
      <c r="AV472" s="3"/>
      <c r="AW472" s="77"/>
      <c r="AY472" s="34">
        <v>23</v>
      </c>
      <c r="AZ472" s="3"/>
      <c r="BA472" s="77"/>
      <c r="BC472" s="34">
        <v>23</v>
      </c>
      <c r="BD472" s="3"/>
      <c r="BE472" s="77"/>
      <c r="BH472" s="5"/>
      <c r="BL472" s="36">
        <v>23</v>
      </c>
      <c r="BM472" s="3"/>
      <c r="BN472" s="4"/>
      <c r="BP472" s="36">
        <v>23</v>
      </c>
      <c r="BQ472" s="3"/>
      <c r="BR472" s="4"/>
      <c r="BV472" s="36">
        <v>23</v>
      </c>
      <c r="BW472" s="3"/>
      <c r="BX472" s="4"/>
      <c r="BZ472" s="36">
        <v>23</v>
      </c>
      <c r="CA472" s="3"/>
      <c r="CB472" s="4"/>
    </row>
    <row r="473" spans="2:92">
      <c r="AC473" s="5"/>
      <c r="AU473"/>
      <c r="BC473"/>
      <c r="BH473" s="5"/>
      <c r="BL473" s="10"/>
      <c r="BM473" s="22"/>
    </row>
    <row r="474" spans="2:92">
      <c r="AC474" s="5"/>
      <c r="AU474"/>
      <c r="BC474"/>
      <c r="BH474" s="5"/>
      <c r="BL474" s="10"/>
      <c r="BM474" s="22"/>
    </row>
    <row r="475" spans="2:92">
      <c r="AC475" s="5"/>
      <c r="AU475"/>
      <c r="BC475"/>
      <c r="BH475" s="5"/>
      <c r="BL475" s="10"/>
      <c r="BM475" s="22"/>
    </row>
    <row r="476" spans="2:92" s="1" customFormat="1" ht="20.25" customHeight="1">
      <c r="B476" s="54"/>
      <c r="C476" s="55">
        <f>'NRB 공장 내부 배치도'!C25</f>
        <v>0</v>
      </c>
      <c r="D476" s="199"/>
      <c r="F476" s="54"/>
      <c r="G476" s="55">
        <f>'NRB 공장 내부 배치도'!D25</f>
        <v>0</v>
      </c>
      <c r="H476" s="199"/>
      <c r="J476" s="54"/>
      <c r="K476" s="55">
        <f>'NRB 공장 내부 배치도'!E25</f>
        <v>0</v>
      </c>
      <c r="L476" s="199"/>
      <c r="P476" s="54"/>
      <c r="Q476" s="55">
        <f>'NRB 공장 내부 배치도'!G25</f>
        <v>0</v>
      </c>
      <c r="R476" s="199"/>
      <c r="T476" s="54"/>
      <c r="U476" s="55">
        <f>'NRB 공장 내부 배치도'!H25</f>
        <v>0</v>
      </c>
      <c r="V476" s="199"/>
      <c r="X476" s="54"/>
      <c r="Y476" s="55">
        <f>'NRB 공장 내부 배치도'!I25</f>
        <v>0</v>
      </c>
      <c r="Z476" s="199"/>
      <c r="AC476" s="71"/>
      <c r="AG476" s="54"/>
      <c r="AH476" s="55">
        <f>'NRB 공장 내부 배치도'!L25</f>
        <v>0</v>
      </c>
      <c r="AI476" s="199"/>
      <c r="AK476" s="54"/>
      <c r="AL476" s="86">
        <f>'NRB 공장 내부 배치도'!M25</f>
        <v>0</v>
      </c>
      <c r="AM476" s="199"/>
      <c r="AO476" s="54"/>
      <c r="AP476" s="55">
        <f>'NRB 공장 내부 배치도'!N25</f>
        <v>0</v>
      </c>
      <c r="AQ476" s="199"/>
      <c r="AU476" s="54"/>
      <c r="AV476" s="55">
        <f>'NRB 공장 내부 배치도'!P25</f>
        <v>0</v>
      </c>
      <c r="AW476" s="199"/>
      <c r="AY476" s="54"/>
      <c r="AZ476" s="55">
        <f>'NRB 공장 내부 배치도'!Q25</f>
        <v>0</v>
      </c>
      <c r="BA476" s="199"/>
      <c r="BC476" s="54"/>
      <c r="BD476" s="55">
        <f>'NRB 공장 내부 배치도'!R25</f>
        <v>0</v>
      </c>
      <c r="BE476" s="199"/>
      <c r="BF476" s="204"/>
      <c r="BH476" s="71"/>
      <c r="BL476" s="54"/>
      <c r="BM476" s="55">
        <f>'NRB 공장 내부 배치도'!U25</f>
        <v>0</v>
      </c>
      <c r="BN476" s="56"/>
      <c r="BP476" s="54"/>
      <c r="BQ476" s="55">
        <f>'NRB 공장 내부 배치도'!V25</f>
        <v>0</v>
      </c>
      <c r="BR476" s="56"/>
      <c r="BV476" s="54"/>
      <c r="BW476" s="55">
        <f>'NRB 공장 내부 배치도'!X25</f>
        <v>0</v>
      </c>
      <c r="BX476" s="56"/>
      <c r="BZ476" s="54"/>
      <c r="CA476" s="55">
        <f>'NRB 공장 내부 배치도'!Y25</f>
        <v>0</v>
      </c>
      <c r="CB476" s="56"/>
      <c r="CF476" s="71"/>
      <c r="CG476" s="71"/>
      <c r="CH476" s="71"/>
      <c r="CL476" s="21"/>
      <c r="CM476" s="21"/>
      <c r="CN476" s="21"/>
    </row>
    <row r="477" spans="2:92">
      <c r="B477" s="34">
        <v>1</v>
      </c>
      <c r="C477" s="3"/>
      <c r="D477" s="77"/>
      <c r="F477" s="34">
        <v>1</v>
      </c>
      <c r="G477" s="252"/>
      <c r="H477" s="253"/>
      <c r="J477" s="34">
        <v>1</v>
      </c>
      <c r="K477" s="252"/>
      <c r="L477" s="253"/>
      <c r="P477" s="34">
        <v>1</v>
      </c>
      <c r="Q477" s="3"/>
      <c r="R477" s="77"/>
      <c r="T477" s="34">
        <v>1</v>
      </c>
      <c r="U477" s="3"/>
      <c r="V477" s="77"/>
      <c r="X477" s="34">
        <v>1</v>
      </c>
      <c r="Y477" s="3"/>
      <c r="Z477" s="77"/>
      <c r="AC477" s="5"/>
      <c r="AG477" s="34">
        <v>1</v>
      </c>
      <c r="AH477" s="3"/>
      <c r="AI477" s="77"/>
      <c r="AK477" s="34">
        <v>1</v>
      </c>
      <c r="AL477" s="3"/>
      <c r="AM477" s="205"/>
      <c r="AO477" s="34">
        <v>1</v>
      </c>
      <c r="AP477" s="3"/>
      <c r="AQ477" s="77"/>
      <c r="AU477" s="34">
        <v>1</v>
      </c>
      <c r="AV477" s="3"/>
      <c r="AW477" s="77"/>
      <c r="AY477" s="34">
        <v>1</v>
      </c>
      <c r="AZ477" s="3"/>
      <c r="BA477" s="205"/>
      <c r="BC477" s="34">
        <v>1</v>
      </c>
      <c r="BD477" s="3"/>
      <c r="BE477" s="77"/>
      <c r="BH477" s="5"/>
      <c r="BL477" s="36">
        <v>1</v>
      </c>
      <c r="BM477" s="3"/>
      <c r="BN477" s="4"/>
      <c r="BP477" s="34">
        <v>1</v>
      </c>
      <c r="BQ477" s="3"/>
      <c r="BR477" s="4"/>
      <c r="BV477" s="36">
        <v>1</v>
      </c>
      <c r="BW477" s="3"/>
      <c r="BX477" s="77"/>
      <c r="BZ477" s="36">
        <v>1</v>
      </c>
      <c r="CA477" s="9"/>
      <c r="CB477" s="77"/>
      <c r="CL477" s="10"/>
      <c r="CM477" s="8"/>
      <c r="CN477" s="1"/>
    </row>
    <row r="478" spans="2:92" ht="16.5" customHeight="1">
      <c r="B478" s="34">
        <v>2</v>
      </c>
      <c r="C478" s="3"/>
      <c r="D478" s="77"/>
      <c r="F478" s="34">
        <v>2</v>
      </c>
      <c r="G478" s="252"/>
      <c r="H478" s="253"/>
      <c r="J478" s="34">
        <v>2</v>
      </c>
      <c r="K478" s="252"/>
      <c r="L478" s="253"/>
      <c r="P478" s="34">
        <v>2</v>
      </c>
      <c r="Q478" s="3"/>
      <c r="R478" s="77"/>
      <c r="T478" s="34">
        <v>2</v>
      </c>
      <c r="U478" s="3"/>
      <c r="V478" s="77"/>
      <c r="X478" s="34">
        <v>2</v>
      </c>
      <c r="Y478" s="3"/>
      <c r="Z478" s="77"/>
      <c r="AC478" s="5"/>
      <c r="AG478" s="34">
        <v>2</v>
      </c>
      <c r="AH478" s="3"/>
      <c r="AI478" s="77"/>
      <c r="AK478" s="34">
        <v>2</v>
      </c>
      <c r="AL478" s="3"/>
      <c r="AM478" s="205"/>
      <c r="AO478" s="34">
        <v>2</v>
      </c>
      <c r="AP478" s="3"/>
      <c r="AQ478" s="77"/>
      <c r="AU478" s="34">
        <v>2</v>
      </c>
      <c r="AV478" s="3"/>
      <c r="AW478" s="77"/>
      <c r="AY478" s="34">
        <v>2</v>
      </c>
      <c r="AZ478" s="3"/>
      <c r="BA478" s="77"/>
      <c r="BC478" s="34">
        <v>2</v>
      </c>
      <c r="BD478" s="3"/>
      <c r="BE478" s="77"/>
      <c r="BH478" s="5"/>
      <c r="BL478" s="36">
        <v>2</v>
      </c>
      <c r="BM478" s="3"/>
      <c r="BN478" s="4"/>
      <c r="BP478" s="34">
        <v>2</v>
      </c>
      <c r="BQ478" s="3"/>
      <c r="BR478" s="4"/>
      <c r="BV478" s="36">
        <v>2</v>
      </c>
      <c r="BW478" s="3"/>
      <c r="BX478" s="77"/>
      <c r="BZ478" s="36">
        <v>2</v>
      </c>
      <c r="CA478" s="9"/>
      <c r="CB478" s="77"/>
      <c r="CL478" s="10"/>
      <c r="CM478" s="8"/>
      <c r="CN478" s="1"/>
    </row>
    <row r="479" spans="2:92">
      <c r="B479" s="34">
        <v>3</v>
      </c>
      <c r="C479" s="3"/>
      <c r="D479" s="77"/>
      <c r="F479" s="34">
        <v>3</v>
      </c>
      <c r="G479" s="252"/>
      <c r="H479" s="253"/>
      <c r="J479" s="34">
        <v>3</v>
      </c>
      <c r="K479" s="252"/>
      <c r="L479" s="253"/>
      <c r="P479" s="34">
        <v>3</v>
      </c>
      <c r="Q479" s="3"/>
      <c r="R479" s="77"/>
      <c r="T479" s="34">
        <v>3</v>
      </c>
      <c r="U479" s="3"/>
      <c r="V479" s="77"/>
      <c r="X479" s="34">
        <v>3</v>
      </c>
      <c r="Y479" s="3"/>
      <c r="Z479" s="77"/>
      <c r="AC479" s="5"/>
      <c r="AG479" s="34">
        <v>3</v>
      </c>
      <c r="AH479" s="3"/>
      <c r="AI479" s="77"/>
      <c r="AK479" s="34">
        <v>3</v>
      </c>
      <c r="AL479" s="3"/>
      <c r="AM479" s="77"/>
      <c r="AO479" s="34">
        <v>3</v>
      </c>
      <c r="AP479" s="3"/>
      <c r="AQ479" s="77"/>
      <c r="AU479" s="34">
        <v>3</v>
      </c>
      <c r="AV479" s="3"/>
      <c r="AW479" s="77"/>
      <c r="AY479" s="34">
        <v>3</v>
      </c>
      <c r="AZ479" s="3"/>
      <c r="BA479" s="77"/>
      <c r="BC479" s="34">
        <v>3</v>
      </c>
      <c r="BD479" s="3"/>
      <c r="BE479" s="77"/>
      <c r="BH479" s="5"/>
      <c r="BL479" s="36">
        <v>3</v>
      </c>
      <c r="BM479" s="3"/>
      <c r="BN479" s="4"/>
      <c r="BP479" s="34">
        <v>3</v>
      </c>
      <c r="BQ479" s="3"/>
      <c r="BR479" s="4"/>
      <c r="BV479" s="36">
        <v>3</v>
      </c>
      <c r="BW479" s="3"/>
      <c r="BX479" s="77"/>
      <c r="BZ479" s="36">
        <v>3</v>
      </c>
      <c r="CA479" s="9"/>
      <c r="CB479" s="77"/>
      <c r="CL479" s="10"/>
      <c r="CM479" s="8"/>
      <c r="CN479" s="1"/>
    </row>
    <row r="480" spans="2:92">
      <c r="B480" s="34">
        <v>4</v>
      </c>
      <c r="C480" s="3"/>
      <c r="D480" s="77"/>
      <c r="F480" s="34">
        <v>4</v>
      </c>
      <c r="G480" s="252"/>
      <c r="H480" s="253"/>
      <c r="J480" s="34">
        <v>4</v>
      </c>
      <c r="K480" s="252"/>
      <c r="L480" s="253"/>
      <c r="P480" s="34">
        <v>4</v>
      </c>
      <c r="Q480" s="3"/>
      <c r="R480" s="77"/>
      <c r="T480" s="34">
        <v>4</v>
      </c>
      <c r="U480" s="3"/>
      <c r="V480" s="77"/>
      <c r="X480" s="34">
        <v>4</v>
      </c>
      <c r="Y480" s="3"/>
      <c r="Z480" s="77"/>
      <c r="AC480" s="5"/>
      <c r="AG480" s="34">
        <v>4</v>
      </c>
      <c r="AH480" s="3"/>
      <c r="AI480" s="77"/>
      <c r="AK480" s="34">
        <v>4</v>
      </c>
      <c r="AL480" s="3"/>
      <c r="AM480" s="77"/>
      <c r="AO480" s="34">
        <v>4</v>
      </c>
      <c r="AP480" s="3"/>
      <c r="AQ480" s="77"/>
      <c r="AU480" s="34">
        <v>4</v>
      </c>
      <c r="AV480" s="3"/>
      <c r="AW480" s="77"/>
      <c r="AY480" s="34">
        <v>4</v>
      </c>
      <c r="AZ480" s="3"/>
      <c r="BA480" s="77"/>
      <c r="BC480" s="34">
        <v>4</v>
      </c>
      <c r="BD480" s="3"/>
      <c r="BE480" s="77"/>
      <c r="BH480" s="5"/>
      <c r="BL480" s="36">
        <v>4</v>
      </c>
      <c r="BM480" s="3"/>
      <c r="BN480" s="4"/>
      <c r="BP480" s="34">
        <v>4</v>
      </c>
      <c r="BQ480" s="3"/>
      <c r="BR480" s="4"/>
      <c r="BV480" s="36">
        <v>4</v>
      </c>
      <c r="BW480" s="3"/>
      <c r="BX480" s="77"/>
      <c r="BZ480" s="36">
        <v>4</v>
      </c>
      <c r="CA480" s="9"/>
      <c r="CB480" s="77"/>
      <c r="CL480" s="10"/>
      <c r="CM480" s="8"/>
      <c r="CN480" s="1"/>
    </row>
    <row r="481" spans="2:92">
      <c r="B481" s="34">
        <v>5</v>
      </c>
      <c r="C481" s="3"/>
      <c r="D481" s="77"/>
      <c r="F481" s="34">
        <v>5</v>
      </c>
      <c r="G481" s="252"/>
      <c r="H481" s="253"/>
      <c r="J481" s="34">
        <v>5</v>
      </c>
      <c r="K481" s="252"/>
      <c r="L481" s="253"/>
      <c r="P481" s="34">
        <v>5</v>
      </c>
      <c r="Q481" s="3"/>
      <c r="R481" s="77"/>
      <c r="T481" s="34">
        <v>5</v>
      </c>
      <c r="U481" s="3"/>
      <c r="V481" s="77"/>
      <c r="X481" s="34">
        <v>5</v>
      </c>
      <c r="Y481" s="3"/>
      <c r="Z481" s="77"/>
      <c r="AC481" s="5"/>
      <c r="AG481" s="34">
        <v>5</v>
      </c>
      <c r="AH481" s="3"/>
      <c r="AI481" s="77"/>
      <c r="AK481" s="34">
        <v>5</v>
      </c>
      <c r="AL481" s="3"/>
      <c r="AM481" s="77"/>
      <c r="AO481" s="34">
        <v>5</v>
      </c>
      <c r="AP481" s="3"/>
      <c r="AQ481" s="77"/>
      <c r="AU481" s="34">
        <v>5</v>
      </c>
      <c r="AV481" s="3"/>
      <c r="AW481" s="77"/>
      <c r="AY481" s="34">
        <v>5</v>
      </c>
      <c r="AZ481" s="3"/>
      <c r="BA481" s="77"/>
      <c r="BC481" s="34">
        <v>5</v>
      </c>
      <c r="BD481" s="3"/>
      <c r="BE481" s="77"/>
      <c r="BH481" s="5"/>
      <c r="BL481" s="36">
        <v>5</v>
      </c>
      <c r="BM481" s="3"/>
      <c r="BN481" s="4"/>
      <c r="BP481" s="34">
        <v>5</v>
      </c>
      <c r="BQ481" s="3"/>
      <c r="BR481" s="4"/>
      <c r="BV481" s="36">
        <v>5</v>
      </c>
      <c r="BW481" s="3"/>
      <c r="BX481" s="77"/>
      <c r="BZ481" s="36">
        <v>5</v>
      </c>
      <c r="CA481" s="9"/>
      <c r="CB481" s="77"/>
      <c r="CL481" s="10"/>
      <c r="CM481" s="8"/>
      <c r="CN481" s="1"/>
    </row>
    <row r="482" spans="2:92">
      <c r="B482" s="34">
        <v>6</v>
      </c>
      <c r="C482" s="3"/>
      <c r="D482" s="77"/>
      <c r="F482" s="34">
        <v>6</v>
      </c>
      <c r="G482" s="252"/>
      <c r="H482" s="253"/>
      <c r="J482" s="34">
        <v>6</v>
      </c>
      <c r="K482" s="252"/>
      <c r="L482" s="253"/>
      <c r="P482" s="34">
        <v>6</v>
      </c>
      <c r="Q482" s="3"/>
      <c r="R482" s="77"/>
      <c r="T482" s="34">
        <v>6</v>
      </c>
      <c r="U482" s="3"/>
      <c r="V482" s="77"/>
      <c r="X482" s="34">
        <v>6</v>
      </c>
      <c r="Y482" s="3"/>
      <c r="Z482" s="77"/>
      <c r="AC482" s="5"/>
      <c r="AG482" s="34">
        <v>6</v>
      </c>
      <c r="AH482" s="3"/>
      <c r="AI482" s="77"/>
      <c r="AK482" s="34">
        <v>6</v>
      </c>
      <c r="AL482" s="3"/>
      <c r="AM482" s="77"/>
      <c r="AO482" s="34">
        <v>6</v>
      </c>
      <c r="AP482" s="3"/>
      <c r="AQ482" s="77"/>
      <c r="AU482" s="34">
        <v>6</v>
      </c>
      <c r="AV482" s="3"/>
      <c r="AW482" s="77"/>
      <c r="AY482" s="34">
        <v>6</v>
      </c>
      <c r="AZ482" s="3"/>
      <c r="BA482" s="77"/>
      <c r="BC482" s="34">
        <v>6</v>
      </c>
      <c r="BD482" s="3"/>
      <c r="BE482" s="77"/>
      <c r="BH482" s="5"/>
      <c r="BL482" s="36">
        <v>6</v>
      </c>
      <c r="BM482" s="3"/>
      <c r="BN482" s="4"/>
      <c r="BP482" s="34">
        <v>6</v>
      </c>
      <c r="BQ482" s="3"/>
      <c r="BR482" s="4"/>
      <c r="BV482" s="36">
        <v>6</v>
      </c>
      <c r="BW482" s="3"/>
      <c r="BX482" s="77"/>
      <c r="BZ482" s="36">
        <v>6</v>
      </c>
      <c r="CA482" s="9"/>
      <c r="CB482" s="77"/>
      <c r="CL482" s="10"/>
      <c r="CM482" s="8"/>
      <c r="CN482" s="1"/>
    </row>
    <row r="483" spans="2:92">
      <c r="B483" s="34">
        <v>7</v>
      </c>
      <c r="C483" s="3"/>
      <c r="D483" s="77"/>
      <c r="F483" s="34">
        <v>7</v>
      </c>
      <c r="G483" s="252"/>
      <c r="H483" s="253"/>
      <c r="J483" s="34">
        <v>7</v>
      </c>
      <c r="K483" s="252"/>
      <c r="L483" s="253"/>
      <c r="P483" s="34">
        <v>7</v>
      </c>
      <c r="Q483" s="3"/>
      <c r="R483" s="77"/>
      <c r="T483" s="34">
        <v>7</v>
      </c>
      <c r="U483" s="3"/>
      <c r="V483" s="77"/>
      <c r="X483" s="34">
        <v>7</v>
      </c>
      <c r="Y483" s="3"/>
      <c r="Z483" s="77"/>
      <c r="AC483" s="5"/>
      <c r="AG483" s="34">
        <v>7</v>
      </c>
      <c r="AH483" s="3"/>
      <c r="AI483" s="77"/>
      <c r="AK483" s="34">
        <v>7</v>
      </c>
      <c r="AL483" s="3"/>
      <c r="AM483" s="77"/>
      <c r="AO483" s="34">
        <v>7</v>
      </c>
      <c r="AP483" s="3"/>
      <c r="AQ483" s="77"/>
      <c r="AU483" s="34">
        <v>7</v>
      </c>
      <c r="AV483" s="3"/>
      <c r="AW483" s="77"/>
      <c r="AY483" s="34">
        <v>7</v>
      </c>
      <c r="AZ483" s="3"/>
      <c r="BA483" s="77"/>
      <c r="BC483" s="34">
        <v>7</v>
      </c>
      <c r="BD483" s="3"/>
      <c r="BE483" s="77"/>
      <c r="BH483" s="5"/>
      <c r="BL483" s="36">
        <v>7</v>
      </c>
      <c r="BM483" s="3"/>
      <c r="BN483" s="4"/>
      <c r="BP483" s="34">
        <v>7</v>
      </c>
      <c r="BQ483" s="3"/>
      <c r="BR483" s="4"/>
      <c r="BV483" s="36">
        <v>7</v>
      </c>
      <c r="BW483" s="3"/>
      <c r="BX483" s="77"/>
      <c r="BZ483" s="36">
        <v>7</v>
      </c>
      <c r="CA483" s="9"/>
      <c r="CB483" s="77"/>
      <c r="CL483" s="10"/>
      <c r="CM483" s="8"/>
      <c r="CN483" s="1"/>
    </row>
    <row r="484" spans="2:92">
      <c r="B484" s="34">
        <v>8</v>
      </c>
      <c r="C484" s="3"/>
      <c r="D484" s="77"/>
      <c r="F484" s="34">
        <v>8</v>
      </c>
      <c r="G484" s="252"/>
      <c r="H484" s="253"/>
      <c r="J484" s="34">
        <v>8</v>
      </c>
      <c r="K484" s="252"/>
      <c r="L484" s="253"/>
      <c r="P484" s="34">
        <v>8</v>
      </c>
      <c r="Q484" s="3"/>
      <c r="R484" s="77"/>
      <c r="T484" s="34">
        <v>8</v>
      </c>
      <c r="U484" s="3"/>
      <c r="V484" s="77"/>
      <c r="X484" s="34">
        <v>8</v>
      </c>
      <c r="Y484" s="3"/>
      <c r="Z484" s="77"/>
      <c r="AC484" s="5"/>
      <c r="AG484" s="34">
        <v>8</v>
      </c>
      <c r="AH484" s="3"/>
      <c r="AI484" s="77"/>
      <c r="AK484" s="34">
        <v>8</v>
      </c>
      <c r="AL484" s="3"/>
      <c r="AM484" s="77"/>
      <c r="AO484" s="34">
        <v>8</v>
      </c>
      <c r="AP484" s="3"/>
      <c r="AQ484" s="77"/>
      <c r="AU484" s="34">
        <v>8</v>
      </c>
      <c r="AV484" s="3"/>
      <c r="AW484" s="77"/>
      <c r="AY484" s="34">
        <v>8</v>
      </c>
      <c r="AZ484" s="3"/>
      <c r="BA484" s="77"/>
      <c r="BC484" s="34">
        <v>8</v>
      </c>
      <c r="BD484" s="3"/>
      <c r="BE484" s="77"/>
      <c r="BH484" s="5"/>
      <c r="BL484" s="36">
        <v>8</v>
      </c>
      <c r="BM484" s="3"/>
      <c r="BN484" s="4"/>
      <c r="BP484" s="34">
        <v>8</v>
      </c>
      <c r="BQ484" s="3"/>
      <c r="BR484" s="4"/>
      <c r="BV484" s="36">
        <v>8</v>
      </c>
      <c r="BW484" s="3"/>
      <c r="BX484" s="77"/>
      <c r="BZ484" s="36">
        <v>8</v>
      </c>
      <c r="CA484" s="9"/>
      <c r="CB484" s="77"/>
      <c r="CL484" s="10"/>
      <c r="CM484" s="8"/>
      <c r="CN484" s="1"/>
    </row>
    <row r="485" spans="2:92">
      <c r="B485" s="34">
        <v>9</v>
      </c>
      <c r="C485" s="3"/>
      <c r="D485" s="77"/>
      <c r="F485" s="34">
        <v>9</v>
      </c>
      <c r="G485" s="252"/>
      <c r="H485" s="253"/>
      <c r="J485" s="34">
        <v>9</v>
      </c>
      <c r="K485" s="252"/>
      <c r="L485" s="253"/>
      <c r="P485" s="34">
        <v>9</v>
      </c>
      <c r="Q485" s="3"/>
      <c r="R485" s="77"/>
      <c r="T485" s="34">
        <v>9</v>
      </c>
      <c r="U485" s="3"/>
      <c r="V485" s="77"/>
      <c r="X485" s="34">
        <v>9</v>
      </c>
      <c r="Y485" s="3"/>
      <c r="Z485" s="77"/>
      <c r="AC485" s="5"/>
      <c r="AG485" s="34">
        <v>9</v>
      </c>
      <c r="AH485" s="3"/>
      <c r="AI485" s="77"/>
      <c r="AK485" s="34">
        <v>9</v>
      </c>
      <c r="AL485" s="3"/>
      <c r="AM485" s="77"/>
      <c r="AO485" s="34">
        <v>9</v>
      </c>
      <c r="AP485" s="3"/>
      <c r="AQ485" s="77"/>
      <c r="AU485" s="34">
        <v>9</v>
      </c>
      <c r="AV485" s="3"/>
      <c r="AW485" s="77"/>
      <c r="AY485" s="34">
        <v>9</v>
      </c>
      <c r="AZ485" s="3"/>
      <c r="BA485" s="77"/>
      <c r="BC485" s="34">
        <v>9</v>
      </c>
      <c r="BD485" s="3"/>
      <c r="BE485" s="77"/>
      <c r="BH485" s="5"/>
      <c r="BL485" s="36">
        <v>9</v>
      </c>
      <c r="BM485" s="3"/>
      <c r="BN485" s="4"/>
      <c r="BP485" s="34">
        <v>9</v>
      </c>
      <c r="BQ485" s="3"/>
      <c r="BR485" s="4"/>
      <c r="BV485" s="36">
        <v>9</v>
      </c>
      <c r="BW485" s="3"/>
      <c r="BX485" s="4"/>
      <c r="BZ485" s="36">
        <v>9</v>
      </c>
      <c r="CA485" s="9"/>
      <c r="CB485" s="77"/>
      <c r="CL485" s="10"/>
      <c r="CM485" s="8"/>
      <c r="CN485" s="1"/>
    </row>
    <row r="486" spans="2:92">
      <c r="B486" s="34">
        <v>10</v>
      </c>
      <c r="C486" s="3"/>
      <c r="D486" s="77"/>
      <c r="F486" s="34">
        <v>10</v>
      </c>
      <c r="G486" s="252"/>
      <c r="H486" s="253"/>
      <c r="J486" s="34">
        <v>10</v>
      </c>
      <c r="K486" s="252"/>
      <c r="L486" s="253"/>
      <c r="P486" s="34">
        <v>10</v>
      </c>
      <c r="Q486" s="3"/>
      <c r="R486" s="77"/>
      <c r="T486" s="34">
        <v>10</v>
      </c>
      <c r="U486" s="3"/>
      <c r="V486" s="77"/>
      <c r="X486" s="34">
        <v>10</v>
      </c>
      <c r="Y486" s="3"/>
      <c r="Z486" s="77"/>
      <c r="AC486" s="5"/>
      <c r="AG486" s="34">
        <v>10</v>
      </c>
      <c r="AH486" s="3"/>
      <c r="AI486" s="77"/>
      <c r="AK486" s="34">
        <v>10</v>
      </c>
      <c r="AL486" s="3"/>
      <c r="AM486" s="77"/>
      <c r="AO486" s="34">
        <v>10</v>
      </c>
      <c r="AP486" s="3"/>
      <c r="AQ486" s="77"/>
      <c r="AU486" s="34">
        <v>10</v>
      </c>
      <c r="AV486" s="3"/>
      <c r="AW486" s="77"/>
      <c r="AY486" s="34">
        <v>10</v>
      </c>
      <c r="AZ486" s="3"/>
      <c r="BA486" s="77"/>
      <c r="BC486" s="34">
        <v>10</v>
      </c>
      <c r="BD486" s="3"/>
      <c r="BE486" s="77"/>
      <c r="BH486" s="5"/>
      <c r="BL486" s="36">
        <v>10</v>
      </c>
      <c r="BM486" s="3"/>
      <c r="BN486" s="4"/>
      <c r="BP486" s="34">
        <v>10</v>
      </c>
      <c r="BQ486" s="3"/>
      <c r="BR486" s="28"/>
      <c r="BV486" s="36">
        <v>10</v>
      </c>
      <c r="BW486" s="3"/>
      <c r="BX486" s="77"/>
      <c r="BZ486" s="36">
        <v>10</v>
      </c>
      <c r="CA486" s="9"/>
      <c r="CB486" s="77"/>
      <c r="CL486" s="10"/>
      <c r="CM486" s="8"/>
      <c r="CN486" s="1"/>
    </row>
    <row r="487" spans="2:92">
      <c r="B487" s="34">
        <v>11</v>
      </c>
      <c r="C487" s="3"/>
      <c r="D487" s="77"/>
      <c r="F487" s="34">
        <v>11</v>
      </c>
      <c r="G487" s="252"/>
      <c r="H487" s="253"/>
      <c r="J487" s="34">
        <v>11</v>
      </c>
      <c r="K487" s="252"/>
      <c r="L487" s="253"/>
      <c r="P487" s="34">
        <v>11</v>
      </c>
      <c r="Q487" s="3"/>
      <c r="R487" s="77"/>
      <c r="T487" s="34">
        <v>11</v>
      </c>
      <c r="U487" s="3"/>
      <c r="V487" s="77"/>
      <c r="X487" s="34">
        <v>11</v>
      </c>
      <c r="Y487" s="3"/>
      <c r="Z487" s="77"/>
      <c r="AC487" s="5"/>
      <c r="AG487" s="34">
        <v>11</v>
      </c>
      <c r="AH487" s="3"/>
      <c r="AI487" s="77"/>
      <c r="AK487" s="34">
        <v>11</v>
      </c>
      <c r="AL487" s="3"/>
      <c r="AM487" s="77"/>
      <c r="AO487" s="34">
        <v>11</v>
      </c>
      <c r="AP487" s="3"/>
      <c r="AQ487" s="77"/>
      <c r="AU487" s="34">
        <v>11</v>
      </c>
      <c r="AV487" s="3"/>
      <c r="AW487" s="77"/>
      <c r="AY487" s="34">
        <v>11</v>
      </c>
      <c r="AZ487" s="3"/>
      <c r="BA487" s="77"/>
      <c r="BC487" s="34">
        <v>11</v>
      </c>
      <c r="BD487" s="3"/>
      <c r="BE487" s="77"/>
      <c r="BH487" s="5"/>
      <c r="BL487" s="36">
        <v>11</v>
      </c>
      <c r="BM487" s="3"/>
      <c r="BN487" s="4"/>
      <c r="BP487" s="34">
        <v>11</v>
      </c>
      <c r="BQ487" s="3"/>
      <c r="BR487" s="4"/>
      <c r="BV487" s="36">
        <v>11</v>
      </c>
      <c r="BW487" s="3"/>
      <c r="BX487" s="4"/>
      <c r="BZ487" s="36">
        <v>11</v>
      </c>
      <c r="CA487" s="9"/>
      <c r="CB487" s="77"/>
      <c r="CL487" s="10"/>
      <c r="CM487" s="8"/>
      <c r="CN487" s="1"/>
    </row>
    <row r="488" spans="2:92">
      <c r="B488" s="34">
        <v>12</v>
      </c>
      <c r="C488" s="3"/>
      <c r="D488" s="77"/>
      <c r="F488" s="34">
        <v>12</v>
      </c>
      <c r="G488" s="252"/>
      <c r="H488" s="253"/>
      <c r="J488" s="34">
        <v>12</v>
      </c>
      <c r="K488" s="252"/>
      <c r="L488" s="253"/>
      <c r="P488" s="34">
        <v>12</v>
      </c>
      <c r="Q488" s="3"/>
      <c r="R488" s="77"/>
      <c r="T488" s="34">
        <v>12</v>
      </c>
      <c r="U488" s="3"/>
      <c r="V488" s="77"/>
      <c r="X488" s="34">
        <v>12</v>
      </c>
      <c r="Y488" s="3"/>
      <c r="Z488" s="77"/>
      <c r="AC488" s="5"/>
      <c r="AG488" s="34">
        <v>12</v>
      </c>
      <c r="AH488" s="3"/>
      <c r="AI488" s="77"/>
      <c r="AK488" s="34">
        <v>12</v>
      </c>
      <c r="AL488" s="3"/>
      <c r="AM488" s="77"/>
      <c r="AO488" s="34">
        <v>12</v>
      </c>
      <c r="AP488" s="3"/>
      <c r="AQ488" s="77"/>
      <c r="AU488" s="34">
        <v>12</v>
      </c>
      <c r="AV488" s="3"/>
      <c r="AW488" s="77"/>
      <c r="AY488" s="34">
        <v>12</v>
      </c>
      <c r="AZ488" s="3"/>
      <c r="BA488" s="77"/>
      <c r="BC488" s="34">
        <v>12</v>
      </c>
      <c r="BD488" s="3"/>
      <c r="BE488" s="77"/>
      <c r="BH488" s="5"/>
      <c r="BL488" s="36">
        <v>12</v>
      </c>
      <c r="BM488" s="3"/>
      <c r="BN488" s="4"/>
      <c r="BP488" s="34">
        <v>12</v>
      </c>
      <c r="BQ488" s="3"/>
      <c r="BR488" s="4"/>
      <c r="BV488" s="36">
        <v>12</v>
      </c>
      <c r="BW488" s="3"/>
      <c r="BX488" s="77"/>
      <c r="BZ488" s="36">
        <v>12</v>
      </c>
      <c r="CA488" s="9"/>
      <c r="CB488" s="77"/>
      <c r="CL488" s="10"/>
      <c r="CM488" s="8"/>
      <c r="CN488" s="1"/>
    </row>
    <row r="489" spans="2:92">
      <c r="B489" s="34">
        <v>13</v>
      </c>
      <c r="C489" s="3"/>
      <c r="D489" s="77"/>
      <c r="F489" s="34">
        <v>13</v>
      </c>
      <c r="G489" s="252"/>
      <c r="H489" s="253"/>
      <c r="J489" s="34">
        <v>13</v>
      </c>
      <c r="K489" s="252"/>
      <c r="L489" s="253"/>
      <c r="P489" s="34">
        <v>13</v>
      </c>
      <c r="Q489" s="3"/>
      <c r="R489" s="77"/>
      <c r="T489" s="34">
        <v>13</v>
      </c>
      <c r="U489" s="3"/>
      <c r="V489" s="77"/>
      <c r="X489" s="34">
        <v>13</v>
      </c>
      <c r="Y489" s="3"/>
      <c r="Z489" s="77"/>
      <c r="AC489" s="5"/>
      <c r="AG489" s="34">
        <v>13</v>
      </c>
      <c r="AH489" s="3"/>
      <c r="AI489" s="77"/>
      <c r="AK489" s="34">
        <v>13</v>
      </c>
      <c r="AL489" s="3"/>
      <c r="AM489" s="77"/>
      <c r="AO489" s="34">
        <v>13</v>
      </c>
      <c r="AP489" s="3"/>
      <c r="AQ489" s="77"/>
      <c r="AU489" s="34">
        <v>13</v>
      </c>
      <c r="AV489" s="3"/>
      <c r="AW489" s="77"/>
      <c r="AY489" s="34">
        <v>13</v>
      </c>
      <c r="AZ489" s="3"/>
      <c r="BA489" s="77"/>
      <c r="BC489" s="34">
        <v>13</v>
      </c>
      <c r="BD489" s="3"/>
      <c r="BE489" s="77"/>
      <c r="BH489" s="5"/>
      <c r="BL489" s="36">
        <v>13</v>
      </c>
      <c r="BM489" s="3"/>
      <c r="BN489" s="4"/>
      <c r="BP489" s="34">
        <v>13</v>
      </c>
      <c r="BQ489" s="3"/>
      <c r="BR489" s="4"/>
      <c r="BV489" s="36">
        <v>13</v>
      </c>
      <c r="BW489" s="3"/>
      <c r="BX489" s="77"/>
      <c r="BZ489" s="36">
        <v>13</v>
      </c>
      <c r="CA489" s="9"/>
      <c r="CB489" s="77"/>
      <c r="CL489" s="10"/>
      <c r="CM489" s="8"/>
      <c r="CN489" s="1"/>
    </row>
    <row r="490" spans="2:92">
      <c r="B490" s="34">
        <v>14</v>
      </c>
      <c r="C490" s="3"/>
      <c r="D490" s="77"/>
      <c r="F490" s="34">
        <v>14</v>
      </c>
      <c r="G490" s="252"/>
      <c r="H490" s="253"/>
      <c r="J490" s="34">
        <v>14</v>
      </c>
      <c r="K490" s="252"/>
      <c r="L490" s="253"/>
      <c r="P490" s="34">
        <v>14</v>
      </c>
      <c r="Q490" s="3"/>
      <c r="R490" s="77"/>
      <c r="T490" s="34">
        <v>14</v>
      </c>
      <c r="U490" s="3"/>
      <c r="V490" s="77"/>
      <c r="X490" s="34">
        <v>14</v>
      </c>
      <c r="Y490" s="3"/>
      <c r="Z490" s="77"/>
      <c r="AC490" s="5"/>
      <c r="AG490" s="34">
        <v>14</v>
      </c>
      <c r="AH490" s="3"/>
      <c r="AI490" s="77"/>
      <c r="AK490" s="34">
        <v>14</v>
      </c>
      <c r="AL490" s="3"/>
      <c r="AM490" s="77"/>
      <c r="AO490" s="34">
        <v>14</v>
      </c>
      <c r="AP490" s="3"/>
      <c r="AQ490" s="77"/>
      <c r="AU490" s="34">
        <v>14</v>
      </c>
      <c r="AV490" s="3"/>
      <c r="AW490" s="77"/>
      <c r="AY490" s="34">
        <v>14</v>
      </c>
      <c r="AZ490" s="3"/>
      <c r="BA490" s="77"/>
      <c r="BC490" s="34">
        <v>14</v>
      </c>
      <c r="BD490" s="3"/>
      <c r="BE490" s="77"/>
      <c r="BH490" s="5"/>
      <c r="BL490" s="36">
        <v>14</v>
      </c>
      <c r="BM490" s="3"/>
      <c r="BN490" s="4"/>
      <c r="BP490" s="34">
        <v>14</v>
      </c>
      <c r="BQ490" s="3"/>
      <c r="BR490" s="4"/>
      <c r="BV490" s="36">
        <v>14</v>
      </c>
      <c r="BW490" s="3"/>
      <c r="BX490" s="4"/>
      <c r="BZ490" s="36">
        <v>14</v>
      </c>
      <c r="CA490" s="9"/>
      <c r="CB490" s="77"/>
      <c r="CL490" s="10"/>
      <c r="CM490" s="8"/>
      <c r="CN490" s="1"/>
    </row>
    <row r="491" spans="2:92">
      <c r="B491" s="34">
        <v>15</v>
      </c>
      <c r="C491" s="3"/>
      <c r="D491" s="77"/>
      <c r="F491" s="34">
        <v>15</v>
      </c>
      <c r="G491" s="252"/>
      <c r="H491" s="253"/>
      <c r="J491" s="34">
        <v>15</v>
      </c>
      <c r="K491" s="252"/>
      <c r="L491" s="253"/>
      <c r="P491" s="34">
        <v>15</v>
      </c>
      <c r="Q491" s="3"/>
      <c r="R491" s="77"/>
      <c r="T491" s="34">
        <v>15</v>
      </c>
      <c r="U491" s="3"/>
      <c r="V491" s="77"/>
      <c r="X491" s="34">
        <v>15</v>
      </c>
      <c r="Y491" s="3"/>
      <c r="Z491" s="77"/>
      <c r="AC491" s="5"/>
      <c r="AG491" s="34">
        <v>15</v>
      </c>
      <c r="AH491" s="3"/>
      <c r="AI491" s="77"/>
      <c r="AK491" s="34">
        <v>15</v>
      </c>
      <c r="AL491" s="3"/>
      <c r="AM491" s="77"/>
      <c r="AO491" s="34">
        <v>15</v>
      </c>
      <c r="AP491" s="3"/>
      <c r="AQ491" s="77"/>
      <c r="AU491" s="34">
        <v>15</v>
      </c>
      <c r="AV491" s="3"/>
      <c r="AW491" s="77"/>
      <c r="AY491" s="34">
        <v>15</v>
      </c>
      <c r="AZ491" s="3"/>
      <c r="BA491" s="77"/>
      <c r="BC491" s="34">
        <v>15</v>
      </c>
      <c r="BD491" s="3"/>
      <c r="BE491" s="77"/>
      <c r="BH491" s="5"/>
      <c r="BL491" s="36">
        <v>15</v>
      </c>
      <c r="BM491" s="3"/>
      <c r="BN491" s="4"/>
      <c r="BP491" s="34">
        <v>15</v>
      </c>
      <c r="BQ491" s="3"/>
      <c r="BR491" s="4"/>
      <c r="BV491" s="36">
        <v>15</v>
      </c>
      <c r="BW491" s="3"/>
      <c r="BX491" s="4"/>
      <c r="BZ491" s="36">
        <v>15</v>
      </c>
      <c r="CA491" s="9"/>
      <c r="CB491" s="77"/>
      <c r="CL491" s="10"/>
      <c r="CM491" s="8"/>
      <c r="CN491" s="1"/>
    </row>
    <row r="492" spans="2:92">
      <c r="B492" s="34">
        <v>16</v>
      </c>
      <c r="C492" s="3"/>
      <c r="D492" s="77"/>
      <c r="F492" s="34">
        <v>16</v>
      </c>
      <c r="G492" s="252"/>
      <c r="H492" s="253"/>
      <c r="J492" s="34">
        <v>16</v>
      </c>
      <c r="K492" s="252"/>
      <c r="L492" s="253"/>
      <c r="P492" s="34">
        <v>16</v>
      </c>
      <c r="Q492" s="3"/>
      <c r="R492" s="77"/>
      <c r="T492" s="34">
        <v>16</v>
      </c>
      <c r="U492" s="3"/>
      <c r="V492" s="77"/>
      <c r="X492" s="34">
        <v>16</v>
      </c>
      <c r="Y492" s="3"/>
      <c r="Z492" s="77"/>
      <c r="AC492" s="5"/>
      <c r="AG492" s="34">
        <v>16</v>
      </c>
      <c r="AH492" s="3"/>
      <c r="AI492" s="77"/>
      <c r="AK492" s="34">
        <v>16</v>
      </c>
      <c r="AL492" s="3"/>
      <c r="AM492" s="77"/>
      <c r="AO492" s="34">
        <v>16</v>
      </c>
      <c r="AP492" s="3"/>
      <c r="AQ492" s="77"/>
      <c r="AU492" s="34">
        <v>16</v>
      </c>
      <c r="AV492" s="3"/>
      <c r="AW492" s="77"/>
      <c r="AY492" s="34">
        <v>16</v>
      </c>
      <c r="AZ492" s="3"/>
      <c r="BA492" s="77"/>
      <c r="BC492" s="34">
        <v>16</v>
      </c>
      <c r="BD492" s="3"/>
      <c r="BE492" s="77"/>
      <c r="BH492" s="5"/>
      <c r="BL492" s="36">
        <v>16</v>
      </c>
      <c r="BM492" s="3"/>
      <c r="BN492" s="4"/>
      <c r="BP492" s="34">
        <v>16</v>
      </c>
      <c r="BQ492" s="3"/>
      <c r="BR492" s="4"/>
      <c r="BV492" s="36">
        <v>16</v>
      </c>
      <c r="BW492" s="3"/>
      <c r="BX492" s="4"/>
      <c r="BZ492" s="36">
        <v>16</v>
      </c>
      <c r="CA492" s="9"/>
      <c r="CB492" s="77"/>
      <c r="CL492" s="10"/>
      <c r="CM492" s="8"/>
      <c r="CN492" s="1"/>
    </row>
    <row r="493" spans="2:92">
      <c r="B493" s="34">
        <v>17</v>
      </c>
      <c r="C493" s="3"/>
      <c r="D493" s="77"/>
      <c r="F493" s="34">
        <v>17</v>
      </c>
      <c r="G493" s="3"/>
      <c r="H493" s="77"/>
      <c r="J493" s="34">
        <v>17</v>
      </c>
      <c r="K493" s="252"/>
      <c r="L493" s="253"/>
      <c r="P493" s="34">
        <v>17</v>
      </c>
      <c r="Q493" s="3"/>
      <c r="R493" s="77"/>
      <c r="T493" s="34">
        <v>17</v>
      </c>
      <c r="U493" s="3"/>
      <c r="V493" s="77"/>
      <c r="X493" s="34">
        <v>17</v>
      </c>
      <c r="Y493" s="3"/>
      <c r="Z493" s="77"/>
      <c r="AC493" s="5"/>
      <c r="AG493" s="34">
        <v>17</v>
      </c>
      <c r="AH493" s="3"/>
      <c r="AI493" s="77"/>
      <c r="AK493" s="34">
        <v>17</v>
      </c>
      <c r="AL493" s="3"/>
      <c r="AM493" s="77"/>
      <c r="AO493" s="34">
        <v>17</v>
      </c>
      <c r="AP493" s="3"/>
      <c r="AQ493" s="77"/>
      <c r="AU493" s="34">
        <v>17</v>
      </c>
      <c r="AV493" s="3"/>
      <c r="AW493" s="77"/>
      <c r="AY493" s="34">
        <v>17</v>
      </c>
      <c r="AZ493" s="3"/>
      <c r="BA493" s="77"/>
      <c r="BC493" s="34">
        <v>17</v>
      </c>
      <c r="BD493" s="3"/>
      <c r="BE493" s="77"/>
      <c r="BH493" s="5"/>
      <c r="BL493" s="36">
        <v>17</v>
      </c>
      <c r="BM493" s="3"/>
      <c r="BN493" s="4"/>
      <c r="BP493" s="34">
        <v>17</v>
      </c>
      <c r="BQ493" s="3"/>
      <c r="BR493" s="4"/>
      <c r="BV493" s="36">
        <v>17</v>
      </c>
      <c r="BW493" s="3"/>
      <c r="BX493" s="4"/>
      <c r="BZ493" s="36">
        <v>17</v>
      </c>
      <c r="CA493" s="9"/>
      <c r="CB493" s="77"/>
      <c r="CL493" s="10"/>
      <c r="CM493" s="8"/>
      <c r="CN493" s="1"/>
    </row>
    <row r="494" spans="2:92">
      <c r="B494" s="34">
        <v>18</v>
      </c>
      <c r="C494" s="3"/>
      <c r="D494" s="77"/>
      <c r="F494" s="34">
        <v>18</v>
      </c>
      <c r="G494" s="3"/>
      <c r="H494" s="77"/>
      <c r="J494" s="34">
        <v>18</v>
      </c>
      <c r="K494" s="252"/>
      <c r="L494" s="253"/>
      <c r="P494" s="34">
        <v>18</v>
      </c>
      <c r="Q494" s="3"/>
      <c r="R494" s="77"/>
      <c r="T494" s="34">
        <v>18</v>
      </c>
      <c r="U494" s="3"/>
      <c r="V494" s="77"/>
      <c r="X494" s="34">
        <v>18</v>
      </c>
      <c r="Y494" s="3"/>
      <c r="Z494" s="77"/>
      <c r="AC494" s="5"/>
      <c r="AG494" s="34">
        <v>18</v>
      </c>
      <c r="AH494" s="3"/>
      <c r="AI494" s="77"/>
      <c r="AK494" s="34">
        <v>18</v>
      </c>
      <c r="AL494" s="3"/>
      <c r="AM494" s="77"/>
      <c r="AO494" s="34">
        <v>18</v>
      </c>
      <c r="AP494" s="3"/>
      <c r="AQ494" s="77"/>
      <c r="AU494" s="34">
        <v>18</v>
      </c>
      <c r="AV494" s="3"/>
      <c r="AW494" s="77"/>
      <c r="AY494" s="34">
        <v>18</v>
      </c>
      <c r="AZ494" s="3"/>
      <c r="BA494" s="77"/>
      <c r="BC494" s="34">
        <v>18</v>
      </c>
      <c r="BD494" s="3"/>
      <c r="BE494" s="77"/>
      <c r="BH494" s="5"/>
      <c r="BL494" s="36">
        <v>18</v>
      </c>
      <c r="BM494" s="3"/>
      <c r="BN494" s="4"/>
      <c r="BP494" s="34">
        <v>18</v>
      </c>
      <c r="BQ494" s="3"/>
      <c r="BR494" s="4"/>
      <c r="BV494" s="36">
        <v>18</v>
      </c>
      <c r="BW494" s="3"/>
      <c r="BX494" s="4"/>
      <c r="BZ494" s="36">
        <v>18</v>
      </c>
      <c r="CA494" s="9"/>
      <c r="CB494" s="77"/>
      <c r="CL494" s="10"/>
      <c r="CM494" s="8"/>
      <c r="CN494" s="1"/>
    </row>
    <row r="495" spans="2:92">
      <c r="B495" s="34">
        <v>19</v>
      </c>
      <c r="C495" s="3"/>
      <c r="D495" s="77"/>
      <c r="F495" s="34">
        <v>19</v>
      </c>
      <c r="G495" s="3"/>
      <c r="H495" s="77"/>
      <c r="J495" s="34">
        <v>19</v>
      </c>
      <c r="K495" s="252"/>
      <c r="L495" s="253"/>
      <c r="P495" s="34">
        <v>19</v>
      </c>
      <c r="Q495" s="3"/>
      <c r="R495" s="77"/>
      <c r="T495" s="34">
        <v>19</v>
      </c>
      <c r="U495" s="3"/>
      <c r="V495" s="77"/>
      <c r="X495" s="34">
        <v>19</v>
      </c>
      <c r="Y495" s="3"/>
      <c r="Z495" s="77"/>
      <c r="AC495" s="5"/>
      <c r="AG495" s="34">
        <v>19</v>
      </c>
      <c r="AH495" s="3"/>
      <c r="AI495" s="77"/>
      <c r="AK495" s="34">
        <v>19</v>
      </c>
      <c r="AL495" s="3"/>
      <c r="AM495" s="77"/>
      <c r="AO495" s="34">
        <v>19</v>
      </c>
      <c r="AP495" s="3"/>
      <c r="AQ495" s="77"/>
      <c r="AU495" s="34">
        <v>19</v>
      </c>
      <c r="AV495" s="3"/>
      <c r="AW495" s="77"/>
      <c r="AY495" s="34">
        <v>19</v>
      </c>
      <c r="AZ495" s="3"/>
      <c r="BA495" s="77"/>
      <c r="BC495" s="34">
        <v>19</v>
      </c>
      <c r="BD495" s="3"/>
      <c r="BE495" s="77"/>
      <c r="BH495" s="5"/>
      <c r="BL495" s="36">
        <v>19</v>
      </c>
      <c r="BM495" s="3"/>
      <c r="BN495" s="4"/>
      <c r="BP495" s="34">
        <v>19</v>
      </c>
      <c r="BQ495" s="3"/>
      <c r="BR495" s="4"/>
      <c r="BV495" s="36">
        <v>19</v>
      </c>
      <c r="BW495" s="3"/>
      <c r="BX495" s="4"/>
      <c r="BZ495" s="36">
        <v>19</v>
      </c>
      <c r="CA495" s="9"/>
      <c r="CB495" s="4"/>
      <c r="CL495" s="10"/>
      <c r="CM495" s="8"/>
      <c r="CN495" s="1"/>
    </row>
    <row r="496" spans="2:92">
      <c r="B496" s="34">
        <v>20</v>
      </c>
      <c r="C496" s="3"/>
      <c r="D496" s="77"/>
      <c r="F496" s="34">
        <v>20</v>
      </c>
      <c r="G496" s="3"/>
      <c r="H496" s="77"/>
      <c r="J496" s="34">
        <v>20</v>
      </c>
      <c r="K496" s="252"/>
      <c r="L496" s="253"/>
      <c r="P496" s="34">
        <v>20</v>
      </c>
      <c r="Q496" s="3"/>
      <c r="R496" s="77"/>
      <c r="T496" s="34">
        <v>20</v>
      </c>
      <c r="U496" s="3"/>
      <c r="V496" s="77"/>
      <c r="X496" s="34">
        <v>20</v>
      </c>
      <c r="Y496" s="3"/>
      <c r="Z496" s="77"/>
      <c r="AC496" s="5"/>
      <c r="AG496" s="34">
        <v>20</v>
      </c>
      <c r="AH496" s="3"/>
      <c r="AI496" s="77"/>
      <c r="AK496" s="34">
        <v>20</v>
      </c>
      <c r="AL496" s="3"/>
      <c r="AM496" s="77"/>
      <c r="AO496" s="34">
        <v>20</v>
      </c>
      <c r="AP496" s="3"/>
      <c r="AQ496" s="77"/>
      <c r="AU496" s="34">
        <v>20</v>
      </c>
      <c r="AV496" s="3"/>
      <c r="AW496" s="77"/>
      <c r="AY496" s="34">
        <v>20</v>
      </c>
      <c r="AZ496" s="3"/>
      <c r="BA496" s="77"/>
      <c r="BC496" s="34">
        <v>20</v>
      </c>
      <c r="BD496" s="3"/>
      <c r="BE496" s="77"/>
      <c r="BH496" s="5"/>
      <c r="BL496" s="36">
        <v>20</v>
      </c>
      <c r="BM496" s="3"/>
      <c r="BN496" s="4"/>
      <c r="BP496" s="34">
        <v>20</v>
      </c>
      <c r="BQ496" s="3"/>
      <c r="BR496" s="4"/>
      <c r="BV496" s="36">
        <v>20</v>
      </c>
      <c r="BW496" s="3"/>
      <c r="BX496" s="4"/>
      <c r="BZ496" s="36">
        <v>20</v>
      </c>
      <c r="CA496" s="9"/>
      <c r="CB496" s="77"/>
      <c r="CL496" s="10"/>
      <c r="CM496" s="8"/>
      <c r="CN496" s="1"/>
    </row>
    <row r="497" spans="2:92">
      <c r="B497" s="34">
        <v>21</v>
      </c>
      <c r="C497" s="3"/>
      <c r="D497" s="77"/>
      <c r="F497" s="34">
        <v>21</v>
      </c>
      <c r="G497" s="3"/>
      <c r="H497" s="77"/>
      <c r="J497" s="34">
        <v>21</v>
      </c>
      <c r="K497" s="3"/>
      <c r="L497" s="77"/>
      <c r="P497" s="34">
        <v>21</v>
      </c>
      <c r="Q497" s="3"/>
      <c r="R497" s="77"/>
      <c r="T497" s="34">
        <v>21</v>
      </c>
      <c r="U497" s="3"/>
      <c r="V497" s="77"/>
      <c r="X497" s="34">
        <v>21</v>
      </c>
      <c r="Y497" s="3"/>
      <c r="Z497" s="77"/>
      <c r="AC497" s="5"/>
      <c r="AG497" s="34">
        <v>21</v>
      </c>
      <c r="AH497" s="3"/>
      <c r="AI497" s="77"/>
      <c r="AK497" s="34">
        <v>21</v>
      </c>
      <c r="AL497" s="3"/>
      <c r="AM497" s="77"/>
      <c r="AO497" s="34">
        <v>21</v>
      </c>
      <c r="AP497" s="3"/>
      <c r="AQ497" s="77"/>
      <c r="AU497" s="34">
        <v>21</v>
      </c>
      <c r="AV497" s="3"/>
      <c r="AW497" s="77"/>
      <c r="AY497" s="34">
        <v>21</v>
      </c>
      <c r="AZ497" s="3"/>
      <c r="BA497" s="77"/>
      <c r="BC497" s="34">
        <v>21</v>
      </c>
      <c r="BD497" s="3"/>
      <c r="BE497" s="77"/>
      <c r="BH497" s="5"/>
      <c r="BL497" s="36">
        <v>21</v>
      </c>
      <c r="BM497" s="3"/>
      <c r="BN497" s="4"/>
      <c r="BP497" s="34">
        <v>21</v>
      </c>
      <c r="BQ497" s="3"/>
      <c r="BR497" s="4"/>
      <c r="BV497" s="36">
        <v>21</v>
      </c>
      <c r="BW497" s="3"/>
      <c r="BX497" s="4"/>
      <c r="BZ497" s="36">
        <v>21</v>
      </c>
      <c r="CA497" s="9"/>
      <c r="CB497" s="4"/>
      <c r="CL497" s="10"/>
      <c r="CM497" s="8"/>
      <c r="CN497" s="1"/>
    </row>
    <row r="498" spans="2:92">
      <c r="B498" s="34">
        <v>22</v>
      </c>
      <c r="C498" s="3"/>
      <c r="D498" s="77"/>
      <c r="F498" s="34">
        <v>22</v>
      </c>
      <c r="G498" s="3"/>
      <c r="H498" s="77"/>
      <c r="J498" s="34">
        <v>22</v>
      </c>
      <c r="K498" s="3"/>
      <c r="L498" s="77"/>
      <c r="P498" s="34">
        <v>22</v>
      </c>
      <c r="Q498" s="3"/>
      <c r="R498" s="77"/>
      <c r="T498" s="34">
        <v>22</v>
      </c>
      <c r="U498" s="3"/>
      <c r="V498" s="77"/>
      <c r="X498" s="34">
        <v>22</v>
      </c>
      <c r="Y498" s="3"/>
      <c r="Z498" s="77"/>
      <c r="AC498" s="5"/>
      <c r="AG498" s="34">
        <v>22</v>
      </c>
      <c r="AH498" s="3"/>
      <c r="AI498" s="77"/>
      <c r="AK498" s="34">
        <v>22</v>
      </c>
      <c r="AL498" s="3"/>
      <c r="AM498" s="77"/>
      <c r="AO498" s="34">
        <v>22</v>
      </c>
      <c r="AP498" s="3"/>
      <c r="AQ498" s="77"/>
      <c r="AU498" s="34">
        <v>22</v>
      </c>
      <c r="AV498" s="3"/>
      <c r="AW498" s="77"/>
      <c r="AY498" s="34">
        <v>22</v>
      </c>
      <c r="AZ498" s="3"/>
      <c r="BA498" s="77"/>
      <c r="BC498" s="34">
        <v>22</v>
      </c>
      <c r="BD498" s="3"/>
      <c r="BE498" s="77"/>
      <c r="BH498" s="5"/>
      <c r="BL498" s="36">
        <v>22</v>
      </c>
      <c r="BM498" s="3"/>
      <c r="BN498" s="4"/>
      <c r="BP498" s="34">
        <v>22</v>
      </c>
      <c r="BQ498" s="3"/>
      <c r="BR498" s="4"/>
      <c r="BV498" s="36">
        <v>22</v>
      </c>
      <c r="BW498" s="3"/>
      <c r="BX498" s="4"/>
      <c r="BZ498" s="36">
        <v>22</v>
      </c>
      <c r="CA498" s="9"/>
      <c r="CB498" s="4"/>
      <c r="CL498" s="10"/>
      <c r="CM498" s="8"/>
      <c r="CN498" s="1"/>
    </row>
    <row r="499" spans="2:92">
      <c r="B499" s="34">
        <v>23</v>
      </c>
      <c r="C499" s="3"/>
      <c r="D499" s="77"/>
      <c r="F499" s="34">
        <v>23</v>
      </c>
      <c r="G499" s="3"/>
      <c r="H499" s="77"/>
      <c r="J499" s="34">
        <v>23</v>
      </c>
      <c r="K499" s="3"/>
      <c r="L499" s="77"/>
      <c r="P499" s="34">
        <v>23</v>
      </c>
      <c r="Q499" s="3"/>
      <c r="R499" s="77"/>
      <c r="T499" s="34">
        <v>23</v>
      </c>
      <c r="U499" s="3"/>
      <c r="V499" s="77"/>
      <c r="X499" s="34">
        <v>23</v>
      </c>
      <c r="Y499" s="3"/>
      <c r="Z499" s="77"/>
      <c r="AC499" s="5"/>
      <c r="AG499" s="34">
        <v>23</v>
      </c>
      <c r="AH499" s="3"/>
      <c r="AI499" s="77"/>
      <c r="AK499" s="34">
        <v>23</v>
      </c>
      <c r="AL499" s="3"/>
      <c r="AM499" s="77"/>
      <c r="AO499" s="34">
        <v>23</v>
      </c>
      <c r="AP499" s="3"/>
      <c r="AQ499" s="77"/>
      <c r="AU499" s="34">
        <v>23</v>
      </c>
      <c r="AV499" s="3"/>
      <c r="AW499" s="77"/>
      <c r="AY499" s="34">
        <v>23</v>
      </c>
      <c r="AZ499" s="3"/>
      <c r="BA499" s="77"/>
      <c r="BC499" s="34">
        <v>23</v>
      </c>
      <c r="BD499" s="3"/>
      <c r="BE499" s="77"/>
      <c r="BH499" s="5"/>
      <c r="BL499" s="36">
        <v>23</v>
      </c>
      <c r="BM499" s="3"/>
      <c r="BN499" s="4"/>
      <c r="BP499" s="34">
        <v>23</v>
      </c>
      <c r="BQ499" s="3"/>
      <c r="BR499" s="4"/>
      <c r="BV499" s="36">
        <v>23</v>
      </c>
      <c r="BW499" s="3"/>
      <c r="BX499" s="4"/>
      <c r="BZ499" s="36">
        <v>23</v>
      </c>
      <c r="CA499" s="9"/>
      <c r="CB499" s="4"/>
      <c r="CL499" s="10"/>
      <c r="CM499" s="8"/>
      <c r="CN499" s="1"/>
    </row>
    <row r="500" spans="2:92">
      <c r="AC500" s="5"/>
      <c r="AU500"/>
      <c r="BC500"/>
      <c r="BH500" s="5"/>
      <c r="BL500" s="10"/>
      <c r="BM500" s="22"/>
      <c r="BQ500" s="22"/>
    </row>
    <row r="501" spans="2:92">
      <c r="AC501" s="5"/>
      <c r="BH501" s="5"/>
      <c r="BL501" s="10"/>
      <c r="BM501" s="22"/>
      <c r="BQ501" s="22"/>
    </row>
    <row r="502" spans="2:92">
      <c r="AC502" s="5"/>
      <c r="AX502" s="1"/>
      <c r="BH502" s="5"/>
      <c r="BL502" s="10"/>
      <c r="BM502" s="22"/>
      <c r="BQ502" s="22"/>
    </row>
    <row r="503" spans="2:92" s="1" customFormat="1" ht="20.25" customHeight="1">
      <c r="B503" s="54"/>
      <c r="C503" s="55">
        <f>'NRB 공장 내부 배치도'!C26</f>
        <v>0</v>
      </c>
      <c r="D503" s="199"/>
      <c r="F503" s="54"/>
      <c r="G503" s="55">
        <f>'NRB 공장 내부 배치도'!D26</f>
        <v>0</v>
      </c>
      <c r="H503" s="199"/>
      <c r="J503" s="54"/>
      <c r="K503" s="55">
        <f>'NRB 공장 내부 배치도'!E26</f>
        <v>0</v>
      </c>
      <c r="L503" s="199"/>
      <c r="P503" s="54"/>
      <c r="Q503" s="55">
        <f>'NRB 공장 내부 배치도'!G26</f>
        <v>0</v>
      </c>
      <c r="R503" s="199"/>
      <c r="T503" s="54"/>
      <c r="U503" s="55">
        <f>'NRB 공장 내부 배치도'!H26</f>
        <v>0</v>
      </c>
      <c r="V503" s="199"/>
      <c r="X503" s="54"/>
      <c r="Y503" s="55">
        <f>'NRB 공장 내부 배치도'!I26</f>
        <v>0</v>
      </c>
      <c r="Z503" s="199"/>
      <c r="AC503" s="71"/>
      <c r="AG503" s="54"/>
      <c r="AH503" s="55">
        <f>'NRB 공장 내부 배치도'!L26</f>
        <v>0</v>
      </c>
      <c r="AI503" s="199"/>
      <c r="AK503" s="54"/>
      <c r="AL503" s="55">
        <f>'NRB 공장 내부 배치도'!M26</f>
        <v>0</v>
      </c>
      <c r="AM503" s="199"/>
      <c r="AO503" s="54"/>
      <c r="AP503" s="55">
        <f>'NRB 공장 내부 배치도'!N26</f>
        <v>0</v>
      </c>
      <c r="AQ503" s="199"/>
      <c r="AU503" s="54"/>
      <c r="AV503" s="55">
        <f>'NRB 공장 내부 배치도'!P26</f>
        <v>0</v>
      </c>
      <c r="AW503" s="199"/>
      <c r="AY503" s="54"/>
      <c r="AZ503" s="55">
        <f>'NRB 공장 내부 배치도'!Q26</f>
        <v>0</v>
      </c>
      <c r="BA503" s="199"/>
      <c r="BC503" s="54"/>
      <c r="BD503" s="55">
        <f>'NRB 공장 내부 배치도'!R26</f>
        <v>0</v>
      </c>
      <c r="BE503" s="199"/>
      <c r="BF503" s="204"/>
      <c r="BH503" s="71"/>
      <c r="BL503" s="54"/>
      <c r="BM503" s="55">
        <f>'NRB 공장 내부 배치도'!U26</f>
        <v>0</v>
      </c>
      <c r="BN503" s="56"/>
      <c r="BP503" s="54"/>
      <c r="BQ503" s="55">
        <f>'NRB 공장 내부 배치도'!V26</f>
        <v>0</v>
      </c>
      <c r="BR503" s="56"/>
      <c r="BV503" s="54"/>
      <c r="BW503" s="55">
        <f>'NRB 공장 내부 배치도'!X26</f>
        <v>0</v>
      </c>
      <c r="BX503" s="56"/>
      <c r="BZ503" s="54"/>
      <c r="CA503" s="55">
        <f>'NRB 공장 내부 배치도'!Y26</f>
        <v>0</v>
      </c>
      <c r="CB503" s="56"/>
      <c r="CF503" s="71"/>
      <c r="CG503" s="71"/>
      <c r="CH503" s="71"/>
      <c r="CL503" s="21"/>
      <c r="CM503" s="21"/>
      <c r="CN503" s="21"/>
    </row>
    <row r="504" spans="2:92">
      <c r="B504" s="34">
        <v>1</v>
      </c>
      <c r="C504" s="3"/>
      <c r="D504" s="77"/>
      <c r="F504" s="34">
        <v>1</v>
      </c>
      <c r="G504" s="3"/>
      <c r="H504" s="77"/>
      <c r="J504" s="34">
        <v>1</v>
      </c>
      <c r="K504" s="3"/>
      <c r="L504" s="77"/>
      <c r="P504" s="34">
        <v>1</v>
      </c>
      <c r="Q504" s="3"/>
      <c r="R504" s="77"/>
      <c r="T504" s="34">
        <v>1</v>
      </c>
      <c r="U504" s="3"/>
      <c r="V504" s="77"/>
      <c r="X504" s="34">
        <v>1</v>
      </c>
      <c r="Y504" s="3"/>
      <c r="Z504" s="77"/>
      <c r="AC504" s="5"/>
      <c r="AG504" s="34">
        <v>1</v>
      </c>
      <c r="AH504" s="3"/>
      <c r="AI504" s="77"/>
      <c r="AK504" s="34">
        <v>1</v>
      </c>
      <c r="AL504" s="3"/>
      <c r="AM504" s="77"/>
      <c r="AO504" s="34">
        <v>1</v>
      </c>
      <c r="AP504" s="3"/>
      <c r="AQ504" s="77"/>
      <c r="AU504" s="34">
        <v>1</v>
      </c>
      <c r="AV504" s="3"/>
      <c r="AW504" s="77"/>
      <c r="AY504" s="34">
        <v>1</v>
      </c>
      <c r="AZ504" s="3"/>
      <c r="BA504" s="205"/>
      <c r="BC504" s="34">
        <v>1</v>
      </c>
      <c r="BD504" s="3"/>
      <c r="BE504" s="77"/>
      <c r="BH504" s="5"/>
      <c r="BL504" s="36">
        <v>1</v>
      </c>
      <c r="BM504" s="3"/>
      <c r="BN504" s="77"/>
      <c r="BP504" s="34">
        <v>1</v>
      </c>
      <c r="BQ504" s="3"/>
      <c r="BR504" s="4"/>
      <c r="BV504" s="36">
        <v>1</v>
      </c>
      <c r="BW504" s="3"/>
      <c r="BX504" s="77"/>
      <c r="BZ504" s="36">
        <v>1</v>
      </c>
      <c r="CA504" s="3"/>
      <c r="CB504" s="77"/>
      <c r="CL504" s="10"/>
      <c r="CM504" s="8"/>
      <c r="CN504" s="1"/>
    </row>
    <row r="505" spans="2:92">
      <c r="B505" s="34">
        <v>2</v>
      </c>
      <c r="C505" s="3"/>
      <c r="D505" s="77"/>
      <c r="F505" s="34">
        <v>2</v>
      </c>
      <c r="G505" s="3"/>
      <c r="H505" s="77"/>
      <c r="J505" s="34">
        <v>2</v>
      </c>
      <c r="K505" s="3"/>
      <c r="L505" s="77"/>
      <c r="P505" s="34">
        <v>2</v>
      </c>
      <c r="Q505" s="3"/>
      <c r="R505" s="77"/>
      <c r="T505" s="34">
        <v>2</v>
      </c>
      <c r="U505" s="3"/>
      <c r="V505" s="77"/>
      <c r="X505" s="34">
        <v>2</v>
      </c>
      <c r="Y505" s="3"/>
      <c r="Z505" s="77"/>
      <c r="AC505" s="5"/>
      <c r="AG505" s="34">
        <v>2</v>
      </c>
      <c r="AH505" s="3"/>
      <c r="AI505" s="77"/>
      <c r="AK505" s="34">
        <v>2</v>
      </c>
      <c r="AL505" s="3"/>
      <c r="AM505" s="77"/>
      <c r="AO505" s="34">
        <v>2</v>
      </c>
      <c r="AP505" s="3"/>
      <c r="AQ505" s="77"/>
      <c r="AU505" s="34">
        <v>2</v>
      </c>
      <c r="AV505" s="3"/>
      <c r="AW505" s="77"/>
      <c r="AY505" s="34">
        <v>2</v>
      </c>
      <c r="AZ505" s="3"/>
      <c r="BA505" s="77"/>
      <c r="BC505" s="34">
        <v>2</v>
      </c>
      <c r="BD505" s="3"/>
      <c r="BE505" s="77"/>
      <c r="BH505" s="5"/>
      <c r="BL505" s="36">
        <v>2</v>
      </c>
      <c r="BM505" s="3"/>
      <c r="BN505" s="77"/>
      <c r="BP505" s="34">
        <v>2</v>
      </c>
      <c r="BQ505" s="3"/>
      <c r="BR505" s="4"/>
      <c r="BV505" s="36">
        <v>2</v>
      </c>
      <c r="BW505" s="3"/>
      <c r="BX505" s="77"/>
      <c r="BZ505" s="36">
        <v>2</v>
      </c>
      <c r="CA505" s="3"/>
      <c r="CB505" s="77"/>
      <c r="CL505" s="10"/>
      <c r="CM505" s="8"/>
      <c r="CN505" s="1"/>
    </row>
    <row r="506" spans="2:92">
      <c r="B506" s="34">
        <v>3</v>
      </c>
      <c r="C506" s="3"/>
      <c r="D506" s="77"/>
      <c r="F506" s="34">
        <v>3</v>
      </c>
      <c r="G506" s="3"/>
      <c r="H506" s="77"/>
      <c r="J506" s="34">
        <v>3</v>
      </c>
      <c r="K506" s="3"/>
      <c r="L506" s="77"/>
      <c r="P506" s="34">
        <v>3</v>
      </c>
      <c r="Q506" s="3"/>
      <c r="R506" s="77"/>
      <c r="T506" s="34">
        <v>3</v>
      </c>
      <c r="U506" s="3"/>
      <c r="V506" s="77"/>
      <c r="X506" s="34">
        <v>3</v>
      </c>
      <c r="Y506" s="3"/>
      <c r="Z506" s="77"/>
      <c r="AC506" s="5"/>
      <c r="AG506" s="34">
        <v>3</v>
      </c>
      <c r="AH506" s="3"/>
      <c r="AI506" s="77"/>
      <c r="AK506" s="34">
        <v>3</v>
      </c>
      <c r="AL506" s="3"/>
      <c r="AM506" s="77"/>
      <c r="AO506" s="34">
        <v>3</v>
      </c>
      <c r="AP506" s="3"/>
      <c r="AQ506" s="77"/>
      <c r="AU506" s="34">
        <v>3</v>
      </c>
      <c r="AV506" s="3"/>
      <c r="AW506" s="77"/>
      <c r="AY506" s="34">
        <v>3</v>
      </c>
      <c r="AZ506" s="3"/>
      <c r="BA506" s="77"/>
      <c r="BC506" s="34">
        <v>3</v>
      </c>
      <c r="BD506" s="3"/>
      <c r="BE506" s="77"/>
      <c r="BH506" s="5"/>
      <c r="BL506" s="36">
        <v>3</v>
      </c>
      <c r="BM506" s="3"/>
      <c r="BN506" s="77"/>
      <c r="BP506" s="34">
        <v>3</v>
      </c>
      <c r="BQ506" s="3"/>
      <c r="BR506" s="4"/>
      <c r="BV506" s="36">
        <v>3</v>
      </c>
      <c r="BW506" s="3"/>
      <c r="BX506" s="77"/>
      <c r="BZ506" s="36">
        <v>3</v>
      </c>
      <c r="CA506" s="3"/>
      <c r="CB506" s="77"/>
      <c r="CL506" s="10"/>
      <c r="CM506" s="8"/>
      <c r="CN506" s="1"/>
    </row>
    <row r="507" spans="2:92">
      <c r="B507" s="34">
        <v>4</v>
      </c>
      <c r="C507" s="3"/>
      <c r="D507" s="77"/>
      <c r="F507" s="34">
        <v>4</v>
      </c>
      <c r="G507" s="3"/>
      <c r="H507" s="77"/>
      <c r="J507" s="34">
        <v>4</v>
      </c>
      <c r="K507" s="3"/>
      <c r="L507" s="77"/>
      <c r="P507" s="34">
        <v>4</v>
      </c>
      <c r="Q507" s="3"/>
      <c r="R507" s="77"/>
      <c r="T507" s="34">
        <v>4</v>
      </c>
      <c r="U507" s="3"/>
      <c r="V507" s="77"/>
      <c r="X507" s="34">
        <v>4</v>
      </c>
      <c r="Y507" s="3"/>
      <c r="Z507" s="77"/>
      <c r="AC507" s="5"/>
      <c r="AG507" s="34">
        <v>4</v>
      </c>
      <c r="AH507" s="3"/>
      <c r="AI507" s="77"/>
      <c r="AK507" s="34">
        <v>4</v>
      </c>
      <c r="AL507" s="3"/>
      <c r="AM507" s="77"/>
      <c r="AO507" s="34">
        <v>4</v>
      </c>
      <c r="AP507" s="3"/>
      <c r="AQ507" s="77"/>
      <c r="AU507" s="34">
        <v>4</v>
      </c>
      <c r="AV507" s="3"/>
      <c r="AW507" s="77"/>
      <c r="AY507" s="34">
        <v>4</v>
      </c>
      <c r="AZ507" s="3"/>
      <c r="BA507" s="77"/>
      <c r="BC507" s="34">
        <v>4</v>
      </c>
      <c r="BD507" s="3"/>
      <c r="BE507" s="77"/>
      <c r="BH507" s="5"/>
      <c r="BL507" s="36">
        <v>4</v>
      </c>
      <c r="BM507" s="3"/>
      <c r="BN507" s="77"/>
      <c r="BP507" s="34">
        <v>4</v>
      </c>
      <c r="BQ507" s="3"/>
      <c r="BR507" s="4"/>
      <c r="BV507" s="36">
        <v>4</v>
      </c>
      <c r="BW507" s="3"/>
      <c r="BX507" s="77"/>
      <c r="BZ507" s="36">
        <v>4</v>
      </c>
      <c r="CA507" s="3"/>
      <c r="CB507" s="77"/>
      <c r="CL507" s="10"/>
      <c r="CM507" s="8"/>
      <c r="CN507" s="1"/>
    </row>
    <row r="508" spans="2:92">
      <c r="B508" s="34">
        <v>5</v>
      </c>
      <c r="C508" s="3"/>
      <c r="D508" s="77"/>
      <c r="F508" s="34">
        <v>5</v>
      </c>
      <c r="G508" s="3"/>
      <c r="H508" s="77"/>
      <c r="J508" s="34">
        <v>5</v>
      </c>
      <c r="K508" s="3"/>
      <c r="L508" s="77"/>
      <c r="P508" s="34">
        <v>5</v>
      </c>
      <c r="Q508" s="3"/>
      <c r="R508" s="77"/>
      <c r="T508" s="34">
        <v>5</v>
      </c>
      <c r="U508" s="3"/>
      <c r="V508" s="77"/>
      <c r="X508" s="34">
        <v>5</v>
      </c>
      <c r="Y508" s="3"/>
      <c r="Z508" s="77"/>
      <c r="AC508" s="5"/>
      <c r="AG508" s="34">
        <v>5</v>
      </c>
      <c r="AH508" s="3"/>
      <c r="AI508" s="77"/>
      <c r="AK508" s="34">
        <v>5</v>
      </c>
      <c r="AL508" s="3"/>
      <c r="AM508" s="77"/>
      <c r="AO508" s="34">
        <v>5</v>
      </c>
      <c r="AP508" s="3"/>
      <c r="AQ508" s="77"/>
      <c r="AU508" s="34">
        <v>5</v>
      </c>
      <c r="AV508" s="3"/>
      <c r="AW508" s="77"/>
      <c r="AY508" s="34">
        <v>5</v>
      </c>
      <c r="AZ508" s="3"/>
      <c r="BA508" s="77"/>
      <c r="BC508" s="34">
        <v>5</v>
      </c>
      <c r="BD508" s="3"/>
      <c r="BE508" s="77"/>
      <c r="BH508" s="5"/>
      <c r="BL508" s="36">
        <v>5</v>
      </c>
      <c r="BM508" s="3"/>
      <c r="BN508" s="77"/>
      <c r="BP508" s="34">
        <v>5</v>
      </c>
      <c r="BQ508" s="3"/>
      <c r="BR508" s="4"/>
      <c r="BV508" s="36">
        <v>5</v>
      </c>
      <c r="BW508" s="3"/>
      <c r="BX508" s="77"/>
      <c r="BZ508" s="36">
        <v>5</v>
      </c>
      <c r="CA508" s="3"/>
      <c r="CB508" s="77"/>
      <c r="CL508" s="10"/>
      <c r="CM508" s="8"/>
      <c r="CN508" s="1"/>
    </row>
    <row r="509" spans="2:92">
      <c r="B509" s="34">
        <v>6</v>
      </c>
      <c r="C509" s="3"/>
      <c r="D509" s="77"/>
      <c r="F509" s="34">
        <v>6</v>
      </c>
      <c r="G509" s="3"/>
      <c r="H509" s="77"/>
      <c r="J509" s="34">
        <v>6</v>
      </c>
      <c r="K509" s="3"/>
      <c r="L509" s="77"/>
      <c r="P509" s="34">
        <v>6</v>
      </c>
      <c r="Q509" s="3"/>
      <c r="R509" s="77"/>
      <c r="T509" s="34">
        <v>6</v>
      </c>
      <c r="U509" s="3"/>
      <c r="V509" s="77"/>
      <c r="X509" s="34">
        <v>6</v>
      </c>
      <c r="Y509" s="3"/>
      <c r="Z509" s="77"/>
      <c r="AC509" s="5"/>
      <c r="AG509" s="34">
        <v>6</v>
      </c>
      <c r="AH509" s="3"/>
      <c r="AI509" s="77"/>
      <c r="AK509" s="34">
        <v>6</v>
      </c>
      <c r="AL509" s="3"/>
      <c r="AM509" s="77"/>
      <c r="AO509" s="34">
        <v>6</v>
      </c>
      <c r="AP509" s="3"/>
      <c r="AQ509" s="77"/>
      <c r="AU509" s="34">
        <v>6</v>
      </c>
      <c r="AV509" s="3"/>
      <c r="AW509" s="77"/>
      <c r="AY509" s="34">
        <v>6</v>
      </c>
      <c r="AZ509" s="3"/>
      <c r="BA509" s="77"/>
      <c r="BC509" s="34">
        <v>6</v>
      </c>
      <c r="BD509" s="3"/>
      <c r="BE509" s="77"/>
      <c r="BH509" s="5"/>
      <c r="BL509" s="36">
        <v>6</v>
      </c>
      <c r="BM509" s="3"/>
      <c r="BN509" s="77"/>
      <c r="BP509" s="34">
        <v>6</v>
      </c>
      <c r="BQ509" s="3"/>
      <c r="BR509" s="4"/>
      <c r="BV509" s="36">
        <v>6</v>
      </c>
      <c r="BW509" s="3"/>
      <c r="BX509" s="77"/>
      <c r="BZ509" s="36">
        <v>6</v>
      </c>
      <c r="CA509" s="3"/>
      <c r="CB509" s="77"/>
      <c r="CL509" s="10"/>
      <c r="CM509" s="8"/>
      <c r="CN509" s="1"/>
    </row>
    <row r="510" spans="2:92">
      <c r="B510" s="34">
        <v>7</v>
      </c>
      <c r="C510" s="3"/>
      <c r="D510" s="77"/>
      <c r="F510" s="34">
        <v>7</v>
      </c>
      <c r="G510" s="3"/>
      <c r="H510" s="77"/>
      <c r="J510" s="34">
        <v>7</v>
      </c>
      <c r="K510" s="3"/>
      <c r="L510" s="77"/>
      <c r="P510" s="34">
        <v>7</v>
      </c>
      <c r="Q510" s="3"/>
      <c r="R510" s="77"/>
      <c r="T510" s="34">
        <v>7</v>
      </c>
      <c r="U510" s="3"/>
      <c r="V510" s="77"/>
      <c r="X510" s="34">
        <v>7</v>
      </c>
      <c r="Y510" s="3"/>
      <c r="Z510" s="77"/>
      <c r="AC510" s="5"/>
      <c r="AG510" s="34">
        <v>7</v>
      </c>
      <c r="AH510" s="3"/>
      <c r="AI510" s="77"/>
      <c r="AK510" s="34">
        <v>7</v>
      </c>
      <c r="AL510" s="3"/>
      <c r="AM510" s="77"/>
      <c r="AO510" s="34">
        <v>7</v>
      </c>
      <c r="AP510" s="3"/>
      <c r="AQ510" s="77"/>
      <c r="AU510" s="34">
        <v>7</v>
      </c>
      <c r="AV510" s="3"/>
      <c r="AW510" s="77"/>
      <c r="AY510" s="34">
        <v>7</v>
      </c>
      <c r="AZ510" s="3"/>
      <c r="BA510" s="77"/>
      <c r="BC510" s="34">
        <v>7</v>
      </c>
      <c r="BD510" s="3"/>
      <c r="BE510" s="77"/>
      <c r="BH510" s="5"/>
      <c r="BL510" s="36">
        <v>7</v>
      </c>
      <c r="BM510" s="3"/>
      <c r="BN510" s="77"/>
      <c r="BP510" s="34">
        <v>7</v>
      </c>
      <c r="BQ510" s="3"/>
      <c r="BR510" s="4"/>
      <c r="BV510" s="36">
        <v>7</v>
      </c>
      <c r="BW510" s="3"/>
      <c r="BX510" s="77"/>
      <c r="BZ510" s="36">
        <v>7</v>
      </c>
      <c r="CA510" s="3"/>
      <c r="CB510" s="77"/>
      <c r="CL510" s="10"/>
      <c r="CM510" s="8"/>
      <c r="CN510" s="1"/>
    </row>
    <row r="511" spans="2:92">
      <c r="B511" s="34">
        <v>8</v>
      </c>
      <c r="C511" s="3"/>
      <c r="D511" s="77"/>
      <c r="F511" s="34">
        <v>8</v>
      </c>
      <c r="G511" s="3"/>
      <c r="H511" s="77"/>
      <c r="J511" s="34">
        <v>8</v>
      </c>
      <c r="K511" s="3"/>
      <c r="L511" s="77"/>
      <c r="P511" s="34">
        <v>8</v>
      </c>
      <c r="Q511" s="3"/>
      <c r="R511" s="77"/>
      <c r="T511" s="34">
        <v>8</v>
      </c>
      <c r="U511" s="3"/>
      <c r="V511" s="77"/>
      <c r="X511" s="34">
        <v>8</v>
      </c>
      <c r="Y511" s="3"/>
      <c r="Z511" s="77"/>
      <c r="AC511" s="5"/>
      <c r="AG511" s="34">
        <v>8</v>
      </c>
      <c r="AH511" s="3"/>
      <c r="AI511" s="77"/>
      <c r="AK511" s="34">
        <v>8</v>
      </c>
      <c r="AL511" s="3"/>
      <c r="AM511" s="77"/>
      <c r="AO511" s="34">
        <v>8</v>
      </c>
      <c r="AP511" s="3"/>
      <c r="AQ511" s="77"/>
      <c r="AU511" s="34">
        <v>8</v>
      </c>
      <c r="AV511" s="3"/>
      <c r="AW511" s="77"/>
      <c r="AY511" s="34">
        <v>8</v>
      </c>
      <c r="AZ511" s="3"/>
      <c r="BA511" s="77"/>
      <c r="BC511" s="34">
        <v>8</v>
      </c>
      <c r="BD511" s="3"/>
      <c r="BE511" s="77"/>
      <c r="BH511" s="5"/>
      <c r="BL511" s="36">
        <v>8</v>
      </c>
      <c r="BM511" s="3"/>
      <c r="BN511" s="77"/>
      <c r="BP511" s="34">
        <v>8</v>
      </c>
      <c r="BQ511" s="3"/>
      <c r="BR511" s="4"/>
      <c r="BV511" s="36">
        <v>8</v>
      </c>
      <c r="BW511" s="3"/>
      <c r="BX511" s="77"/>
      <c r="BZ511" s="36">
        <v>8</v>
      </c>
      <c r="CA511" s="3"/>
      <c r="CB511" s="77"/>
      <c r="CL511" s="10"/>
      <c r="CM511" s="8"/>
      <c r="CN511" s="1"/>
    </row>
    <row r="512" spans="2:92">
      <c r="B512" s="34">
        <v>9</v>
      </c>
      <c r="C512" s="3"/>
      <c r="D512" s="77"/>
      <c r="F512" s="34">
        <v>9</v>
      </c>
      <c r="G512" s="3"/>
      <c r="H512" s="77"/>
      <c r="J512" s="34">
        <v>9</v>
      </c>
      <c r="K512" s="3"/>
      <c r="L512" s="77"/>
      <c r="P512" s="34">
        <v>9</v>
      </c>
      <c r="Q512" s="3"/>
      <c r="R512" s="77"/>
      <c r="T512" s="34">
        <v>9</v>
      </c>
      <c r="U512" s="3"/>
      <c r="V512" s="77"/>
      <c r="X512" s="34">
        <v>9</v>
      </c>
      <c r="Y512" s="3"/>
      <c r="Z512" s="77"/>
      <c r="AC512" s="5"/>
      <c r="AG512" s="34">
        <v>9</v>
      </c>
      <c r="AH512" s="3"/>
      <c r="AI512" s="77"/>
      <c r="AK512" s="34">
        <v>9</v>
      </c>
      <c r="AL512" s="3"/>
      <c r="AM512" s="77"/>
      <c r="AO512" s="34">
        <v>9</v>
      </c>
      <c r="AP512" s="3"/>
      <c r="AQ512" s="77"/>
      <c r="AU512" s="34">
        <v>9</v>
      </c>
      <c r="AV512" s="3"/>
      <c r="AW512" s="77"/>
      <c r="AY512" s="34">
        <v>9</v>
      </c>
      <c r="AZ512" s="3"/>
      <c r="BA512" s="77"/>
      <c r="BC512" s="34">
        <v>9</v>
      </c>
      <c r="BD512" s="3"/>
      <c r="BE512" s="77"/>
      <c r="BH512" s="5"/>
      <c r="BL512" s="36">
        <v>9</v>
      </c>
      <c r="BM512" s="3"/>
      <c r="BN512" s="77"/>
      <c r="BP512" s="34">
        <v>9</v>
      </c>
      <c r="BQ512" s="3"/>
      <c r="BR512" s="4"/>
      <c r="BV512" s="36">
        <v>9</v>
      </c>
      <c r="BW512" s="3"/>
      <c r="BX512" s="4"/>
      <c r="BZ512" s="36">
        <v>9</v>
      </c>
      <c r="CA512" s="3"/>
      <c r="CB512" s="77"/>
      <c r="CL512" s="10"/>
      <c r="CM512" s="8"/>
      <c r="CN512" s="1"/>
    </row>
    <row r="513" spans="2:92">
      <c r="B513" s="34">
        <v>10</v>
      </c>
      <c r="C513" s="3"/>
      <c r="D513" s="77"/>
      <c r="F513" s="34">
        <v>10</v>
      </c>
      <c r="G513" s="3"/>
      <c r="H513" s="77"/>
      <c r="J513" s="34">
        <v>10</v>
      </c>
      <c r="K513" s="3"/>
      <c r="L513" s="77"/>
      <c r="P513" s="34">
        <v>10</v>
      </c>
      <c r="Q513" s="3"/>
      <c r="R513" s="77"/>
      <c r="T513" s="34">
        <v>10</v>
      </c>
      <c r="U513" s="3"/>
      <c r="V513" s="77"/>
      <c r="X513" s="34">
        <v>10</v>
      </c>
      <c r="Y513" s="3"/>
      <c r="Z513" s="77"/>
      <c r="AC513" s="5"/>
      <c r="AG513" s="34">
        <v>10</v>
      </c>
      <c r="AH513" s="3"/>
      <c r="AI513" s="77"/>
      <c r="AK513" s="34">
        <v>10</v>
      </c>
      <c r="AL513" s="3"/>
      <c r="AM513" s="77"/>
      <c r="AO513" s="34">
        <v>10</v>
      </c>
      <c r="AP513" s="3"/>
      <c r="AQ513" s="77"/>
      <c r="AU513" s="34">
        <v>10</v>
      </c>
      <c r="AV513" s="3"/>
      <c r="AW513" s="77"/>
      <c r="AY513" s="34">
        <v>10</v>
      </c>
      <c r="AZ513" s="3"/>
      <c r="BA513" s="77"/>
      <c r="BC513" s="34">
        <v>10</v>
      </c>
      <c r="BD513" s="3"/>
      <c r="BE513" s="77"/>
      <c r="BH513" s="5"/>
      <c r="BL513" s="36">
        <v>10</v>
      </c>
      <c r="BM513" s="3"/>
      <c r="BN513" s="77"/>
      <c r="BP513" s="34">
        <v>10</v>
      </c>
      <c r="BQ513" s="3"/>
      <c r="BR513" s="4"/>
      <c r="BV513" s="36">
        <v>10</v>
      </c>
      <c r="BW513" s="3"/>
      <c r="BX513" s="77"/>
      <c r="BZ513" s="36">
        <v>10</v>
      </c>
      <c r="CA513" s="3"/>
      <c r="CB513" s="77"/>
      <c r="CL513" s="10"/>
      <c r="CM513" s="8"/>
      <c r="CN513" s="1"/>
    </row>
    <row r="514" spans="2:92">
      <c r="B514" s="34">
        <v>11</v>
      </c>
      <c r="C514" s="3"/>
      <c r="D514" s="77"/>
      <c r="F514" s="34">
        <v>11</v>
      </c>
      <c r="G514" s="3"/>
      <c r="H514" s="77"/>
      <c r="J514" s="34">
        <v>11</v>
      </c>
      <c r="K514" s="3"/>
      <c r="L514" s="77"/>
      <c r="P514" s="34">
        <v>11</v>
      </c>
      <c r="Q514" s="3"/>
      <c r="R514" s="77"/>
      <c r="T514" s="34">
        <v>11</v>
      </c>
      <c r="U514" s="3"/>
      <c r="V514" s="77"/>
      <c r="X514" s="34">
        <v>11</v>
      </c>
      <c r="Y514" s="3"/>
      <c r="Z514" s="77"/>
      <c r="AC514" s="5"/>
      <c r="AG514" s="34">
        <v>11</v>
      </c>
      <c r="AH514" s="3"/>
      <c r="AI514" s="77"/>
      <c r="AK514" s="34">
        <v>11</v>
      </c>
      <c r="AL514" s="3"/>
      <c r="AM514" s="77"/>
      <c r="AO514" s="34">
        <v>11</v>
      </c>
      <c r="AP514" s="3"/>
      <c r="AQ514" s="77"/>
      <c r="AU514" s="34">
        <v>11</v>
      </c>
      <c r="AV514" s="3"/>
      <c r="AW514" s="77"/>
      <c r="AY514" s="34">
        <v>11</v>
      </c>
      <c r="AZ514" s="3"/>
      <c r="BA514" s="77"/>
      <c r="BC514" s="34">
        <v>11</v>
      </c>
      <c r="BD514" s="3"/>
      <c r="BE514" s="77"/>
      <c r="BH514" s="5"/>
      <c r="BL514" s="36">
        <v>11</v>
      </c>
      <c r="BM514" s="3"/>
      <c r="BN514" s="77"/>
      <c r="BP514" s="34">
        <v>11</v>
      </c>
      <c r="BQ514" s="3"/>
      <c r="BR514" s="4"/>
      <c r="BV514" s="36">
        <v>11</v>
      </c>
      <c r="BW514" s="3"/>
      <c r="BX514" s="4"/>
      <c r="BZ514" s="36">
        <v>11</v>
      </c>
      <c r="CA514" s="3"/>
      <c r="CB514" s="4"/>
      <c r="CL514" s="10"/>
      <c r="CM514" s="8"/>
      <c r="CN514" s="1"/>
    </row>
    <row r="515" spans="2:92">
      <c r="B515" s="34">
        <v>12</v>
      </c>
      <c r="C515" s="3"/>
      <c r="D515" s="77"/>
      <c r="F515" s="34">
        <v>12</v>
      </c>
      <c r="G515" s="3"/>
      <c r="H515" s="77"/>
      <c r="J515" s="34">
        <v>12</v>
      </c>
      <c r="K515" s="3"/>
      <c r="L515" s="77"/>
      <c r="P515" s="34">
        <v>12</v>
      </c>
      <c r="Q515" s="3"/>
      <c r="R515" s="77"/>
      <c r="T515" s="34">
        <v>12</v>
      </c>
      <c r="U515" s="3"/>
      <c r="V515" s="77"/>
      <c r="X515" s="34">
        <v>12</v>
      </c>
      <c r="Y515" s="3"/>
      <c r="Z515" s="77"/>
      <c r="AC515" s="5"/>
      <c r="AG515" s="34">
        <v>12</v>
      </c>
      <c r="AH515" s="3"/>
      <c r="AI515" s="77"/>
      <c r="AK515" s="34">
        <v>12</v>
      </c>
      <c r="AL515" s="3"/>
      <c r="AM515" s="77"/>
      <c r="AO515" s="34">
        <v>12</v>
      </c>
      <c r="AP515" s="3"/>
      <c r="AQ515" s="77"/>
      <c r="AU515" s="34">
        <v>12</v>
      </c>
      <c r="AV515" s="3"/>
      <c r="AW515" s="77"/>
      <c r="AY515" s="34">
        <v>12</v>
      </c>
      <c r="AZ515" s="3"/>
      <c r="BA515" s="77"/>
      <c r="BC515" s="34">
        <v>12</v>
      </c>
      <c r="BD515" s="3"/>
      <c r="BE515" s="77"/>
      <c r="BH515" s="5"/>
      <c r="BL515" s="36">
        <v>12</v>
      </c>
      <c r="BM515" s="3"/>
      <c r="BN515" s="77"/>
      <c r="BP515" s="34">
        <v>12</v>
      </c>
      <c r="BQ515" s="3"/>
      <c r="BR515" s="4"/>
      <c r="BV515" s="36">
        <v>12</v>
      </c>
      <c r="BW515" s="3"/>
      <c r="BX515" s="77"/>
      <c r="BZ515" s="36">
        <v>12</v>
      </c>
      <c r="CA515" s="3"/>
      <c r="CB515" s="77"/>
      <c r="CL515" s="10"/>
      <c r="CM515" s="8"/>
      <c r="CN515" s="1"/>
    </row>
    <row r="516" spans="2:92">
      <c r="B516" s="34">
        <v>13</v>
      </c>
      <c r="C516" s="3"/>
      <c r="D516" s="77"/>
      <c r="F516" s="34">
        <v>13</v>
      </c>
      <c r="G516" s="3"/>
      <c r="H516" s="77"/>
      <c r="J516" s="34">
        <v>13</v>
      </c>
      <c r="K516" s="3"/>
      <c r="L516" s="77"/>
      <c r="P516" s="34">
        <v>13</v>
      </c>
      <c r="Q516" s="3"/>
      <c r="R516" s="77"/>
      <c r="T516" s="34">
        <v>13</v>
      </c>
      <c r="U516" s="3"/>
      <c r="V516" s="77"/>
      <c r="X516" s="34">
        <v>13</v>
      </c>
      <c r="Y516" s="3"/>
      <c r="Z516" s="77"/>
      <c r="AC516" s="5"/>
      <c r="AG516" s="34">
        <v>13</v>
      </c>
      <c r="AH516" s="3"/>
      <c r="AI516" s="77"/>
      <c r="AK516" s="34">
        <v>13</v>
      </c>
      <c r="AL516" s="3"/>
      <c r="AM516" s="77"/>
      <c r="AO516" s="34">
        <v>13</v>
      </c>
      <c r="AP516" s="3"/>
      <c r="AQ516" s="77"/>
      <c r="AU516" s="34">
        <v>13</v>
      </c>
      <c r="AV516" s="3"/>
      <c r="AW516" s="77"/>
      <c r="AY516" s="34">
        <v>13</v>
      </c>
      <c r="AZ516" s="3"/>
      <c r="BA516" s="77"/>
      <c r="BC516" s="34">
        <v>13</v>
      </c>
      <c r="BD516" s="3"/>
      <c r="BE516" s="77"/>
      <c r="BH516" s="5"/>
      <c r="BL516" s="36">
        <v>13</v>
      </c>
      <c r="BM516" s="3"/>
      <c r="BN516" s="77"/>
      <c r="BP516" s="34">
        <v>13</v>
      </c>
      <c r="BQ516" s="3"/>
      <c r="BR516" s="4"/>
      <c r="BV516" s="36">
        <v>13</v>
      </c>
      <c r="BW516" s="3"/>
      <c r="BX516" s="4"/>
      <c r="BZ516" s="36">
        <v>13</v>
      </c>
      <c r="CA516" s="3"/>
      <c r="CB516" s="77"/>
      <c r="CL516" s="10"/>
      <c r="CM516" s="8"/>
      <c r="CN516" s="1"/>
    </row>
    <row r="517" spans="2:92">
      <c r="B517" s="34">
        <v>14</v>
      </c>
      <c r="C517" s="3"/>
      <c r="D517" s="77"/>
      <c r="F517" s="34">
        <v>14</v>
      </c>
      <c r="G517" s="3"/>
      <c r="H517" s="77"/>
      <c r="J517" s="34">
        <v>14</v>
      </c>
      <c r="K517" s="3"/>
      <c r="L517" s="77"/>
      <c r="P517" s="34">
        <v>14</v>
      </c>
      <c r="Q517" s="3"/>
      <c r="R517" s="77"/>
      <c r="T517" s="34">
        <v>14</v>
      </c>
      <c r="U517" s="3"/>
      <c r="V517" s="77"/>
      <c r="X517" s="34">
        <v>14</v>
      </c>
      <c r="Y517" s="3"/>
      <c r="Z517" s="77"/>
      <c r="AC517" s="5"/>
      <c r="AG517" s="34">
        <v>14</v>
      </c>
      <c r="AH517" s="3"/>
      <c r="AI517" s="77"/>
      <c r="AK517" s="34">
        <v>14</v>
      </c>
      <c r="AL517" s="3"/>
      <c r="AM517" s="77"/>
      <c r="AO517" s="34">
        <v>14</v>
      </c>
      <c r="AP517" s="3"/>
      <c r="AQ517" s="77"/>
      <c r="AU517" s="34">
        <v>14</v>
      </c>
      <c r="AV517" s="3"/>
      <c r="AW517" s="77"/>
      <c r="AY517" s="34">
        <v>14</v>
      </c>
      <c r="AZ517" s="3"/>
      <c r="BA517" s="77"/>
      <c r="BC517" s="34">
        <v>14</v>
      </c>
      <c r="BD517" s="3"/>
      <c r="BE517" s="77"/>
      <c r="BH517" s="5"/>
      <c r="BL517" s="36">
        <v>14</v>
      </c>
      <c r="BM517" s="3"/>
      <c r="BN517" s="77"/>
      <c r="BP517" s="34">
        <v>14</v>
      </c>
      <c r="BQ517" s="3"/>
      <c r="BR517" s="4"/>
      <c r="BV517" s="36">
        <v>14</v>
      </c>
      <c r="BW517" s="3"/>
      <c r="BX517" s="4"/>
      <c r="BZ517" s="36">
        <v>14</v>
      </c>
      <c r="CA517" s="3"/>
      <c r="CB517" s="77"/>
      <c r="CL517" s="10"/>
      <c r="CM517" s="8"/>
      <c r="CN517" s="1"/>
    </row>
    <row r="518" spans="2:92">
      <c r="B518" s="34">
        <v>15</v>
      </c>
      <c r="C518" s="3"/>
      <c r="D518" s="77"/>
      <c r="F518" s="34">
        <v>15</v>
      </c>
      <c r="G518" s="3"/>
      <c r="H518" s="77"/>
      <c r="J518" s="34">
        <v>15</v>
      </c>
      <c r="K518" s="3"/>
      <c r="L518" s="77"/>
      <c r="P518" s="34">
        <v>15</v>
      </c>
      <c r="Q518" s="3"/>
      <c r="R518" s="77"/>
      <c r="T518" s="34">
        <v>15</v>
      </c>
      <c r="U518" s="3"/>
      <c r="V518" s="77"/>
      <c r="X518" s="34">
        <v>15</v>
      </c>
      <c r="Y518" s="3"/>
      <c r="Z518" s="77"/>
      <c r="AC518" s="5"/>
      <c r="AG518" s="34">
        <v>15</v>
      </c>
      <c r="AH518" s="3"/>
      <c r="AI518" s="77"/>
      <c r="AK518" s="34">
        <v>15</v>
      </c>
      <c r="AL518" s="3"/>
      <c r="AM518" s="77"/>
      <c r="AO518" s="34">
        <v>15</v>
      </c>
      <c r="AP518" s="3"/>
      <c r="AQ518" s="77"/>
      <c r="AU518" s="34">
        <v>15</v>
      </c>
      <c r="AV518" s="3"/>
      <c r="AW518" s="77"/>
      <c r="AY518" s="34">
        <v>15</v>
      </c>
      <c r="AZ518" s="3"/>
      <c r="BA518" s="77"/>
      <c r="BC518" s="34">
        <v>15</v>
      </c>
      <c r="BD518" s="3"/>
      <c r="BE518" s="77"/>
      <c r="BH518" s="5"/>
      <c r="BL518" s="36">
        <v>15</v>
      </c>
      <c r="BM518" s="3"/>
      <c r="BN518" s="77"/>
      <c r="BP518" s="34">
        <v>15</v>
      </c>
      <c r="BQ518" s="3"/>
      <c r="BR518" s="4"/>
      <c r="BV518" s="36">
        <v>15</v>
      </c>
      <c r="BW518" s="3"/>
      <c r="BX518" s="4"/>
      <c r="BZ518" s="36">
        <v>15</v>
      </c>
      <c r="CA518" s="3"/>
      <c r="CB518" s="77"/>
      <c r="CL518" s="10"/>
      <c r="CM518" s="8"/>
      <c r="CN518" s="1"/>
    </row>
    <row r="519" spans="2:92">
      <c r="B519" s="34">
        <v>16</v>
      </c>
      <c r="C519" s="3"/>
      <c r="D519" s="77"/>
      <c r="F519" s="34">
        <v>16</v>
      </c>
      <c r="G519" s="3"/>
      <c r="H519" s="77"/>
      <c r="J519" s="34">
        <v>16</v>
      </c>
      <c r="K519" s="3"/>
      <c r="L519" s="77"/>
      <c r="P519" s="34">
        <v>16</v>
      </c>
      <c r="Q519" s="3"/>
      <c r="R519" s="77"/>
      <c r="T519" s="34">
        <v>16</v>
      </c>
      <c r="U519" s="3"/>
      <c r="V519" s="77"/>
      <c r="X519" s="34">
        <v>16</v>
      </c>
      <c r="Y519" s="3"/>
      <c r="Z519" s="77"/>
      <c r="AC519" s="5"/>
      <c r="AG519" s="34">
        <v>16</v>
      </c>
      <c r="AH519" s="3"/>
      <c r="AI519" s="77"/>
      <c r="AK519" s="34">
        <v>16</v>
      </c>
      <c r="AL519" s="3"/>
      <c r="AM519" s="77"/>
      <c r="AO519" s="34">
        <v>16</v>
      </c>
      <c r="AP519" s="3"/>
      <c r="AQ519" s="77"/>
      <c r="AU519" s="34" t="s">
        <v>25</v>
      </c>
      <c r="AV519" s="3"/>
      <c r="AW519" s="77"/>
      <c r="AY519" s="34">
        <v>16</v>
      </c>
      <c r="AZ519" s="3"/>
      <c r="BA519" s="77"/>
      <c r="BC519" s="34" t="s">
        <v>25</v>
      </c>
      <c r="BD519" s="3"/>
      <c r="BE519" s="77"/>
      <c r="BH519" s="5"/>
      <c r="BL519" s="36">
        <v>16</v>
      </c>
      <c r="BM519" s="3"/>
      <c r="BN519" s="77"/>
      <c r="BP519" s="34">
        <v>16</v>
      </c>
      <c r="BQ519" s="3"/>
      <c r="BR519" s="4"/>
      <c r="BV519" s="36">
        <v>16</v>
      </c>
      <c r="BW519" s="3"/>
      <c r="BX519" s="4"/>
      <c r="BZ519" s="36">
        <v>16</v>
      </c>
      <c r="CA519" s="3"/>
      <c r="CB519" s="77"/>
      <c r="CL519" s="10"/>
      <c r="CM519" s="8"/>
      <c r="CN519" s="1"/>
    </row>
    <row r="520" spans="2:92">
      <c r="B520" s="34">
        <v>17</v>
      </c>
      <c r="C520" s="3"/>
      <c r="D520" s="77"/>
      <c r="F520" s="34">
        <v>17</v>
      </c>
      <c r="G520" s="3"/>
      <c r="H520" s="77"/>
      <c r="J520" s="34">
        <v>17</v>
      </c>
      <c r="K520" s="3"/>
      <c r="L520" s="77"/>
      <c r="P520" s="34">
        <v>17</v>
      </c>
      <c r="Q520" s="3"/>
      <c r="R520" s="77"/>
      <c r="T520" s="34">
        <v>17</v>
      </c>
      <c r="U520" s="3"/>
      <c r="V520" s="77"/>
      <c r="X520" s="34">
        <v>17</v>
      </c>
      <c r="Y520" s="3"/>
      <c r="Z520" s="77"/>
      <c r="AC520" s="5"/>
      <c r="AG520" s="34">
        <v>17</v>
      </c>
      <c r="AH520" s="3"/>
      <c r="AI520" s="77"/>
      <c r="AK520" s="34">
        <v>17</v>
      </c>
      <c r="AL520" s="3"/>
      <c r="AM520" s="77"/>
      <c r="AO520" s="34">
        <v>17</v>
      </c>
      <c r="AP520" s="3"/>
      <c r="AQ520" s="77"/>
      <c r="AU520" s="34">
        <v>17</v>
      </c>
      <c r="AV520" s="3"/>
      <c r="AW520" s="77"/>
      <c r="AY520" s="34">
        <v>17</v>
      </c>
      <c r="AZ520" s="3"/>
      <c r="BA520" s="77"/>
      <c r="BC520" s="34">
        <v>17</v>
      </c>
      <c r="BD520" s="3"/>
      <c r="BE520" s="77"/>
      <c r="BH520" s="5"/>
      <c r="BL520" s="36">
        <v>17</v>
      </c>
      <c r="BM520" s="3"/>
      <c r="BN520" s="77"/>
      <c r="BP520" s="34">
        <v>17</v>
      </c>
      <c r="BQ520" s="3"/>
      <c r="BR520" s="4"/>
      <c r="BV520" s="36">
        <v>17</v>
      </c>
      <c r="BW520" s="3"/>
      <c r="BX520" s="4"/>
      <c r="BZ520" s="36">
        <v>17</v>
      </c>
      <c r="CA520" s="3"/>
      <c r="CB520" s="77"/>
      <c r="CL520" s="10"/>
      <c r="CM520" s="8"/>
      <c r="CN520" s="1"/>
    </row>
    <row r="521" spans="2:92">
      <c r="B521" s="34">
        <v>18</v>
      </c>
      <c r="C521" s="3"/>
      <c r="D521" s="77"/>
      <c r="F521" s="34">
        <v>18</v>
      </c>
      <c r="G521" s="3"/>
      <c r="H521" s="77"/>
      <c r="J521" s="34">
        <v>18</v>
      </c>
      <c r="K521" s="3"/>
      <c r="L521" s="77"/>
      <c r="P521" s="34">
        <v>18</v>
      </c>
      <c r="Q521" s="3"/>
      <c r="R521" s="77"/>
      <c r="T521" s="34">
        <v>18</v>
      </c>
      <c r="U521" s="3"/>
      <c r="V521" s="77"/>
      <c r="X521" s="34">
        <v>18</v>
      </c>
      <c r="Y521" s="3"/>
      <c r="Z521" s="77"/>
      <c r="AC521" s="5"/>
      <c r="AG521" s="34">
        <v>18</v>
      </c>
      <c r="AH521" s="3"/>
      <c r="AI521" s="77"/>
      <c r="AK521" s="34">
        <v>18</v>
      </c>
      <c r="AL521" s="3"/>
      <c r="AM521" s="77"/>
      <c r="AO521" s="34">
        <v>18</v>
      </c>
      <c r="AP521" s="3"/>
      <c r="AQ521" s="77"/>
      <c r="AU521" s="34">
        <v>18</v>
      </c>
      <c r="AV521" s="3"/>
      <c r="AW521" s="77"/>
      <c r="AY521" s="34">
        <v>18</v>
      </c>
      <c r="AZ521" s="3"/>
      <c r="BA521" s="77"/>
      <c r="BC521" s="34">
        <v>18</v>
      </c>
      <c r="BD521" s="3"/>
      <c r="BE521" s="77"/>
      <c r="BH521" s="5"/>
      <c r="BL521" s="36">
        <v>18</v>
      </c>
      <c r="BM521" s="3"/>
      <c r="BN521" s="77"/>
      <c r="BP521" s="34">
        <v>18</v>
      </c>
      <c r="BQ521" s="3"/>
      <c r="BR521" s="4"/>
      <c r="BV521" s="36">
        <v>18</v>
      </c>
      <c r="BW521" s="3"/>
      <c r="BX521" s="4"/>
      <c r="BZ521" s="36">
        <v>18</v>
      </c>
      <c r="CA521" s="3"/>
      <c r="CB521" s="77"/>
      <c r="CL521" s="10"/>
      <c r="CM521" s="8"/>
      <c r="CN521" s="1"/>
    </row>
    <row r="522" spans="2:92">
      <c r="B522" s="34">
        <v>19</v>
      </c>
      <c r="C522" s="3"/>
      <c r="D522" s="77"/>
      <c r="F522" s="34">
        <v>19</v>
      </c>
      <c r="G522" s="3"/>
      <c r="H522" s="77"/>
      <c r="J522" s="34">
        <v>19</v>
      </c>
      <c r="K522" s="3"/>
      <c r="L522" s="77"/>
      <c r="P522" s="34">
        <v>19</v>
      </c>
      <c r="Q522" s="3"/>
      <c r="R522" s="77"/>
      <c r="T522" s="34">
        <v>19</v>
      </c>
      <c r="U522" s="3"/>
      <c r="V522" s="77"/>
      <c r="X522" s="34">
        <v>19</v>
      </c>
      <c r="Y522" s="3"/>
      <c r="Z522" s="77"/>
      <c r="AC522" s="5"/>
      <c r="AG522" s="34">
        <v>19</v>
      </c>
      <c r="AH522" s="3"/>
      <c r="AI522" s="77"/>
      <c r="AK522" s="34">
        <v>19</v>
      </c>
      <c r="AL522" s="3"/>
      <c r="AM522" s="77"/>
      <c r="AO522" s="34">
        <v>19</v>
      </c>
      <c r="AP522" s="3"/>
      <c r="AQ522" s="77"/>
      <c r="AU522" s="34">
        <v>19</v>
      </c>
      <c r="AV522" s="3"/>
      <c r="AW522" s="77"/>
      <c r="AY522" s="34">
        <v>19</v>
      </c>
      <c r="AZ522" s="3"/>
      <c r="BA522" s="77"/>
      <c r="BC522" s="34">
        <v>19</v>
      </c>
      <c r="BD522" s="3"/>
      <c r="BE522" s="77"/>
      <c r="BH522" s="5"/>
      <c r="BL522" s="36">
        <v>19</v>
      </c>
      <c r="BM522" s="3"/>
      <c r="BN522" s="77"/>
      <c r="BP522" s="34">
        <v>19</v>
      </c>
      <c r="BQ522" s="3"/>
      <c r="BR522" s="4"/>
      <c r="BV522" s="36">
        <v>19</v>
      </c>
      <c r="BW522" s="3"/>
      <c r="BX522" s="4"/>
      <c r="BZ522" s="36">
        <v>19</v>
      </c>
      <c r="CA522" s="3"/>
      <c r="CB522" s="4"/>
      <c r="CL522" s="10"/>
      <c r="CM522" s="8"/>
      <c r="CN522" s="1"/>
    </row>
    <row r="523" spans="2:92">
      <c r="B523" s="34">
        <v>20</v>
      </c>
      <c r="C523" s="3"/>
      <c r="D523" s="77"/>
      <c r="F523" s="34">
        <v>20</v>
      </c>
      <c r="G523" s="3"/>
      <c r="H523" s="77"/>
      <c r="J523" s="34">
        <v>20</v>
      </c>
      <c r="K523" s="3"/>
      <c r="L523" s="77"/>
      <c r="P523" s="34">
        <v>20</v>
      </c>
      <c r="Q523" s="3"/>
      <c r="R523" s="77"/>
      <c r="T523" s="34">
        <v>20</v>
      </c>
      <c r="U523" s="3"/>
      <c r="V523" s="77"/>
      <c r="X523" s="34">
        <v>20</v>
      </c>
      <c r="Y523" s="3"/>
      <c r="Z523" s="77"/>
      <c r="AC523" s="5"/>
      <c r="AG523" s="34">
        <v>20</v>
      </c>
      <c r="AH523" s="3"/>
      <c r="AI523" s="77"/>
      <c r="AK523" s="34">
        <v>20</v>
      </c>
      <c r="AL523" s="3"/>
      <c r="AM523" s="77"/>
      <c r="AO523" s="34">
        <v>20</v>
      </c>
      <c r="AP523" s="3"/>
      <c r="AQ523" s="77"/>
      <c r="AU523" s="34">
        <v>20</v>
      </c>
      <c r="AV523" s="3"/>
      <c r="AW523" s="77"/>
      <c r="AY523" s="34">
        <v>20</v>
      </c>
      <c r="AZ523" s="3"/>
      <c r="BA523" s="77"/>
      <c r="BC523" s="34">
        <v>20</v>
      </c>
      <c r="BD523" s="3"/>
      <c r="BE523" s="77"/>
      <c r="BH523" s="5"/>
      <c r="BL523" s="36">
        <v>20</v>
      </c>
      <c r="BM523" s="3"/>
      <c r="BN523" s="77"/>
      <c r="BP523" s="34">
        <v>20</v>
      </c>
      <c r="BQ523" s="3"/>
      <c r="BR523" s="4"/>
      <c r="BV523" s="36">
        <v>20</v>
      </c>
      <c r="BW523" s="3"/>
      <c r="BX523" s="4"/>
      <c r="BZ523" s="36">
        <v>20</v>
      </c>
      <c r="CA523" s="3"/>
      <c r="CB523" s="77"/>
      <c r="CL523" s="10"/>
      <c r="CM523" s="8"/>
      <c r="CN523" s="1"/>
    </row>
    <row r="524" spans="2:92">
      <c r="B524" s="34">
        <v>21</v>
      </c>
      <c r="C524" s="3"/>
      <c r="D524" s="77"/>
      <c r="F524" s="34">
        <v>21</v>
      </c>
      <c r="G524" s="3"/>
      <c r="H524" s="77"/>
      <c r="J524" s="34">
        <v>21</v>
      </c>
      <c r="K524" s="3"/>
      <c r="L524" s="77"/>
      <c r="P524" s="34">
        <v>21</v>
      </c>
      <c r="Q524" s="3"/>
      <c r="R524" s="77"/>
      <c r="T524" s="34">
        <v>21</v>
      </c>
      <c r="U524" s="3"/>
      <c r="V524" s="77"/>
      <c r="X524" s="34">
        <v>21</v>
      </c>
      <c r="Y524" s="3"/>
      <c r="Z524" s="77"/>
      <c r="AC524" s="5"/>
      <c r="AG524" s="34">
        <v>21</v>
      </c>
      <c r="AH524" s="3"/>
      <c r="AI524" s="77"/>
      <c r="AK524" s="34">
        <v>21</v>
      </c>
      <c r="AL524" s="3"/>
      <c r="AM524" s="77"/>
      <c r="AO524" s="34">
        <v>21</v>
      </c>
      <c r="AP524" s="3"/>
      <c r="AQ524" s="77"/>
      <c r="AU524" s="34">
        <v>21</v>
      </c>
      <c r="AV524" s="3"/>
      <c r="AW524" s="77"/>
      <c r="AY524" s="34">
        <v>21</v>
      </c>
      <c r="AZ524" s="3"/>
      <c r="BA524" s="77"/>
      <c r="BC524" s="34">
        <v>21</v>
      </c>
      <c r="BD524" s="3"/>
      <c r="BE524" s="77"/>
      <c r="BH524" s="5"/>
      <c r="BL524" s="36">
        <v>21</v>
      </c>
      <c r="BM524" s="3"/>
      <c r="BN524" s="4"/>
      <c r="BP524" s="34">
        <v>21</v>
      </c>
      <c r="BQ524" s="3"/>
      <c r="BR524" s="4"/>
      <c r="BV524" s="36">
        <v>21</v>
      </c>
      <c r="BW524" s="3"/>
      <c r="BX524" s="4"/>
      <c r="BZ524" s="36">
        <v>21</v>
      </c>
      <c r="CA524" s="3"/>
      <c r="CB524" s="4"/>
      <c r="CL524" s="10"/>
      <c r="CM524" s="8"/>
      <c r="CN524" s="1"/>
    </row>
    <row r="525" spans="2:92">
      <c r="B525" s="34">
        <v>22</v>
      </c>
      <c r="C525" s="3"/>
      <c r="D525" s="77"/>
      <c r="F525" s="34">
        <v>22</v>
      </c>
      <c r="G525" s="3"/>
      <c r="H525" s="77"/>
      <c r="J525" s="34">
        <v>22</v>
      </c>
      <c r="K525" s="3"/>
      <c r="L525" s="77"/>
      <c r="P525" s="34">
        <v>22</v>
      </c>
      <c r="Q525" s="3"/>
      <c r="R525" s="77"/>
      <c r="T525" s="34">
        <v>22</v>
      </c>
      <c r="U525" s="3"/>
      <c r="V525" s="77"/>
      <c r="X525" s="34">
        <v>22</v>
      </c>
      <c r="Y525" s="3"/>
      <c r="Z525" s="77"/>
      <c r="AC525" s="5"/>
      <c r="AG525" s="34">
        <v>22</v>
      </c>
      <c r="AH525" s="3"/>
      <c r="AI525" s="77"/>
      <c r="AK525" s="34">
        <v>22</v>
      </c>
      <c r="AL525" s="3"/>
      <c r="AM525" s="77"/>
      <c r="AO525" s="34">
        <v>22</v>
      </c>
      <c r="AP525" s="3"/>
      <c r="AQ525" s="77"/>
      <c r="AU525" s="34">
        <v>22</v>
      </c>
      <c r="AV525" s="3"/>
      <c r="AW525" s="77"/>
      <c r="AY525" s="34">
        <v>22</v>
      </c>
      <c r="AZ525" s="3"/>
      <c r="BA525" s="77"/>
      <c r="BC525" s="34">
        <v>22</v>
      </c>
      <c r="BD525" s="3"/>
      <c r="BE525" s="77"/>
      <c r="BH525" s="5"/>
      <c r="BL525" s="36">
        <v>22</v>
      </c>
      <c r="BM525" s="3"/>
      <c r="BN525" s="4"/>
      <c r="BP525" s="34">
        <v>22</v>
      </c>
      <c r="BQ525" s="3"/>
      <c r="BR525" s="4"/>
      <c r="BV525" s="36">
        <v>22</v>
      </c>
      <c r="BW525" s="3"/>
      <c r="BX525" s="4"/>
      <c r="BZ525" s="36">
        <v>22</v>
      </c>
      <c r="CA525" s="3"/>
      <c r="CB525" s="4"/>
      <c r="CL525" s="10"/>
      <c r="CM525" s="8"/>
      <c r="CN525" s="1"/>
    </row>
    <row r="526" spans="2:92">
      <c r="B526" s="34">
        <v>23</v>
      </c>
      <c r="C526" s="3"/>
      <c r="D526" s="77"/>
      <c r="F526" s="34">
        <v>23</v>
      </c>
      <c r="G526" s="3"/>
      <c r="H526" s="77"/>
      <c r="J526" s="34">
        <v>23</v>
      </c>
      <c r="K526" s="3"/>
      <c r="L526" s="77"/>
      <c r="P526" s="34">
        <v>23</v>
      </c>
      <c r="Q526" s="3"/>
      <c r="R526" s="77"/>
      <c r="T526" s="34">
        <v>23</v>
      </c>
      <c r="U526" s="3"/>
      <c r="V526" s="77"/>
      <c r="X526" s="34">
        <v>23</v>
      </c>
      <c r="Y526" s="3"/>
      <c r="Z526" s="77"/>
      <c r="AC526" s="5"/>
      <c r="AG526" s="34">
        <v>23</v>
      </c>
      <c r="AH526" s="3"/>
      <c r="AI526" s="77"/>
      <c r="AK526" s="34">
        <v>23</v>
      </c>
      <c r="AL526" s="3"/>
      <c r="AM526" s="77"/>
      <c r="AO526" s="34">
        <v>23</v>
      </c>
      <c r="AP526" s="3"/>
      <c r="AQ526" s="77"/>
      <c r="AU526" s="34">
        <v>23</v>
      </c>
      <c r="AV526" s="3"/>
      <c r="AW526" s="77"/>
      <c r="AY526" s="34">
        <v>23</v>
      </c>
      <c r="AZ526" s="3"/>
      <c r="BA526" s="77"/>
      <c r="BC526" s="34">
        <v>23</v>
      </c>
      <c r="BD526" s="3"/>
      <c r="BE526" s="77"/>
      <c r="BH526" s="5"/>
      <c r="BL526" s="36">
        <v>23</v>
      </c>
      <c r="BM526" s="3"/>
      <c r="BN526" s="4"/>
      <c r="BP526" s="34">
        <v>23</v>
      </c>
      <c r="BQ526" s="3"/>
      <c r="BR526" s="4"/>
      <c r="BV526" s="36">
        <v>23</v>
      </c>
      <c r="BW526" s="3"/>
      <c r="BX526" s="4"/>
      <c r="BZ526" s="36">
        <v>23</v>
      </c>
      <c r="CA526" s="3"/>
      <c r="CB526" s="4"/>
      <c r="CL526" s="10"/>
      <c r="CM526" s="8"/>
      <c r="CN526" s="1"/>
    </row>
    <row r="527" spans="2:92">
      <c r="AC527" s="5"/>
      <c r="BH527" s="5"/>
      <c r="BL527" s="10"/>
      <c r="BM527" s="22"/>
      <c r="BQ527" s="22"/>
      <c r="CL527" s="1"/>
      <c r="CN527" s="1"/>
    </row>
    <row r="528" spans="2:92">
      <c r="AC528" s="5"/>
      <c r="BH528" s="5"/>
      <c r="BL528" s="10"/>
      <c r="BM528" s="22"/>
      <c r="BQ528" s="22"/>
      <c r="CL528" s="1"/>
      <c r="CN528" s="1"/>
    </row>
    <row r="529" spans="2:92">
      <c r="AC529" s="5"/>
      <c r="BH529" s="5"/>
      <c r="BL529" s="10"/>
      <c r="BM529" s="22"/>
      <c r="BQ529" s="22"/>
      <c r="CL529" s="1"/>
      <c r="CN529" s="1"/>
    </row>
    <row r="530" spans="2:92" s="1" customFormat="1" ht="20.25">
      <c r="B530" s="54"/>
      <c r="C530" s="55">
        <f>'NRB 공장 내부 배치도'!C27</f>
        <v>0</v>
      </c>
      <c r="D530" s="199"/>
      <c r="F530" s="54"/>
      <c r="G530" s="55">
        <f>'NRB 공장 내부 배치도'!D27</f>
        <v>0</v>
      </c>
      <c r="H530" s="199"/>
      <c r="J530" s="54"/>
      <c r="K530" s="55">
        <f>'NRB 공장 내부 배치도'!E27</f>
        <v>0</v>
      </c>
      <c r="L530" s="199"/>
      <c r="P530" s="54"/>
      <c r="Q530" s="55">
        <f>'NRB 공장 내부 배치도'!G27</f>
        <v>0</v>
      </c>
      <c r="R530" s="199"/>
      <c r="T530" s="54"/>
      <c r="U530" s="55">
        <f>'NRB 공장 내부 배치도'!H27</f>
        <v>0</v>
      </c>
      <c r="V530" s="199"/>
      <c r="X530" s="54"/>
      <c r="Y530" s="55">
        <f>'NRB 공장 내부 배치도'!I27</f>
        <v>0</v>
      </c>
      <c r="Z530" s="199"/>
      <c r="AC530" s="71"/>
      <c r="AG530" s="54"/>
      <c r="AH530" s="55">
        <f>'NRB 공장 내부 배치도'!L27</f>
        <v>0</v>
      </c>
      <c r="AI530" s="199"/>
      <c r="AK530" s="54"/>
      <c r="AL530" s="55">
        <f>'NRB 공장 내부 배치도'!M27</f>
        <v>0</v>
      </c>
      <c r="AM530" s="199"/>
      <c r="AO530" s="54"/>
      <c r="AP530" s="55">
        <f>'NRB 공장 내부 배치도'!N27</f>
        <v>0</v>
      </c>
      <c r="AQ530" s="199"/>
      <c r="AU530" s="54"/>
      <c r="AV530" s="55">
        <f>'NRB 공장 내부 배치도'!P27</f>
        <v>0</v>
      </c>
      <c r="AW530" s="199"/>
      <c r="AY530" s="54"/>
      <c r="AZ530" s="55">
        <f>'NRB 공장 내부 배치도'!Q27</f>
        <v>0</v>
      </c>
      <c r="BA530" s="199"/>
      <c r="BC530" s="54"/>
      <c r="BD530" s="55">
        <f>'NRB 공장 내부 배치도'!R27</f>
        <v>0</v>
      </c>
      <c r="BE530" s="199"/>
      <c r="BF530" s="204"/>
      <c r="BH530" s="71"/>
      <c r="BL530" s="54"/>
      <c r="BM530" s="55">
        <f>'NRB 공장 내부 배치도'!U27</f>
        <v>0</v>
      </c>
      <c r="BN530" s="56"/>
      <c r="BP530" s="11"/>
      <c r="BQ530" s="55">
        <f>'NRB 공장 내부 배치도'!V27</f>
        <v>0</v>
      </c>
      <c r="BR530" s="24"/>
      <c r="BV530" s="54"/>
      <c r="BW530" s="55">
        <f>'NRB 공장 내부 배치도'!X27</f>
        <v>0</v>
      </c>
      <c r="BX530" s="56"/>
      <c r="BZ530" s="54"/>
      <c r="CA530" s="55">
        <f>'NRB 공장 내부 배치도'!Y27</f>
        <v>0</v>
      </c>
      <c r="CB530" s="56"/>
      <c r="CF530" s="71"/>
      <c r="CG530" s="71"/>
      <c r="CH530" s="71"/>
      <c r="CL530" s="21"/>
      <c r="CM530" s="21"/>
      <c r="CN530" s="21"/>
    </row>
    <row r="531" spans="2:92">
      <c r="B531" s="34">
        <v>1</v>
      </c>
      <c r="C531" s="2"/>
      <c r="D531" s="205"/>
      <c r="F531" s="34">
        <v>1</v>
      </c>
      <c r="G531" s="2"/>
      <c r="H531" s="205"/>
      <c r="J531" s="34">
        <v>1</v>
      </c>
      <c r="K531" s="2"/>
      <c r="L531" s="205"/>
      <c r="P531" s="34">
        <v>1</v>
      </c>
      <c r="Q531" s="3"/>
      <c r="R531" s="77"/>
      <c r="T531" s="34">
        <v>1</v>
      </c>
      <c r="U531" s="3"/>
      <c r="V531" s="77"/>
      <c r="X531" s="34">
        <v>1</v>
      </c>
      <c r="Y531" s="252"/>
      <c r="Z531" s="253"/>
      <c r="AC531" s="5"/>
      <c r="AG531" s="34">
        <v>1</v>
      </c>
      <c r="AH531" s="3"/>
      <c r="AI531" s="77"/>
      <c r="AK531" s="34">
        <v>1</v>
      </c>
      <c r="AL531" s="3"/>
      <c r="AM531" s="77"/>
      <c r="AO531" s="34">
        <v>1</v>
      </c>
      <c r="AP531" s="3"/>
      <c r="AQ531" s="77"/>
      <c r="AU531" s="34">
        <v>1</v>
      </c>
      <c r="AV531" s="3"/>
      <c r="AW531" s="77"/>
      <c r="AY531" s="34">
        <v>1</v>
      </c>
      <c r="AZ531" s="3"/>
      <c r="BA531" s="205"/>
      <c r="BC531" s="34">
        <v>1</v>
      </c>
      <c r="BD531" s="3"/>
      <c r="BE531" s="77"/>
      <c r="BH531" s="5"/>
      <c r="BL531" s="36">
        <v>1</v>
      </c>
      <c r="BM531" s="3"/>
      <c r="BN531" s="4"/>
      <c r="BP531" s="34">
        <v>1</v>
      </c>
      <c r="BQ531" s="3"/>
      <c r="BR531" s="4"/>
      <c r="BV531" s="36">
        <v>1</v>
      </c>
      <c r="BW531" s="3"/>
      <c r="BX531" s="77"/>
      <c r="BZ531" s="36">
        <v>1</v>
      </c>
      <c r="CA531" s="3"/>
      <c r="CB531" s="77"/>
      <c r="CL531" s="10"/>
      <c r="CM531" s="8"/>
      <c r="CN531" s="1"/>
    </row>
    <row r="532" spans="2:92">
      <c r="B532" s="34">
        <v>2</v>
      </c>
      <c r="C532" s="2"/>
      <c r="D532" s="205"/>
      <c r="F532" s="34">
        <v>2</v>
      </c>
      <c r="G532" s="2"/>
      <c r="H532" s="205"/>
      <c r="J532" s="34">
        <v>2</v>
      </c>
      <c r="K532" s="2"/>
      <c r="L532" s="205"/>
      <c r="P532" s="34">
        <v>2</v>
      </c>
      <c r="Q532" s="3"/>
      <c r="R532" s="77"/>
      <c r="T532" s="34">
        <v>2</v>
      </c>
      <c r="U532" s="3"/>
      <c r="V532" s="77"/>
      <c r="X532" s="34">
        <v>2</v>
      </c>
      <c r="Y532" s="252"/>
      <c r="Z532" s="253"/>
      <c r="AC532" s="5"/>
      <c r="AG532" s="34">
        <v>2</v>
      </c>
      <c r="AH532" s="3"/>
      <c r="AI532" s="77"/>
      <c r="AK532" s="34">
        <v>2</v>
      </c>
      <c r="AL532" s="3"/>
      <c r="AM532" s="77"/>
      <c r="AO532" s="34">
        <v>2</v>
      </c>
      <c r="AP532" s="3"/>
      <c r="AQ532" s="77"/>
      <c r="AU532" s="34">
        <v>2</v>
      </c>
      <c r="AV532" s="3"/>
      <c r="AW532" s="77"/>
      <c r="AY532" s="34">
        <v>2</v>
      </c>
      <c r="AZ532" s="3"/>
      <c r="BA532" s="77"/>
      <c r="BC532" s="34">
        <v>2</v>
      </c>
      <c r="BD532" s="3"/>
      <c r="BE532" s="77"/>
      <c r="BH532" s="5"/>
      <c r="BL532" s="36">
        <v>2</v>
      </c>
      <c r="BM532" s="3"/>
      <c r="BN532" s="4"/>
      <c r="BP532" s="34">
        <v>2</v>
      </c>
      <c r="BQ532" s="3"/>
      <c r="BR532" s="4"/>
      <c r="BV532" s="36">
        <v>2</v>
      </c>
      <c r="BW532" s="3"/>
      <c r="BX532" s="77"/>
      <c r="BZ532" s="36">
        <v>2</v>
      </c>
      <c r="CA532" s="3"/>
      <c r="CB532" s="77"/>
      <c r="CL532" s="10"/>
      <c r="CM532" s="8"/>
      <c r="CN532" s="1"/>
    </row>
    <row r="533" spans="2:92">
      <c r="B533" s="34">
        <v>3</v>
      </c>
      <c r="C533" s="2"/>
      <c r="D533" s="205"/>
      <c r="F533" s="34">
        <v>3</v>
      </c>
      <c r="G533" s="2"/>
      <c r="H533" s="205"/>
      <c r="J533" s="34">
        <v>3</v>
      </c>
      <c r="K533" s="2"/>
      <c r="L533" s="205"/>
      <c r="P533" s="34">
        <v>3</v>
      </c>
      <c r="Q533" s="3"/>
      <c r="R533" s="77"/>
      <c r="T533" s="34">
        <v>3</v>
      </c>
      <c r="U533" s="3"/>
      <c r="V533" s="77"/>
      <c r="X533" s="34">
        <v>3</v>
      </c>
      <c r="Y533" s="252"/>
      <c r="Z533" s="253"/>
      <c r="AC533" s="5"/>
      <c r="AG533" s="34">
        <v>3</v>
      </c>
      <c r="AH533" s="3"/>
      <c r="AI533" s="77"/>
      <c r="AK533" s="34">
        <v>3</v>
      </c>
      <c r="AL533" s="3"/>
      <c r="AM533" s="77"/>
      <c r="AO533" s="34">
        <v>3</v>
      </c>
      <c r="AP533" s="3"/>
      <c r="AQ533" s="77"/>
      <c r="AU533" s="34">
        <v>3</v>
      </c>
      <c r="AV533" s="3"/>
      <c r="AW533" s="77"/>
      <c r="AY533" s="34">
        <v>3</v>
      </c>
      <c r="AZ533" s="3"/>
      <c r="BA533" s="77"/>
      <c r="BC533" s="34">
        <v>3</v>
      </c>
      <c r="BD533" s="3"/>
      <c r="BE533" s="77"/>
      <c r="BH533" s="5"/>
      <c r="BL533" s="36">
        <v>3</v>
      </c>
      <c r="BM533" s="3"/>
      <c r="BN533" s="4"/>
      <c r="BP533" s="34">
        <v>3</v>
      </c>
      <c r="BQ533" s="3"/>
      <c r="BR533" s="4"/>
      <c r="BV533" s="36">
        <v>3</v>
      </c>
      <c r="BW533" s="3"/>
      <c r="BX533" s="77"/>
      <c r="BZ533" s="36">
        <v>3</v>
      </c>
      <c r="CA533" s="3"/>
      <c r="CB533" s="77"/>
      <c r="CL533" s="10"/>
      <c r="CM533" s="8"/>
      <c r="CN533" s="1"/>
    </row>
    <row r="534" spans="2:92">
      <c r="B534" s="34">
        <v>4</v>
      </c>
      <c r="C534" s="2"/>
      <c r="D534" s="205"/>
      <c r="F534" s="34">
        <v>4</v>
      </c>
      <c r="G534" s="2"/>
      <c r="H534" s="205"/>
      <c r="J534" s="34">
        <v>4</v>
      </c>
      <c r="K534" s="2"/>
      <c r="L534" s="205"/>
      <c r="P534" s="34">
        <v>4</v>
      </c>
      <c r="Q534" s="3"/>
      <c r="R534" s="77"/>
      <c r="T534" s="34">
        <v>4</v>
      </c>
      <c r="U534" s="3"/>
      <c r="V534" s="77"/>
      <c r="X534" s="34">
        <v>4</v>
      </c>
      <c r="Y534" s="252"/>
      <c r="Z534" s="253"/>
      <c r="AC534" s="5"/>
      <c r="AG534" s="34">
        <v>4</v>
      </c>
      <c r="AH534" s="3"/>
      <c r="AI534" s="77"/>
      <c r="AK534" s="34">
        <v>4</v>
      </c>
      <c r="AL534" s="3"/>
      <c r="AM534" s="77"/>
      <c r="AO534" s="34">
        <v>4</v>
      </c>
      <c r="AP534" s="3"/>
      <c r="AQ534" s="77"/>
      <c r="AU534" s="34">
        <v>4</v>
      </c>
      <c r="AV534" s="3"/>
      <c r="AW534" s="77"/>
      <c r="AY534" s="34">
        <v>4</v>
      </c>
      <c r="AZ534" s="3"/>
      <c r="BA534" s="77"/>
      <c r="BC534" s="34">
        <v>4</v>
      </c>
      <c r="BD534" s="3"/>
      <c r="BE534" s="77"/>
      <c r="BH534" s="5"/>
      <c r="BL534" s="36">
        <v>4</v>
      </c>
      <c r="BM534" s="3"/>
      <c r="BN534" s="4"/>
      <c r="BP534" s="34">
        <v>4</v>
      </c>
      <c r="BQ534" s="3"/>
      <c r="BR534" s="4"/>
      <c r="BV534" s="36">
        <v>4</v>
      </c>
      <c r="BW534" s="3"/>
      <c r="BX534" s="77"/>
      <c r="BZ534" s="36">
        <v>4</v>
      </c>
      <c r="CA534" s="3"/>
      <c r="CB534" s="77"/>
      <c r="CL534" s="10"/>
      <c r="CM534" s="8"/>
      <c r="CN534" s="1"/>
    </row>
    <row r="535" spans="2:92">
      <c r="B535" s="34">
        <v>5</v>
      </c>
      <c r="C535" s="2"/>
      <c r="D535" s="205"/>
      <c r="F535" s="34">
        <v>5</v>
      </c>
      <c r="G535" s="2"/>
      <c r="H535" s="205"/>
      <c r="J535" s="34">
        <v>5</v>
      </c>
      <c r="K535" s="2"/>
      <c r="L535" s="205"/>
      <c r="P535" s="34">
        <v>5</v>
      </c>
      <c r="Q535" s="3"/>
      <c r="R535" s="77"/>
      <c r="T535" s="34">
        <v>5</v>
      </c>
      <c r="U535" s="3"/>
      <c r="V535" s="77"/>
      <c r="X535" s="34">
        <v>5</v>
      </c>
      <c r="Y535" s="252"/>
      <c r="Z535" s="253"/>
      <c r="AC535" s="5"/>
      <c r="AG535" s="34">
        <v>5</v>
      </c>
      <c r="AH535" s="3"/>
      <c r="AI535" s="77"/>
      <c r="AK535" s="34">
        <v>5</v>
      </c>
      <c r="AL535" s="3"/>
      <c r="AM535" s="77"/>
      <c r="AO535" s="34">
        <v>5</v>
      </c>
      <c r="AP535" s="3"/>
      <c r="AQ535" s="77"/>
      <c r="AU535" s="34">
        <v>5</v>
      </c>
      <c r="AV535" s="3"/>
      <c r="AW535" s="77"/>
      <c r="AY535" s="34">
        <v>5</v>
      </c>
      <c r="AZ535" s="3"/>
      <c r="BA535" s="77"/>
      <c r="BC535" s="34">
        <v>5</v>
      </c>
      <c r="BD535" s="3"/>
      <c r="BE535" s="77"/>
      <c r="BH535" s="5"/>
      <c r="BL535" s="36">
        <v>5</v>
      </c>
      <c r="BM535" s="3"/>
      <c r="BN535" s="4"/>
      <c r="BP535" s="34">
        <v>5</v>
      </c>
      <c r="BQ535" s="3"/>
      <c r="BR535" s="4"/>
      <c r="BV535" s="36">
        <v>5</v>
      </c>
      <c r="BW535" s="3"/>
      <c r="BX535" s="77"/>
      <c r="BZ535" s="36">
        <v>5</v>
      </c>
      <c r="CA535" s="3"/>
      <c r="CB535" s="77"/>
      <c r="CL535" s="10"/>
      <c r="CM535" s="8"/>
      <c r="CN535" s="1"/>
    </row>
    <row r="536" spans="2:92">
      <c r="B536" s="34">
        <v>6</v>
      </c>
      <c r="C536" s="2"/>
      <c r="D536" s="205"/>
      <c r="F536" s="34">
        <v>6</v>
      </c>
      <c r="G536" s="2"/>
      <c r="H536" s="205"/>
      <c r="J536" s="34">
        <v>6</v>
      </c>
      <c r="K536" s="2"/>
      <c r="L536" s="205"/>
      <c r="P536" s="34">
        <v>6</v>
      </c>
      <c r="Q536" s="3"/>
      <c r="R536" s="77"/>
      <c r="T536" s="34">
        <v>6</v>
      </c>
      <c r="U536" s="3"/>
      <c r="V536" s="77"/>
      <c r="X536" s="34">
        <v>6</v>
      </c>
      <c r="Y536" s="252"/>
      <c r="Z536" s="253"/>
      <c r="AC536" s="5"/>
      <c r="AG536" s="34">
        <v>6</v>
      </c>
      <c r="AH536" s="3"/>
      <c r="AI536" s="77"/>
      <c r="AK536" s="34">
        <v>6</v>
      </c>
      <c r="AL536" s="3"/>
      <c r="AM536" s="77"/>
      <c r="AO536" s="34">
        <v>6</v>
      </c>
      <c r="AP536" s="3"/>
      <c r="AQ536" s="77"/>
      <c r="AU536" s="34">
        <v>6</v>
      </c>
      <c r="AV536" s="3"/>
      <c r="AW536" s="77"/>
      <c r="AY536" s="34">
        <v>6</v>
      </c>
      <c r="AZ536" s="3"/>
      <c r="BA536" s="77"/>
      <c r="BC536" s="34">
        <v>6</v>
      </c>
      <c r="BD536" s="3"/>
      <c r="BE536" s="77"/>
      <c r="BH536" s="5"/>
      <c r="BL536" s="36">
        <v>6</v>
      </c>
      <c r="BM536" s="3"/>
      <c r="BN536" s="4"/>
      <c r="BP536" s="34">
        <v>6</v>
      </c>
      <c r="BQ536" s="3"/>
      <c r="BR536" s="4"/>
      <c r="BV536" s="36">
        <v>6</v>
      </c>
      <c r="BW536" s="3"/>
      <c r="BX536" s="77"/>
      <c r="BZ536" s="36">
        <v>6</v>
      </c>
      <c r="CA536" s="3"/>
      <c r="CB536" s="77"/>
      <c r="CL536" s="10"/>
      <c r="CM536" s="8"/>
      <c r="CN536" s="1"/>
    </row>
    <row r="537" spans="2:92">
      <c r="B537" s="34">
        <v>7</v>
      </c>
      <c r="C537" s="2"/>
      <c r="D537" s="205"/>
      <c r="F537" s="34">
        <v>7</v>
      </c>
      <c r="G537" s="2"/>
      <c r="H537" s="205"/>
      <c r="J537" s="34">
        <v>7</v>
      </c>
      <c r="K537" s="2"/>
      <c r="L537" s="205"/>
      <c r="P537" s="34">
        <v>7</v>
      </c>
      <c r="Q537" s="3"/>
      <c r="R537" s="77"/>
      <c r="T537" s="34">
        <v>7</v>
      </c>
      <c r="U537" s="3"/>
      <c r="V537" s="77"/>
      <c r="X537" s="34">
        <v>7</v>
      </c>
      <c r="Y537" s="252"/>
      <c r="Z537" s="253"/>
      <c r="AC537" s="5"/>
      <c r="AG537" s="34">
        <v>7</v>
      </c>
      <c r="AH537" s="3"/>
      <c r="AI537" s="77"/>
      <c r="AK537" s="34">
        <v>7</v>
      </c>
      <c r="AL537" s="3"/>
      <c r="AM537" s="77"/>
      <c r="AO537" s="34">
        <v>7</v>
      </c>
      <c r="AP537" s="3"/>
      <c r="AQ537" s="77"/>
      <c r="AU537" s="34">
        <v>7</v>
      </c>
      <c r="AV537" s="3"/>
      <c r="AW537" s="77"/>
      <c r="AY537" s="34">
        <v>7</v>
      </c>
      <c r="AZ537" s="3"/>
      <c r="BA537" s="77"/>
      <c r="BC537" s="34">
        <v>7</v>
      </c>
      <c r="BD537" s="3"/>
      <c r="BE537" s="77"/>
      <c r="BH537" s="5"/>
      <c r="BL537" s="36">
        <v>7</v>
      </c>
      <c r="BM537" s="3"/>
      <c r="BN537" s="4"/>
      <c r="BP537" s="34">
        <v>7</v>
      </c>
      <c r="BQ537" s="3"/>
      <c r="BR537" s="4"/>
      <c r="BV537" s="36">
        <v>7</v>
      </c>
      <c r="BW537" s="3"/>
      <c r="BX537" s="77"/>
      <c r="BZ537" s="36">
        <v>7</v>
      </c>
      <c r="CA537" s="3"/>
      <c r="CB537" s="77"/>
      <c r="CL537" s="10"/>
      <c r="CM537" s="8"/>
      <c r="CN537" s="1"/>
    </row>
    <row r="538" spans="2:92">
      <c r="B538" s="34">
        <v>8</v>
      </c>
      <c r="C538" s="2"/>
      <c r="D538" s="205"/>
      <c r="F538" s="34">
        <v>8</v>
      </c>
      <c r="G538" s="2"/>
      <c r="H538" s="205"/>
      <c r="J538" s="34">
        <v>8</v>
      </c>
      <c r="K538" s="2"/>
      <c r="L538" s="205"/>
      <c r="P538" s="34">
        <v>8</v>
      </c>
      <c r="Q538" s="3"/>
      <c r="R538" s="77"/>
      <c r="T538" s="34">
        <v>8</v>
      </c>
      <c r="U538" s="3"/>
      <c r="V538" s="77"/>
      <c r="X538" s="34">
        <v>8</v>
      </c>
      <c r="Y538" s="252"/>
      <c r="Z538" s="253"/>
      <c r="AC538" s="5"/>
      <c r="AG538" s="34">
        <v>8</v>
      </c>
      <c r="AH538" s="3"/>
      <c r="AI538" s="77"/>
      <c r="AK538" s="34">
        <v>8</v>
      </c>
      <c r="AL538" s="3"/>
      <c r="AM538" s="77"/>
      <c r="AO538" s="34">
        <v>8</v>
      </c>
      <c r="AP538" s="3"/>
      <c r="AQ538" s="77"/>
      <c r="AU538" s="34">
        <v>8</v>
      </c>
      <c r="AV538" s="3"/>
      <c r="AW538" s="77"/>
      <c r="AY538" s="34">
        <v>8</v>
      </c>
      <c r="AZ538" s="3"/>
      <c r="BA538" s="77"/>
      <c r="BC538" s="34">
        <v>8</v>
      </c>
      <c r="BD538" s="3"/>
      <c r="BE538" s="77"/>
      <c r="BH538" s="5"/>
      <c r="BL538" s="36">
        <v>8</v>
      </c>
      <c r="BM538" s="3"/>
      <c r="BN538" s="4"/>
      <c r="BP538" s="34">
        <v>8</v>
      </c>
      <c r="BQ538" s="3"/>
      <c r="BR538" s="4"/>
      <c r="BV538" s="36">
        <v>8</v>
      </c>
      <c r="BW538" s="3"/>
      <c r="BX538" s="77"/>
      <c r="BZ538" s="36">
        <v>8</v>
      </c>
      <c r="CA538" s="3"/>
      <c r="CB538" s="77"/>
      <c r="CL538" s="10"/>
      <c r="CM538" s="8"/>
      <c r="CN538" s="1"/>
    </row>
    <row r="539" spans="2:92">
      <c r="B539" s="34">
        <v>9</v>
      </c>
      <c r="C539" s="2"/>
      <c r="D539" s="205"/>
      <c r="F539" s="34">
        <v>9</v>
      </c>
      <c r="G539" s="2"/>
      <c r="H539" s="205"/>
      <c r="J539" s="34">
        <v>9</v>
      </c>
      <c r="K539" s="2"/>
      <c r="L539" s="205"/>
      <c r="P539" s="34">
        <v>9</v>
      </c>
      <c r="Q539" s="3"/>
      <c r="R539" s="77"/>
      <c r="T539" s="34">
        <v>9</v>
      </c>
      <c r="U539" s="3"/>
      <c r="V539" s="77"/>
      <c r="X539" s="34">
        <v>9</v>
      </c>
      <c r="Y539" s="252"/>
      <c r="Z539" s="253"/>
      <c r="AC539" s="5"/>
      <c r="AG539" s="34">
        <v>9</v>
      </c>
      <c r="AH539" s="3"/>
      <c r="AI539" s="77"/>
      <c r="AK539" s="34">
        <v>9</v>
      </c>
      <c r="AL539" s="3"/>
      <c r="AM539" s="77"/>
      <c r="AO539" s="34">
        <v>9</v>
      </c>
      <c r="AP539" s="3"/>
      <c r="AQ539" s="77"/>
      <c r="AU539" s="34">
        <v>9</v>
      </c>
      <c r="AV539" s="3"/>
      <c r="AW539" s="77"/>
      <c r="AY539" s="34">
        <v>9</v>
      </c>
      <c r="AZ539" s="3"/>
      <c r="BA539" s="77"/>
      <c r="BC539" s="34">
        <v>9</v>
      </c>
      <c r="BD539" s="3"/>
      <c r="BE539" s="77"/>
      <c r="BH539" s="5"/>
      <c r="BL539" s="36">
        <v>9</v>
      </c>
      <c r="BM539" s="3"/>
      <c r="BN539" s="4"/>
      <c r="BP539" s="34">
        <v>9</v>
      </c>
      <c r="BQ539" s="3"/>
      <c r="BR539" s="4"/>
      <c r="BV539" s="36">
        <v>9</v>
      </c>
      <c r="BW539" s="3"/>
      <c r="BX539" s="4"/>
      <c r="BZ539" s="36">
        <v>9</v>
      </c>
      <c r="CA539" s="3"/>
      <c r="CB539" s="77"/>
      <c r="CL539" s="10"/>
      <c r="CM539" s="8"/>
      <c r="CN539" s="1"/>
    </row>
    <row r="540" spans="2:92">
      <c r="B540" s="34">
        <v>10</v>
      </c>
      <c r="C540" s="2"/>
      <c r="D540" s="205"/>
      <c r="F540" s="34">
        <v>10</v>
      </c>
      <c r="G540" s="2"/>
      <c r="H540" s="205"/>
      <c r="J540" s="34">
        <v>10</v>
      </c>
      <c r="K540" s="2"/>
      <c r="L540" s="205"/>
      <c r="P540" s="34">
        <v>10</v>
      </c>
      <c r="Q540" s="3"/>
      <c r="R540" s="77"/>
      <c r="T540" s="34">
        <v>10</v>
      </c>
      <c r="U540" s="3"/>
      <c r="V540" s="77"/>
      <c r="X540" s="34">
        <v>10</v>
      </c>
      <c r="Y540" s="252"/>
      <c r="Z540" s="253"/>
      <c r="AC540" s="5"/>
      <c r="AG540" s="34">
        <v>10</v>
      </c>
      <c r="AH540" s="3"/>
      <c r="AI540" s="77"/>
      <c r="AK540" s="34">
        <v>10</v>
      </c>
      <c r="AL540" s="3"/>
      <c r="AM540" s="77"/>
      <c r="AO540" s="34">
        <v>10</v>
      </c>
      <c r="AP540" s="3"/>
      <c r="AQ540" s="77"/>
      <c r="AU540" s="34">
        <v>10</v>
      </c>
      <c r="AV540" s="3"/>
      <c r="AW540" s="77"/>
      <c r="AY540" s="34">
        <v>10</v>
      </c>
      <c r="AZ540" s="3"/>
      <c r="BA540" s="77"/>
      <c r="BC540" s="34">
        <v>10</v>
      </c>
      <c r="BD540" s="3"/>
      <c r="BE540" s="77"/>
      <c r="BH540" s="5"/>
      <c r="BL540" s="36">
        <v>10</v>
      </c>
      <c r="BM540" s="3"/>
      <c r="BN540" s="4"/>
      <c r="BP540" s="34">
        <v>10</v>
      </c>
      <c r="BQ540" s="3"/>
      <c r="BR540" s="4"/>
      <c r="BV540" s="36">
        <v>10</v>
      </c>
      <c r="BW540" s="3"/>
      <c r="BX540" s="77"/>
      <c r="BZ540" s="36">
        <v>10</v>
      </c>
      <c r="CA540" s="3"/>
      <c r="CB540" s="77"/>
      <c r="CL540" s="10"/>
      <c r="CM540" s="8"/>
      <c r="CN540" s="1"/>
    </row>
    <row r="541" spans="2:92">
      <c r="B541" s="34">
        <v>11</v>
      </c>
      <c r="C541" s="2"/>
      <c r="D541" s="205"/>
      <c r="F541" s="34">
        <v>11</v>
      </c>
      <c r="G541" s="2"/>
      <c r="H541" s="205"/>
      <c r="J541" s="34">
        <v>11</v>
      </c>
      <c r="K541" s="2"/>
      <c r="L541" s="205"/>
      <c r="P541" s="34">
        <v>11</v>
      </c>
      <c r="Q541" s="3"/>
      <c r="R541" s="77"/>
      <c r="T541" s="34">
        <v>11</v>
      </c>
      <c r="U541" s="3"/>
      <c r="V541" s="77"/>
      <c r="X541" s="34">
        <v>11</v>
      </c>
      <c r="Y541" s="252"/>
      <c r="Z541" s="253"/>
      <c r="AC541" s="5"/>
      <c r="AG541" s="34">
        <v>11</v>
      </c>
      <c r="AH541" s="3"/>
      <c r="AI541" s="77"/>
      <c r="AK541" s="34">
        <v>11</v>
      </c>
      <c r="AL541" s="3"/>
      <c r="AM541" s="77"/>
      <c r="AO541" s="34">
        <v>11</v>
      </c>
      <c r="AP541" s="3"/>
      <c r="AQ541" s="77"/>
      <c r="AU541" s="34">
        <v>11</v>
      </c>
      <c r="AV541" s="3"/>
      <c r="AW541" s="77"/>
      <c r="AY541" s="34">
        <v>11</v>
      </c>
      <c r="AZ541" s="3"/>
      <c r="BA541" s="77"/>
      <c r="BC541" s="34">
        <v>11</v>
      </c>
      <c r="BD541" s="3"/>
      <c r="BE541" s="77"/>
      <c r="BH541" s="5"/>
      <c r="BL541" s="36">
        <v>11</v>
      </c>
      <c r="BM541" s="3"/>
      <c r="BN541" s="4"/>
      <c r="BP541" s="34">
        <v>11</v>
      </c>
      <c r="BQ541" s="3"/>
      <c r="BR541" s="4"/>
      <c r="BV541" s="36">
        <v>11</v>
      </c>
      <c r="BW541" s="3"/>
      <c r="BX541" s="4"/>
      <c r="BZ541" s="36">
        <v>11</v>
      </c>
      <c r="CA541" s="3"/>
      <c r="CB541" s="4"/>
      <c r="CL541" s="10"/>
      <c r="CM541" s="8"/>
      <c r="CN541" s="1"/>
    </row>
    <row r="542" spans="2:92">
      <c r="B542" s="34">
        <v>12</v>
      </c>
      <c r="C542" s="2"/>
      <c r="D542" s="205"/>
      <c r="F542" s="34">
        <v>12</v>
      </c>
      <c r="G542" s="2"/>
      <c r="H542" s="205"/>
      <c r="J542" s="34">
        <v>12</v>
      </c>
      <c r="K542" s="2"/>
      <c r="L542" s="205"/>
      <c r="P542" s="34">
        <v>12</v>
      </c>
      <c r="Q542" s="3"/>
      <c r="R542" s="77"/>
      <c r="T542" s="34">
        <v>12</v>
      </c>
      <c r="U542" s="3"/>
      <c r="V542" s="77"/>
      <c r="X542" s="34">
        <v>12</v>
      </c>
      <c r="Y542" s="252"/>
      <c r="Z542" s="253"/>
      <c r="AC542" s="5"/>
      <c r="AG542" s="34">
        <v>12</v>
      </c>
      <c r="AH542" s="3"/>
      <c r="AI542" s="77"/>
      <c r="AK542" s="34">
        <v>12</v>
      </c>
      <c r="AL542" s="3"/>
      <c r="AM542" s="77"/>
      <c r="AO542" s="34">
        <v>12</v>
      </c>
      <c r="AP542" s="3"/>
      <c r="AQ542" s="77"/>
      <c r="AU542" s="34">
        <v>12</v>
      </c>
      <c r="AV542" s="3"/>
      <c r="AW542" s="77"/>
      <c r="AY542" s="34">
        <v>12</v>
      </c>
      <c r="AZ542" s="3"/>
      <c r="BA542" s="77"/>
      <c r="BC542" s="34">
        <v>12</v>
      </c>
      <c r="BD542" s="3"/>
      <c r="BE542" s="77"/>
      <c r="BH542" s="5"/>
      <c r="BL542" s="36">
        <v>12</v>
      </c>
      <c r="BM542" s="3"/>
      <c r="BN542" s="4"/>
      <c r="BP542" s="34">
        <v>12</v>
      </c>
      <c r="BQ542" s="3"/>
      <c r="BR542" s="4"/>
      <c r="BV542" s="36">
        <v>12</v>
      </c>
      <c r="BW542" s="3"/>
      <c r="BX542" s="77"/>
      <c r="BZ542" s="36">
        <v>12</v>
      </c>
      <c r="CA542" s="3"/>
      <c r="CB542" s="77"/>
      <c r="CL542" s="10"/>
      <c r="CM542" s="8"/>
      <c r="CN542" s="1"/>
    </row>
    <row r="543" spans="2:92">
      <c r="B543" s="34">
        <v>13</v>
      </c>
      <c r="C543" s="2"/>
      <c r="D543" s="205"/>
      <c r="F543" s="34">
        <v>13</v>
      </c>
      <c r="G543" s="2"/>
      <c r="H543" s="205"/>
      <c r="J543" s="34">
        <v>13</v>
      </c>
      <c r="K543" s="2"/>
      <c r="L543" s="205"/>
      <c r="P543" s="34">
        <v>13</v>
      </c>
      <c r="Q543" s="3"/>
      <c r="R543" s="77"/>
      <c r="T543" s="34">
        <v>13</v>
      </c>
      <c r="U543" s="3"/>
      <c r="V543" s="77"/>
      <c r="X543" s="34">
        <v>13</v>
      </c>
      <c r="Y543" s="252"/>
      <c r="Z543" s="253"/>
      <c r="AC543" s="5"/>
      <c r="AG543" s="34">
        <v>13</v>
      </c>
      <c r="AH543" s="3"/>
      <c r="AI543" s="77"/>
      <c r="AK543" s="34">
        <v>13</v>
      </c>
      <c r="AL543" s="3"/>
      <c r="AM543" s="77"/>
      <c r="AO543" s="34">
        <v>13</v>
      </c>
      <c r="AP543" s="3"/>
      <c r="AQ543" s="77"/>
      <c r="AU543" s="34">
        <v>13</v>
      </c>
      <c r="AV543" s="3"/>
      <c r="AW543" s="77"/>
      <c r="AY543" s="34">
        <v>13</v>
      </c>
      <c r="AZ543" s="3"/>
      <c r="BA543" s="77"/>
      <c r="BC543" s="34">
        <v>13</v>
      </c>
      <c r="BD543" s="3"/>
      <c r="BE543" s="77"/>
      <c r="BH543" s="5"/>
      <c r="BL543" s="36">
        <v>13</v>
      </c>
      <c r="BM543" s="3"/>
      <c r="BN543" s="4"/>
      <c r="BP543" s="34">
        <v>13</v>
      </c>
      <c r="BQ543" s="3"/>
      <c r="BR543" s="4"/>
      <c r="BV543" s="36">
        <v>13</v>
      </c>
      <c r="BW543" s="3"/>
      <c r="BX543" s="4"/>
      <c r="BZ543" s="36">
        <v>13</v>
      </c>
      <c r="CA543" s="3"/>
      <c r="CB543" s="77"/>
      <c r="CL543" s="10"/>
      <c r="CM543" s="8"/>
      <c r="CN543" s="1"/>
    </row>
    <row r="544" spans="2:92">
      <c r="B544" s="34">
        <v>14</v>
      </c>
      <c r="C544" s="3"/>
      <c r="D544" s="77"/>
      <c r="F544" s="34">
        <v>14</v>
      </c>
      <c r="G544" s="2"/>
      <c r="H544" s="205"/>
      <c r="J544" s="34">
        <v>14</v>
      </c>
      <c r="K544" s="2"/>
      <c r="L544" s="205"/>
      <c r="P544" s="34">
        <v>14</v>
      </c>
      <c r="Q544" s="3"/>
      <c r="R544" s="77"/>
      <c r="T544" s="34">
        <v>14</v>
      </c>
      <c r="U544" s="3"/>
      <c r="V544" s="77"/>
      <c r="X544" s="34">
        <v>14</v>
      </c>
      <c r="Y544" s="252"/>
      <c r="Z544" s="253"/>
      <c r="AC544" s="5"/>
      <c r="AG544" s="34">
        <v>14</v>
      </c>
      <c r="AH544" s="3"/>
      <c r="AI544" s="77"/>
      <c r="AK544" s="34">
        <v>14</v>
      </c>
      <c r="AL544" s="3"/>
      <c r="AM544" s="77"/>
      <c r="AO544" s="34">
        <v>14</v>
      </c>
      <c r="AP544" s="3"/>
      <c r="AQ544" s="77"/>
      <c r="AU544" s="34">
        <v>14</v>
      </c>
      <c r="AV544" s="3"/>
      <c r="AW544" s="77"/>
      <c r="AY544" s="34">
        <v>14</v>
      </c>
      <c r="AZ544" s="3"/>
      <c r="BA544" s="77"/>
      <c r="BC544" s="34">
        <v>14</v>
      </c>
      <c r="BD544" s="3"/>
      <c r="BE544" s="77"/>
      <c r="BH544" s="5"/>
      <c r="BL544" s="36">
        <v>14</v>
      </c>
      <c r="BM544" s="3"/>
      <c r="BN544" s="4"/>
      <c r="BP544" s="34">
        <v>14</v>
      </c>
      <c r="BQ544" s="3"/>
      <c r="BR544" s="4"/>
      <c r="BV544" s="36">
        <v>14</v>
      </c>
      <c r="BW544" s="3"/>
      <c r="BX544" s="4"/>
      <c r="BZ544" s="36">
        <v>14</v>
      </c>
      <c r="CA544" s="3"/>
      <c r="CB544" s="77"/>
      <c r="CL544" s="10"/>
      <c r="CM544" s="8"/>
      <c r="CN544" s="1"/>
    </row>
    <row r="545" spans="2:92">
      <c r="B545" s="34">
        <v>15</v>
      </c>
      <c r="C545" s="3"/>
      <c r="D545" s="77"/>
      <c r="F545" s="34">
        <v>15</v>
      </c>
      <c r="G545" s="2"/>
      <c r="H545" s="205"/>
      <c r="J545" s="34">
        <v>15</v>
      </c>
      <c r="K545" s="3"/>
      <c r="L545" s="77"/>
      <c r="P545" s="34">
        <v>15</v>
      </c>
      <c r="Q545" s="3"/>
      <c r="R545" s="77"/>
      <c r="T545" s="34">
        <v>15</v>
      </c>
      <c r="U545" s="3"/>
      <c r="V545" s="77"/>
      <c r="X545" s="34">
        <v>15</v>
      </c>
      <c r="Y545" s="252"/>
      <c r="Z545" s="253"/>
      <c r="AC545" s="5"/>
      <c r="AG545" s="34">
        <v>15</v>
      </c>
      <c r="AH545" s="3"/>
      <c r="AI545" s="77"/>
      <c r="AK545" s="34">
        <v>15</v>
      </c>
      <c r="AL545" s="3"/>
      <c r="AM545" s="77"/>
      <c r="AO545" s="34">
        <v>15</v>
      </c>
      <c r="AP545" s="3"/>
      <c r="AQ545" s="77"/>
      <c r="AU545" s="34">
        <v>15</v>
      </c>
      <c r="AV545" s="3"/>
      <c r="AW545" s="77"/>
      <c r="AY545" s="34">
        <v>15</v>
      </c>
      <c r="AZ545" s="3"/>
      <c r="BA545" s="77"/>
      <c r="BC545" s="34">
        <v>15</v>
      </c>
      <c r="BD545" s="3"/>
      <c r="BE545" s="77"/>
      <c r="BH545" s="5"/>
      <c r="BL545" s="36">
        <v>15</v>
      </c>
      <c r="BM545" s="3"/>
      <c r="BN545" s="4"/>
      <c r="BP545" s="34">
        <v>15</v>
      </c>
      <c r="BQ545" s="3"/>
      <c r="BR545" s="4"/>
      <c r="BV545" s="36">
        <v>15</v>
      </c>
      <c r="BW545" s="3"/>
      <c r="BX545" s="4"/>
      <c r="BZ545" s="36">
        <v>15</v>
      </c>
      <c r="CA545" s="3"/>
      <c r="CB545" s="77"/>
      <c r="CL545" s="10"/>
      <c r="CM545" s="8"/>
      <c r="CN545" s="1"/>
    </row>
    <row r="546" spans="2:92">
      <c r="B546" s="34">
        <v>16</v>
      </c>
      <c r="C546" s="3"/>
      <c r="D546" s="77"/>
      <c r="F546" s="34">
        <v>16</v>
      </c>
      <c r="G546" s="3"/>
      <c r="H546" s="77"/>
      <c r="J546" s="34">
        <v>16</v>
      </c>
      <c r="K546" s="3"/>
      <c r="L546" s="77"/>
      <c r="P546" s="34">
        <v>16</v>
      </c>
      <c r="Q546" s="3"/>
      <c r="R546" s="77"/>
      <c r="T546" s="34">
        <v>16</v>
      </c>
      <c r="U546" s="3"/>
      <c r="V546" s="77"/>
      <c r="X546" s="34">
        <v>16</v>
      </c>
      <c r="Y546" s="252"/>
      <c r="Z546" s="253"/>
      <c r="AC546" s="5"/>
      <c r="AG546" s="34">
        <v>16</v>
      </c>
      <c r="AH546" s="3"/>
      <c r="AI546" s="77"/>
      <c r="AK546" s="34">
        <v>16</v>
      </c>
      <c r="AL546" s="3"/>
      <c r="AM546" s="77"/>
      <c r="AO546" s="34">
        <v>16</v>
      </c>
      <c r="AP546" s="3"/>
      <c r="AQ546" s="77"/>
      <c r="AU546" s="34">
        <v>16</v>
      </c>
      <c r="AV546" s="3"/>
      <c r="AW546" s="77"/>
      <c r="AY546" s="34">
        <v>16</v>
      </c>
      <c r="AZ546" s="3"/>
      <c r="BA546" s="77"/>
      <c r="BC546" s="34">
        <v>16</v>
      </c>
      <c r="BD546" s="3"/>
      <c r="BE546" s="77"/>
      <c r="BH546" s="5"/>
      <c r="BL546" s="36">
        <v>16</v>
      </c>
      <c r="BM546" s="3"/>
      <c r="BN546" s="4"/>
      <c r="BP546" s="34">
        <v>16</v>
      </c>
      <c r="BQ546" s="3"/>
      <c r="BR546" s="4"/>
      <c r="BV546" s="36">
        <v>16</v>
      </c>
      <c r="BW546" s="3"/>
      <c r="BX546" s="4"/>
      <c r="BZ546" s="36">
        <v>16</v>
      </c>
      <c r="CA546" s="3"/>
      <c r="CB546" s="77"/>
      <c r="CL546" s="10"/>
      <c r="CM546" s="8"/>
      <c r="CN546" s="1"/>
    </row>
    <row r="547" spans="2:92">
      <c r="B547" s="34">
        <v>17</v>
      </c>
      <c r="C547" s="3"/>
      <c r="D547" s="77"/>
      <c r="F547" s="34">
        <v>17</v>
      </c>
      <c r="G547" s="3"/>
      <c r="H547" s="77"/>
      <c r="J547" s="34">
        <v>17</v>
      </c>
      <c r="K547" s="3"/>
      <c r="L547" s="77"/>
      <c r="P547" s="34">
        <v>17</v>
      </c>
      <c r="Q547" s="3"/>
      <c r="R547" s="77"/>
      <c r="T547" s="34">
        <v>17</v>
      </c>
      <c r="U547" s="3"/>
      <c r="V547" s="77"/>
      <c r="X547" s="34">
        <v>17</v>
      </c>
      <c r="Y547" s="252"/>
      <c r="Z547" s="253"/>
      <c r="AC547" s="5"/>
      <c r="AG547" s="34">
        <v>17</v>
      </c>
      <c r="AH547" s="3"/>
      <c r="AI547" s="77"/>
      <c r="AK547" s="34">
        <v>17</v>
      </c>
      <c r="AL547" s="3"/>
      <c r="AM547" s="77"/>
      <c r="AO547" s="34">
        <v>17</v>
      </c>
      <c r="AP547" s="3"/>
      <c r="AQ547" s="77"/>
      <c r="AU547" s="34">
        <v>17</v>
      </c>
      <c r="AV547" s="3"/>
      <c r="AW547" s="77"/>
      <c r="AY547" s="34">
        <v>17</v>
      </c>
      <c r="AZ547" s="3"/>
      <c r="BA547" s="77"/>
      <c r="BC547" s="34">
        <v>17</v>
      </c>
      <c r="BD547" s="3"/>
      <c r="BE547" s="77"/>
      <c r="BH547" s="5"/>
      <c r="BL547" s="36">
        <v>17</v>
      </c>
      <c r="BM547" s="3"/>
      <c r="BN547" s="4"/>
      <c r="BP547" s="34">
        <v>17</v>
      </c>
      <c r="BQ547" s="3"/>
      <c r="BR547" s="4"/>
      <c r="BV547" s="36">
        <v>17</v>
      </c>
      <c r="BW547" s="3"/>
      <c r="BX547" s="4"/>
      <c r="BZ547" s="36">
        <v>17</v>
      </c>
      <c r="CA547" s="3"/>
      <c r="CB547" s="77"/>
      <c r="CL547" s="10"/>
      <c r="CM547" s="8"/>
      <c r="CN547" s="1"/>
    </row>
    <row r="548" spans="2:92">
      <c r="B548" s="34">
        <v>18</v>
      </c>
      <c r="C548" s="3"/>
      <c r="D548" s="77"/>
      <c r="F548" s="34">
        <v>18</v>
      </c>
      <c r="G548" s="3"/>
      <c r="H548" s="77"/>
      <c r="J548" s="34">
        <v>18</v>
      </c>
      <c r="K548" s="3"/>
      <c r="L548" s="77"/>
      <c r="P548" s="34">
        <v>18</v>
      </c>
      <c r="Q548" s="3"/>
      <c r="R548" s="77"/>
      <c r="T548" s="34">
        <v>18</v>
      </c>
      <c r="U548" s="3"/>
      <c r="V548" s="77"/>
      <c r="X548" s="34">
        <v>18</v>
      </c>
      <c r="Y548" s="3"/>
      <c r="Z548" s="77"/>
      <c r="AC548" s="5"/>
      <c r="AG548" s="34">
        <v>18</v>
      </c>
      <c r="AH548" s="3"/>
      <c r="AI548" s="77"/>
      <c r="AK548" s="34">
        <v>18</v>
      </c>
      <c r="AL548" s="3"/>
      <c r="AM548" s="77"/>
      <c r="AO548" s="34">
        <v>18</v>
      </c>
      <c r="AP548" s="3"/>
      <c r="AQ548" s="77"/>
      <c r="AU548" s="34">
        <v>18</v>
      </c>
      <c r="AV548" s="3"/>
      <c r="AW548" s="77"/>
      <c r="AY548" s="34">
        <v>18</v>
      </c>
      <c r="AZ548" s="3"/>
      <c r="BA548" s="77"/>
      <c r="BC548" s="34">
        <v>18</v>
      </c>
      <c r="BD548" s="3"/>
      <c r="BE548" s="77"/>
      <c r="BH548" s="5"/>
      <c r="BL548" s="36">
        <v>18</v>
      </c>
      <c r="BM548" s="3"/>
      <c r="BN548" s="4"/>
      <c r="BP548" s="34">
        <v>18</v>
      </c>
      <c r="BQ548" s="3"/>
      <c r="BR548" s="4"/>
      <c r="BV548" s="36">
        <v>18</v>
      </c>
      <c r="BW548" s="3"/>
      <c r="BX548" s="4"/>
      <c r="BZ548" s="36">
        <v>18</v>
      </c>
      <c r="CA548" s="3"/>
      <c r="CB548" s="77"/>
      <c r="CL548" s="10"/>
      <c r="CM548" s="8"/>
      <c r="CN548" s="1"/>
    </row>
    <row r="549" spans="2:92">
      <c r="B549" s="34">
        <v>19</v>
      </c>
      <c r="C549" s="3"/>
      <c r="D549" s="77"/>
      <c r="F549" s="34">
        <v>19</v>
      </c>
      <c r="G549" s="3"/>
      <c r="H549" s="77"/>
      <c r="J549" s="34">
        <v>19</v>
      </c>
      <c r="K549" s="3"/>
      <c r="L549" s="77"/>
      <c r="P549" s="34">
        <v>19</v>
      </c>
      <c r="Q549" s="3"/>
      <c r="R549" s="77"/>
      <c r="T549" s="34">
        <v>19</v>
      </c>
      <c r="U549" s="3"/>
      <c r="V549" s="77"/>
      <c r="X549" s="34">
        <v>19</v>
      </c>
      <c r="Y549" s="3"/>
      <c r="Z549" s="77"/>
      <c r="AC549" s="5"/>
      <c r="AG549" s="34">
        <v>19</v>
      </c>
      <c r="AH549" s="3"/>
      <c r="AI549" s="77"/>
      <c r="AK549" s="34">
        <v>19</v>
      </c>
      <c r="AL549" s="3"/>
      <c r="AM549" s="77"/>
      <c r="AO549" s="34">
        <v>19</v>
      </c>
      <c r="AP549" s="3"/>
      <c r="AQ549" s="77"/>
      <c r="AU549" s="34">
        <v>19</v>
      </c>
      <c r="AV549" s="3"/>
      <c r="AW549" s="77"/>
      <c r="AY549" s="34">
        <v>19</v>
      </c>
      <c r="AZ549" s="3"/>
      <c r="BA549" s="77"/>
      <c r="BC549" s="34">
        <v>19</v>
      </c>
      <c r="BD549" s="3"/>
      <c r="BE549" s="77"/>
      <c r="BH549" s="5"/>
      <c r="BL549" s="36">
        <v>19</v>
      </c>
      <c r="BM549" s="3"/>
      <c r="BN549" s="4"/>
      <c r="BP549" s="34">
        <v>19</v>
      </c>
      <c r="BQ549" s="3"/>
      <c r="BR549" s="4"/>
      <c r="BV549" s="36">
        <v>19</v>
      </c>
      <c r="BW549" s="3"/>
      <c r="BX549" s="4"/>
      <c r="BZ549" s="36">
        <v>19</v>
      </c>
      <c r="CA549" s="3"/>
      <c r="CB549" s="4"/>
      <c r="CL549" s="10"/>
      <c r="CM549" s="8"/>
      <c r="CN549" s="1"/>
    </row>
    <row r="550" spans="2:92">
      <c r="B550" s="34">
        <v>20</v>
      </c>
      <c r="C550" s="3"/>
      <c r="D550" s="77"/>
      <c r="F550" s="34">
        <v>20</v>
      </c>
      <c r="G550" s="3"/>
      <c r="H550" s="77"/>
      <c r="J550" s="34">
        <v>20</v>
      </c>
      <c r="K550" s="3"/>
      <c r="L550" s="77"/>
      <c r="P550" s="34">
        <v>20</v>
      </c>
      <c r="Q550" s="3"/>
      <c r="R550" s="77"/>
      <c r="T550" s="34">
        <v>20</v>
      </c>
      <c r="U550" s="3"/>
      <c r="V550" s="77"/>
      <c r="X550" s="34">
        <v>20</v>
      </c>
      <c r="Y550" s="3"/>
      <c r="Z550" s="77"/>
      <c r="AC550" s="5"/>
      <c r="AG550" s="34">
        <v>20</v>
      </c>
      <c r="AH550" s="3"/>
      <c r="AI550" s="77"/>
      <c r="AK550" s="34">
        <v>20</v>
      </c>
      <c r="AL550" s="3"/>
      <c r="AM550" s="77"/>
      <c r="AO550" s="34">
        <v>20</v>
      </c>
      <c r="AP550" s="3"/>
      <c r="AQ550" s="77"/>
      <c r="AU550" s="34">
        <v>20</v>
      </c>
      <c r="AV550" s="3"/>
      <c r="AW550" s="77"/>
      <c r="AY550" s="34">
        <v>20</v>
      </c>
      <c r="AZ550" s="3"/>
      <c r="BA550" s="77"/>
      <c r="BC550" s="34">
        <v>20</v>
      </c>
      <c r="BD550" s="3"/>
      <c r="BE550" s="77"/>
      <c r="BH550" s="5"/>
      <c r="BL550" s="36">
        <v>20</v>
      </c>
      <c r="BM550" s="3"/>
      <c r="BN550" s="4"/>
      <c r="BP550" s="34">
        <v>20</v>
      </c>
      <c r="BQ550" s="3"/>
      <c r="BR550" s="4"/>
      <c r="BV550" s="36">
        <v>20</v>
      </c>
      <c r="BW550" s="3"/>
      <c r="BX550" s="4"/>
      <c r="BZ550" s="36">
        <v>20</v>
      </c>
      <c r="CA550" s="3"/>
      <c r="CB550" s="77"/>
      <c r="CL550" s="10"/>
      <c r="CM550" s="8"/>
      <c r="CN550" s="1"/>
    </row>
    <row r="551" spans="2:92">
      <c r="B551" s="34">
        <v>21</v>
      </c>
      <c r="C551" s="3"/>
      <c r="D551" s="77"/>
      <c r="F551" s="34">
        <v>21</v>
      </c>
      <c r="G551" s="3"/>
      <c r="H551" s="77"/>
      <c r="J551" s="34">
        <v>21</v>
      </c>
      <c r="K551" s="3"/>
      <c r="L551" s="77"/>
      <c r="P551" s="34">
        <v>21</v>
      </c>
      <c r="Q551" s="3"/>
      <c r="R551" s="77"/>
      <c r="T551" s="34">
        <v>21</v>
      </c>
      <c r="U551" s="3"/>
      <c r="V551" s="77"/>
      <c r="X551" s="34">
        <v>21</v>
      </c>
      <c r="Y551" s="3"/>
      <c r="Z551" s="77"/>
      <c r="AC551" s="5"/>
      <c r="AG551" s="34">
        <v>21</v>
      </c>
      <c r="AH551" s="3"/>
      <c r="AI551" s="77"/>
      <c r="AK551" s="34">
        <v>21</v>
      </c>
      <c r="AL551" s="3"/>
      <c r="AM551" s="77"/>
      <c r="AO551" s="34">
        <v>21</v>
      </c>
      <c r="AP551" s="3"/>
      <c r="AQ551" s="77"/>
      <c r="AU551" s="34">
        <v>21</v>
      </c>
      <c r="AV551" s="3"/>
      <c r="AW551" s="77"/>
      <c r="AY551" s="34">
        <v>21</v>
      </c>
      <c r="AZ551" s="3"/>
      <c r="BA551" s="77"/>
      <c r="BC551" s="34">
        <v>21</v>
      </c>
      <c r="BD551" s="3"/>
      <c r="BE551" s="77"/>
      <c r="BH551" s="5"/>
      <c r="BL551" s="36">
        <v>21</v>
      </c>
      <c r="BM551" s="3"/>
      <c r="BN551" s="4"/>
      <c r="BP551" s="34">
        <v>21</v>
      </c>
      <c r="BQ551" s="3"/>
      <c r="BR551" s="4"/>
      <c r="BV551" s="36">
        <v>21</v>
      </c>
      <c r="BW551" s="3"/>
      <c r="BX551" s="4"/>
      <c r="BZ551" s="36">
        <v>21</v>
      </c>
      <c r="CA551" s="3"/>
      <c r="CB551" s="4"/>
      <c r="CL551" s="10"/>
      <c r="CM551" s="8"/>
      <c r="CN551" s="1"/>
    </row>
    <row r="552" spans="2:92">
      <c r="B552" s="34">
        <v>22</v>
      </c>
      <c r="C552" s="3"/>
      <c r="D552" s="77"/>
      <c r="F552" s="34">
        <v>22</v>
      </c>
      <c r="G552" s="3"/>
      <c r="H552" s="77"/>
      <c r="J552" s="34">
        <v>22</v>
      </c>
      <c r="K552" s="3"/>
      <c r="L552" s="77"/>
      <c r="P552" s="34">
        <v>22</v>
      </c>
      <c r="Q552" s="3"/>
      <c r="R552" s="77"/>
      <c r="T552" s="34">
        <v>22</v>
      </c>
      <c r="U552" s="3"/>
      <c r="V552" s="77"/>
      <c r="X552" s="34">
        <v>22</v>
      </c>
      <c r="Y552" s="3"/>
      <c r="Z552" s="77"/>
      <c r="AC552" s="5"/>
      <c r="AG552" s="34">
        <v>22</v>
      </c>
      <c r="AH552" s="3"/>
      <c r="AI552" s="77"/>
      <c r="AK552" s="34">
        <v>22</v>
      </c>
      <c r="AL552" s="3"/>
      <c r="AM552" s="77"/>
      <c r="AO552" s="34">
        <v>22</v>
      </c>
      <c r="AP552" s="3"/>
      <c r="AQ552" s="77"/>
      <c r="AU552" s="34">
        <v>22</v>
      </c>
      <c r="AV552" s="3"/>
      <c r="AW552" s="77"/>
      <c r="AY552" s="34">
        <v>22</v>
      </c>
      <c r="AZ552" s="3"/>
      <c r="BA552" s="77"/>
      <c r="BC552" s="34">
        <v>22</v>
      </c>
      <c r="BD552" s="3"/>
      <c r="BE552" s="77"/>
      <c r="BH552" s="5"/>
      <c r="BL552" s="36">
        <v>22</v>
      </c>
      <c r="BM552" s="3"/>
      <c r="BN552" s="4"/>
      <c r="BP552" s="34">
        <v>22</v>
      </c>
      <c r="BQ552" s="3"/>
      <c r="BR552" s="4"/>
      <c r="BV552" s="36">
        <v>22</v>
      </c>
      <c r="BW552" s="3"/>
      <c r="BX552" s="4"/>
      <c r="BZ552" s="36">
        <v>22</v>
      </c>
      <c r="CA552" s="3"/>
      <c r="CB552" s="4"/>
      <c r="CL552" s="10"/>
      <c r="CM552" s="8"/>
      <c r="CN552" s="1"/>
    </row>
    <row r="553" spans="2:92">
      <c r="B553" s="34">
        <v>23</v>
      </c>
      <c r="C553" s="3"/>
      <c r="D553" s="77"/>
      <c r="F553" s="34">
        <v>23</v>
      </c>
      <c r="G553" s="3"/>
      <c r="H553" s="77"/>
      <c r="J553" s="34">
        <v>23</v>
      </c>
      <c r="K553" s="3"/>
      <c r="L553" s="77"/>
      <c r="P553" s="34">
        <v>23</v>
      </c>
      <c r="Q553" s="3"/>
      <c r="R553" s="77"/>
      <c r="T553" s="34">
        <v>23</v>
      </c>
      <c r="U553" s="3"/>
      <c r="V553" s="77"/>
      <c r="X553" s="34">
        <v>23</v>
      </c>
      <c r="Y553" s="3"/>
      <c r="Z553" s="77"/>
      <c r="AC553" s="5"/>
      <c r="AG553" s="34">
        <v>23</v>
      </c>
      <c r="AH553" s="3"/>
      <c r="AI553" s="77"/>
      <c r="AK553" s="34">
        <v>23</v>
      </c>
      <c r="AL553" s="3"/>
      <c r="AM553" s="77"/>
      <c r="AO553" s="34">
        <v>23</v>
      </c>
      <c r="AP553" s="3"/>
      <c r="AQ553" s="77"/>
      <c r="AU553" s="34">
        <v>23</v>
      </c>
      <c r="AV553" s="3"/>
      <c r="AW553" s="77"/>
      <c r="AY553" s="34">
        <v>23</v>
      </c>
      <c r="AZ553" s="3"/>
      <c r="BA553" s="77"/>
      <c r="BC553" s="34">
        <v>23</v>
      </c>
      <c r="BD553" s="3"/>
      <c r="BE553" s="77"/>
      <c r="BH553" s="5"/>
      <c r="BL553" s="36">
        <v>23</v>
      </c>
      <c r="BM553" s="3"/>
      <c r="BN553" s="4"/>
      <c r="BP553" s="34">
        <v>23</v>
      </c>
      <c r="BQ553" s="3"/>
      <c r="BR553" s="4"/>
      <c r="BV553" s="36">
        <v>23</v>
      </c>
      <c r="BW553" s="3"/>
      <c r="BX553" s="4"/>
      <c r="BZ553" s="36">
        <v>23</v>
      </c>
      <c r="CA553" s="3"/>
      <c r="CB553" s="4"/>
      <c r="CL553" s="10"/>
      <c r="CM553" s="8"/>
      <c r="CN553" s="1"/>
    </row>
    <row r="554" spans="2:92">
      <c r="AC554" s="5"/>
      <c r="BH554" s="5"/>
      <c r="BL554" s="10"/>
      <c r="BM554" s="8"/>
      <c r="BQ554" s="22"/>
      <c r="CL554" s="1"/>
      <c r="CN554" s="1"/>
    </row>
    <row r="555" spans="2:92">
      <c r="AC555" s="5"/>
      <c r="BH555" s="5"/>
      <c r="BL555" s="10"/>
      <c r="BM555" s="8"/>
      <c r="BQ555" s="22"/>
      <c r="CL555" s="1"/>
      <c r="CN555" s="1"/>
    </row>
    <row r="556" spans="2:92" ht="20.25" customHeight="1">
      <c r="AC556" s="5"/>
      <c r="BH556" s="5"/>
      <c r="BQ556" s="22"/>
      <c r="CL556" s="1"/>
      <c r="CN556" s="1"/>
    </row>
    <row r="557" spans="2:92" s="1" customFormat="1" ht="20.25" customHeight="1">
      <c r="B557" s="54"/>
      <c r="C557" s="55">
        <f>'NRB 공장 내부 배치도'!C28</f>
        <v>0</v>
      </c>
      <c r="D557" s="199"/>
      <c r="F557" s="54"/>
      <c r="G557" s="55">
        <f>'NRB 공장 내부 배치도'!D28</f>
        <v>0</v>
      </c>
      <c r="H557" s="199"/>
      <c r="J557" s="54"/>
      <c r="K557" s="55">
        <f>'NRB 공장 내부 배치도'!E28</f>
        <v>0</v>
      </c>
      <c r="L557" s="199"/>
      <c r="P557" s="54"/>
      <c r="Q557" s="55">
        <f>'NRB 공장 내부 배치도'!G28</f>
        <v>0</v>
      </c>
      <c r="R557" s="199"/>
      <c r="T557" s="54"/>
      <c r="U557" s="55">
        <f>'NRB 공장 내부 배치도'!H28</f>
        <v>0</v>
      </c>
      <c r="V557" s="199"/>
      <c r="X557" s="54"/>
      <c r="Y557" s="55">
        <f>'NRB 공장 내부 배치도'!I28</f>
        <v>0</v>
      </c>
      <c r="Z557" s="199"/>
      <c r="AC557" s="71"/>
      <c r="AG557" s="54"/>
      <c r="AH557" s="55">
        <f>'NRB 공장 내부 배치도'!L28</f>
        <v>0</v>
      </c>
      <c r="AI557" s="199"/>
      <c r="AK557" s="54"/>
      <c r="AL557" s="55">
        <f>'NRB 공장 내부 배치도'!M28</f>
        <v>0</v>
      </c>
      <c r="AM557" s="199"/>
      <c r="AO557" s="54"/>
      <c r="AP557" s="55" t="str">
        <f>'NRB 공장 내부 배치도'!N28</f>
        <v>BH샘플</v>
      </c>
      <c r="AQ557" s="199"/>
      <c r="AU557" s="54"/>
      <c r="AV557" s="55">
        <f>'NRB 공장 내부 배치도'!P28</f>
        <v>0</v>
      </c>
      <c r="AW557" s="199"/>
      <c r="AY557" s="54"/>
      <c r="AZ557" s="55">
        <f>'NRB 공장 내부 배치도'!Q28</f>
        <v>0</v>
      </c>
      <c r="BA557" s="199"/>
      <c r="BC557" s="54"/>
      <c r="BD557" s="55">
        <f>'NRB 공장 내부 배치도'!R28</f>
        <v>0</v>
      </c>
      <c r="BE557" s="199"/>
      <c r="BF557" s="204"/>
      <c r="BH557" s="71"/>
      <c r="BL557" s="54"/>
      <c r="BM557" s="55">
        <f>'NRB 공장 내부 배치도'!U28</f>
        <v>0</v>
      </c>
      <c r="BN557" s="56"/>
      <c r="BP557" s="54"/>
      <c r="BQ557" s="55">
        <f>'NRB 공장 내부 배치도'!V28</f>
        <v>0</v>
      </c>
      <c r="BR557" s="56"/>
      <c r="BV557" s="54"/>
      <c r="BW557" s="55">
        <f>'NRB 공장 내부 배치도'!X28</f>
        <v>0</v>
      </c>
      <c r="BX557" s="56"/>
      <c r="BZ557" s="54"/>
      <c r="CA557" s="55">
        <f>'NRB 공장 내부 배치도'!Y28</f>
        <v>0</v>
      </c>
      <c r="CB557" s="56"/>
      <c r="CF557" s="71"/>
      <c r="CG557" s="71"/>
      <c r="CH557" s="71"/>
      <c r="CL557" s="21"/>
      <c r="CM557" s="21"/>
      <c r="CN557" s="21"/>
    </row>
    <row r="558" spans="2:92" ht="16.5" customHeight="1">
      <c r="B558" s="34">
        <v>1</v>
      </c>
      <c r="C558" s="3"/>
      <c r="D558" s="77"/>
      <c r="F558" s="34">
        <v>1</v>
      </c>
      <c r="G558" s="3"/>
      <c r="H558" s="77"/>
      <c r="J558" s="34">
        <v>1</v>
      </c>
      <c r="K558" s="3"/>
      <c r="L558" s="77"/>
      <c r="P558" s="34">
        <v>1</v>
      </c>
      <c r="Q558" s="3"/>
      <c r="R558" s="77"/>
      <c r="T558" s="34">
        <v>1</v>
      </c>
      <c r="U558" s="3"/>
      <c r="V558" s="77"/>
      <c r="X558" s="34">
        <v>1</v>
      </c>
      <c r="Y558" s="3"/>
      <c r="Z558" s="77"/>
      <c r="AC558" s="5"/>
      <c r="AG558" s="34">
        <v>1</v>
      </c>
      <c r="AH558" s="3"/>
      <c r="AI558" s="77"/>
      <c r="AK558" s="34">
        <v>1</v>
      </c>
      <c r="AL558" s="2"/>
      <c r="AM558" s="205"/>
      <c r="AO558" s="34">
        <v>1</v>
      </c>
      <c r="AP558" s="3"/>
      <c r="AQ558" s="77"/>
      <c r="AU558" s="34">
        <v>1</v>
      </c>
      <c r="AV558" s="3"/>
      <c r="AW558" s="77"/>
      <c r="AY558" s="34">
        <v>1</v>
      </c>
      <c r="AZ558" s="3"/>
      <c r="BA558" s="205"/>
      <c r="BC558" s="34">
        <v>1</v>
      </c>
      <c r="BD558" s="3"/>
      <c r="BE558" s="77"/>
      <c r="BH558" s="5"/>
      <c r="BL558" s="36">
        <v>1</v>
      </c>
      <c r="BM558" s="3"/>
      <c r="BN558" s="77"/>
      <c r="BP558" s="34">
        <v>1</v>
      </c>
      <c r="BQ558" s="3"/>
      <c r="BR558" s="4"/>
      <c r="BV558" s="34">
        <v>1</v>
      </c>
      <c r="BW558" s="3"/>
      <c r="BX558" s="77"/>
      <c r="BZ558" s="36">
        <v>1</v>
      </c>
      <c r="CA558" s="3"/>
      <c r="CB558" s="77"/>
      <c r="CL558" s="10"/>
      <c r="CM558" s="8"/>
      <c r="CN558" s="1"/>
    </row>
    <row r="559" spans="2:92" ht="16.5" customHeight="1">
      <c r="B559" s="34">
        <v>2</v>
      </c>
      <c r="C559" s="3"/>
      <c r="D559" s="77"/>
      <c r="F559" s="34">
        <v>2</v>
      </c>
      <c r="G559" s="3"/>
      <c r="H559" s="77"/>
      <c r="J559" s="34">
        <v>2</v>
      </c>
      <c r="K559" s="3"/>
      <c r="L559" s="77"/>
      <c r="P559" s="34">
        <v>2</v>
      </c>
      <c r="Q559" s="3"/>
      <c r="R559" s="77"/>
      <c r="T559" s="34">
        <v>2</v>
      </c>
      <c r="U559" s="3"/>
      <c r="V559" s="77"/>
      <c r="X559" s="34">
        <v>2</v>
      </c>
      <c r="Y559" s="3"/>
      <c r="Z559" s="77"/>
      <c r="AC559" s="5"/>
      <c r="AG559" s="34">
        <v>2</v>
      </c>
      <c r="AH559" s="3"/>
      <c r="AI559" s="77"/>
      <c r="AK559" s="34">
        <v>2</v>
      </c>
      <c r="AL559" s="2"/>
      <c r="AM559" s="205"/>
      <c r="AO559" s="34">
        <v>2</v>
      </c>
      <c r="AP559" s="3"/>
      <c r="AQ559" s="77"/>
      <c r="AU559" s="34">
        <v>2</v>
      </c>
      <c r="AV559" s="3"/>
      <c r="AW559" s="77"/>
      <c r="AY559" s="34">
        <v>2</v>
      </c>
      <c r="AZ559" s="3"/>
      <c r="BA559" s="77"/>
      <c r="BC559" s="34">
        <v>2</v>
      </c>
      <c r="BD559" s="3"/>
      <c r="BE559" s="77"/>
      <c r="BH559" s="5"/>
      <c r="BL559" s="36">
        <v>2</v>
      </c>
      <c r="BM559" s="3"/>
      <c r="BN559" s="77"/>
      <c r="BP559" s="34">
        <v>2</v>
      </c>
      <c r="BQ559" s="3"/>
      <c r="BR559" s="4"/>
      <c r="BV559" s="34">
        <v>2</v>
      </c>
      <c r="BW559" s="3"/>
      <c r="BX559" s="77"/>
      <c r="BZ559" s="36">
        <v>2</v>
      </c>
      <c r="CA559" s="3"/>
      <c r="CB559" s="77"/>
      <c r="CL559" s="10"/>
      <c r="CM559" s="8"/>
      <c r="CN559" s="1"/>
    </row>
    <row r="560" spans="2:92" ht="16.5" customHeight="1">
      <c r="B560" s="34">
        <v>3</v>
      </c>
      <c r="C560" s="3"/>
      <c r="D560" s="77"/>
      <c r="F560" s="34">
        <v>3</v>
      </c>
      <c r="G560" s="3"/>
      <c r="H560" s="77"/>
      <c r="J560" s="34">
        <v>3</v>
      </c>
      <c r="K560" s="3"/>
      <c r="L560" s="77"/>
      <c r="P560" s="34">
        <v>3</v>
      </c>
      <c r="Q560" s="3"/>
      <c r="R560" s="77"/>
      <c r="T560" s="34">
        <v>3</v>
      </c>
      <c r="U560" s="3"/>
      <c r="V560" s="77"/>
      <c r="X560" s="34">
        <v>3</v>
      </c>
      <c r="Y560" s="3"/>
      <c r="Z560" s="77"/>
      <c r="AC560" s="5"/>
      <c r="AG560" s="34">
        <v>3</v>
      </c>
      <c r="AH560" s="3"/>
      <c r="AI560" s="77"/>
      <c r="AK560" s="34">
        <v>3</v>
      </c>
      <c r="AL560" s="2"/>
      <c r="AM560" s="205"/>
      <c r="AO560" s="34">
        <v>3</v>
      </c>
      <c r="AP560" s="3"/>
      <c r="AQ560" s="77"/>
      <c r="AU560" s="34">
        <v>3</v>
      </c>
      <c r="AV560" s="3"/>
      <c r="AW560" s="77"/>
      <c r="AY560" s="34">
        <v>3</v>
      </c>
      <c r="AZ560" s="3"/>
      <c r="BA560" s="77"/>
      <c r="BC560" s="34">
        <v>3</v>
      </c>
      <c r="BD560" s="3"/>
      <c r="BE560" s="77"/>
      <c r="BH560" s="5"/>
      <c r="BL560" s="36">
        <v>3</v>
      </c>
      <c r="BM560" s="3"/>
      <c r="BN560" s="77"/>
      <c r="BP560" s="34">
        <v>3</v>
      </c>
      <c r="BQ560" s="3"/>
      <c r="BR560" s="4"/>
      <c r="BV560" s="34">
        <v>3</v>
      </c>
      <c r="BW560" s="3"/>
      <c r="BX560" s="77"/>
      <c r="BZ560" s="36">
        <v>3</v>
      </c>
      <c r="CA560" s="3"/>
      <c r="CB560" s="77"/>
      <c r="CL560" s="10"/>
      <c r="CM560" s="8"/>
      <c r="CN560" s="1"/>
    </row>
    <row r="561" spans="2:92" ht="16.5" customHeight="1">
      <c r="B561" s="34">
        <v>4</v>
      </c>
      <c r="C561" s="3"/>
      <c r="D561" s="77"/>
      <c r="F561" s="34">
        <v>4</v>
      </c>
      <c r="G561" s="3"/>
      <c r="H561" s="77"/>
      <c r="J561" s="34">
        <v>4</v>
      </c>
      <c r="K561" s="3"/>
      <c r="L561" s="77"/>
      <c r="P561" s="34">
        <v>4</v>
      </c>
      <c r="Q561" s="3"/>
      <c r="R561" s="77"/>
      <c r="T561" s="34">
        <v>4</v>
      </c>
      <c r="U561" s="3"/>
      <c r="V561" s="77"/>
      <c r="X561" s="34">
        <v>4</v>
      </c>
      <c r="Y561" s="3"/>
      <c r="Z561" s="77"/>
      <c r="AC561" s="5"/>
      <c r="AG561" s="34">
        <v>4</v>
      </c>
      <c r="AH561" s="3"/>
      <c r="AI561" s="77"/>
      <c r="AK561" s="34">
        <v>4</v>
      </c>
      <c r="AL561" s="2"/>
      <c r="AM561" s="205"/>
      <c r="AO561" s="34">
        <v>4</v>
      </c>
      <c r="AP561" s="3"/>
      <c r="AQ561" s="77"/>
      <c r="AU561" s="34">
        <v>4</v>
      </c>
      <c r="AV561" s="3"/>
      <c r="AW561" s="77"/>
      <c r="AY561" s="34">
        <v>4</v>
      </c>
      <c r="AZ561" s="3"/>
      <c r="BA561" s="77"/>
      <c r="BC561" s="34">
        <v>4</v>
      </c>
      <c r="BD561" s="3"/>
      <c r="BE561" s="77"/>
      <c r="BH561" s="5"/>
      <c r="BL561" s="36">
        <v>4</v>
      </c>
      <c r="BM561" s="3"/>
      <c r="BN561" s="77"/>
      <c r="BP561" s="34">
        <v>4</v>
      </c>
      <c r="BQ561" s="3"/>
      <c r="BR561" s="4"/>
      <c r="BV561" s="34">
        <v>4</v>
      </c>
      <c r="BW561" s="3"/>
      <c r="BX561" s="77"/>
      <c r="BZ561" s="36">
        <v>4</v>
      </c>
      <c r="CA561" s="3"/>
      <c r="CB561" s="77"/>
      <c r="CL561" s="10"/>
      <c r="CM561" s="8"/>
      <c r="CN561" s="1"/>
    </row>
    <row r="562" spans="2:92" ht="16.5" customHeight="1">
      <c r="B562" s="34">
        <v>5</v>
      </c>
      <c r="C562" s="3"/>
      <c r="D562" s="77"/>
      <c r="F562" s="34">
        <v>5</v>
      </c>
      <c r="G562" s="3"/>
      <c r="H562" s="77"/>
      <c r="J562" s="34">
        <v>5</v>
      </c>
      <c r="K562" s="3"/>
      <c r="L562" s="77"/>
      <c r="P562" s="34">
        <v>5</v>
      </c>
      <c r="Q562" s="3"/>
      <c r="R562" s="77"/>
      <c r="T562" s="34">
        <v>5</v>
      </c>
      <c r="U562" s="3"/>
      <c r="V562" s="77"/>
      <c r="X562" s="34">
        <v>5</v>
      </c>
      <c r="Y562" s="3"/>
      <c r="Z562" s="77"/>
      <c r="AC562" s="5"/>
      <c r="AG562" s="34">
        <v>5</v>
      </c>
      <c r="AH562" s="3"/>
      <c r="AI562" s="77"/>
      <c r="AK562" s="34">
        <v>5</v>
      </c>
      <c r="AL562" s="2"/>
      <c r="AM562" s="205"/>
      <c r="AO562" s="34">
        <v>5</v>
      </c>
      <c r="AP562" s="3"/>
      <c r="AQ562" s="77"/>
      <c r="AU562" s="34">
        <v>5</v>
      </c>
      <c r="AV562" s="3"/>
      <c r="AW562" s="77"/>
      <c r="AY562" s="34">
        <v>5</v>
      </c>
      <c r="AZ562" s="3"/>
      <c r="BA562" s="77"/>
      <c r="BC562" s="34">
        <v>5</v>
      </c>
      <c r="BD562" s="3"/>
      <c r="BE562" s="77"/>
      <c r="BH562" s="5"/>
      <c r="BL562" s="36">
        <v>5</v>
      </c>
      <c r="BM562" s="3"/>
      <c r="BN562" s="77"/>
      <c r="BP562" s="34">
        <v>5</v>
      </c>
      <c r="BQ562" s="3"/>
      <c r="BR562" s="4"/>
      <c r="BV562" s="34">
        <v>5</v>
      </c>
      <c r="BW562" s="3"/>
      <c r="BX562" s="77"/>
      <c r="BZ562" s="36">
        <v>5</v>
      </c>
      <c r="CA562" s="3"/>
      <c r="CB562" s="77"/>
      <c r="CL562" s="10"/>
      <c r="CM562" s="8"/>
      <c r="CN562" s="1"/>
    </row>
    <row r="563" spans="2:92" ht="16.5" customHeight="1">
      <c r="B563" s="34">
        <v>6</v>
      </c>
      <c r="C563" s="3"/>
      <c r="D563" s="77"/>
      <c r="F563" s="34">
        <v>6</v>
      </c>
      <c r="G563" s="3"/>
      <c r="H563" s="77"/>
      <c r="J563" s="34">
        <v>6</v>
      </c>
      <c r="K563" s="3"/>
      <c r="L563" s="77"/>
      <c r="P563" s="34">
        <v>6</v>
      </c>
      <c r="Q563" s="3"/>
      <c r="R563" s="77"/>
      <c r="T563" s="34">
        <v>6</v>
      </c>
      <c r="U563" s="3"/>
      <c r="V563" s="77"/>
      <c r="X563" s="34">
        <v>6</v>
      </c>
      <c r="Y563" s="3"/>
      <c r="Z563" s="77"/>
      <c r="AC563" s="5"/>
      <c r="AG563" s="34">
        <v>6</v>
      </c>
      <c r="AH563" s="3"/>
      <c r="AI563" s="77"/>
      <c r="AK563" s="34">
        <v>6</v>
      </c>
      <c r="AL563" s="2"/>
      <c r="AM563" s="205"/>
      <c r="AO563" s="34">
        <v>6</v>
      </c>
      <c r="AP563" s="3"/>
      <c r="AQ563" s="77"/>
      <c r="AU563" s="34">
        <v>6</v>
      </c>
      <c r="AV563" s="3"/>
      <c r="AW563" s="77"/>
      <c r="AY563" s="34">
        <v>6</v>
      </c>
      <c r="AZ563" s="3"/>
      <c r="BA563" s="77"/>
      <c r="BC563" s="34">
        <v>6</v>
      </c>
      <c r="BD563" s="3"/>
      <c r="BE563" s="77"/>
      <c r="BH563" s="5"/>
      <c r="BL563" s="36">
        <v>6</v>
      </c>
      <c r="BM563" s="3"/>
      <c r="BN563" s="77"/>
      <c r="BP563" s="34">
        <v>6</v>
      </c>
      <c r="BQ563" s="3"/>
      <c r="BR563" s="4"/>
      <c r="BV563" s="34">
        <v>6</v>
      </c>
      <c r="BW563" s="3"/>
      <c r="BX563" s="77"/>
      <c r="BZ563" s="36">
        <v>6</v>
      </c>
      <c r="CA563" s="3"/>
      <c r="CB563" s="77"/>
      <c r="CL563" s="10"/>
      <c r="CM563" s="8"/>
      <c r="CN563" s="1"/>
    </row>
    <row r="564" spans="2:92" ht="16.5" customHeight="1">
      <c r="B564" s="34">
        <v>7</v>
      </c>
      <c r="C564" s="3"/>
      <c r="D564" s="77"/>
      <c r="F564" s="34">
        <v>7</v>
      </c>
      <c r="G564" s="3"/>
      <c r="H564" s="77"/>
      <c r="J564" s="34">
        <v>7</v>
      </c>
      <c r="K564" s="3"/>
      <c r="L564" s="77"/>
      <c r="P564" s="34">
        <v>7</v>
      </c>
      <c r="Q564" s="3"/>
      <c r="R564" s="77"/>
      <c r="T564" s="34">
        <v>7</v>
      </c>
      <c r="U564" s="3"/>
      <c r="V564" s="77"/>
      <c r="X564" s="34">
        <v>7</v>
      </c>
      <c r="Y564" s="3"/>
      <c r="Z564" s="77"/>
      <c r="AC564" s="5"/>
      <c r="AG564" s="34">
        <v>7</v>
      </c>
      <c r="AH564" s="3"/>
      <c r="AI564" s="77"/>
      <c r="AK564" s="34">
        <v>7</v>
      </c>
      <c r="AL564" s="2"/>
      <c r="AM564" s="205"/>
      <c r="AO564" s="34">
        <v>7</v>
      </c>
      <c r="AP564" s="3"/>
      <c r="AQ564" s="77"/>
      <c r="AU564" s="34">
        <v>7</v>
      </c>
      <c r="AV564" s="3"/>
      <c r="AW564" s="77"/>
      <c r="AY564" s="34">
        <v>7</v>
      </c>
      <c r="AZ564" s="3"/>
      <c r="BA564" s="77"/>
      <c r="BC564" s="34">
        <v>7</v>
      </c>
      <c r="BD564" s="3"/>
      <c r="BE564" s="77"/>
      <c r="BH564" s="5"/>
      <c r="BL564" s="36">
        <v>7</v>
      </c>
      <c r="BM564" s="3"/>
      <c r="BN564" s="77"/>
      <c r="BP564" s="34">
        <v>7</v>
      </c>
      <c r="BQ564" s="3"/>
      <c r="BR564" s="4"/>
      <c r="BV564" s="34">
        <v>7</v>
      </c>
      <c r="BW564" s="3"/>
      <c r="BX564" s="77"/>
      <c r="BZ564" s="36">
        <v>7</v>
      </c>
      <c r="CA564" s="3"/>
      <c r="CB564" s="77"/>
      <c r="CL564" s="10"/>
      <c r="CM564" s="8"/>
      <c r="CN564" s="1"/>
    </row>
    <row r="565" spans="2:92" ht="16.5" customHeight="1">
      <c r="B565" s="34">
        <v>8</v>
      </c>
      <c r="C565" s="3"/>
      <c r="D565" s="77"/>
      <c r="F565" s="34">
        <v>8</v>
      </c>
      <c r="G565" s="3"/>
      <c r="H565" s="77"/>
      <c r="J565" s="34">
        <v>8</v>
      </c>
      <c r="K565" s="3"/>
      <c r="L565" s="77"/>
      <c r="P565" s="34">
        <v>8</v>
      </c>
      <c r="Q565" s="3"/>
      <c r="R565" s="77"/>
      <c r="T565" s="34">
        <v>8</v>
      </c>
      <c r="U565" s="3"/>
      <c r="V565" s="77"/>
      <c r="X565" s="34">
        <v>8</v>
      </c>
      <c r="Y565" s="3"/>
      <c r="Z565" s="77"/>
      <c r="AC565" s="5"/>
      <c r="AG565" s="34">
        <v>8</v>
      </c>
      <c r="AH565" s="3"/>
      <c r="AI565" s="77"/>
      <c r="AK565" s="34">
        <v>8</v>
      </c>
      <c r="AL565" s="2"/>
      <c r="AM565" s="205"/>
      <c r="AO565" s="34">
        <v>8</v>
      </c>
      <c r="AP565" s="3"/>
      <c r="AQ565" s="77"/>
      <c r="AU565" s="34">
        <v>8</v>
      </c>
      <c r="AV565" s="3"/>
      <c r="AW565" s="77"/>
      <c r="AY565" s="34">
        <v>8</v>
      </c>
      <c r="AZ565" s="3"/>
      <c r="BA565" s="77"/>
      <c r="BC565" s="34">
        <v>8</v>
      </c>
      <c r="BD565" s="3"/>
      <c r="BE565" s="77"/>
      <c r="BH565" s="5"/>
      <c r="BL565" s="36">
        <v>8</v>
      </c>
      <c r="BM565" s="3"/>
      <c r="BN565" s="77"/>
      <c r="BP565" s="34">
        <v>8</v>
      </c>
      <c r="BQ565" s="3"/>
      <c r="BR565" s="4"/>
      <c r="BV565" s="34">
        <v>8</v>
      </c>
      <c r="BW565" s="3"/>
      <c r="BX565" s="77"/>
      <c r="BZ565" s="36">
        <v>8</v>
      </c>
      <c r="CA565" s="3"/>
      <c r="CB565" s="77"/>
      <c r="CL565" s="10"/>
      <c r="CM565" s="8"/>
      <c r="CN565" s="1"/>
    </row>
    <row r="566" spans="2:92" ht="16.5" customHeight="1">
      <c r="B566" s="34">
        <v>9</v>
      </c>
      <c r="C566" s="3"/>
      <c r="D566" s="77"/>
      <c r="F566" s="34">
        <v>9</v>
      </c>
      <c r="G566" s="3"/>
      <c r="H566" s="77"/>
      <c r="J566" s="34">
        <v>9</v>
      </c>
      <c r="K566" s="3"/>
      <c r="L566" s="77"/>
      <c r="P566" s="34">
        <v>9</v>
      </c>
      <c r="Q566" s="3"/>
      <c r="R566" s="77"/>
      <c r="T566" s="34">
        <v>9</v>
      </c>
      <c r="U566" s="3"/>
      <c r="V566" s="77"/>
      <c r="X566" s="34">
        <v>9</v>
      </c>
      <c r="Y566" s="3"/>
      <c r="Z566" s="77"/>
      <c r="AC566" s="5"/>
      <c r="AG566" s="34">
        <v>9</v>
      </c>
      <c r="AH566" s="3"/>
      <c r="AI566" s="77"/>
      <c r="AK566" s="34">
        <v>9</v>
      </c>
      <c r="AL566" s="2"/>
      <c r="AM566" s="205"/>
      <c r="AO566" s="34">
        <v>9</v>
      </c>
      <c r="AP566" s="3"/>
      <c r="AQ566" s="77"/>
      <c r="AU566" s="34">
        <v>9</v>
      </c>
      <c r="AV566" s="3"/>
      <c r="AW566" s="77"/>
      <c r="AY566" s="34">
        <v>9</v>
      </c>
      <c r="AZ566" s="3"/>
      <c r="BA566" s="77"/>
      <c r="BC566" s="34">
        <v>9</v>
      </c>
      <c r="BD566" s="3"/>
      <c r="BE566" s="77"/>
      <c r="BH566" s="5"/>
      <c r="BL566" s="36">
        <v>9</v>
      </c>
      <c r="BM566" s="3"/>
      <c r="BN566" s="77"/>
      <c r="BP566" s="34">
        <v>9</v>
      </c>
      <c r="BQ566" s="3"/>
      <c r="BR566" s="4"/>
      <c r="BV566" s="34">
        <v>9</v>
      </c>
      <c r="BW566" s="3"/>
      <c r="BX566" s="4"/>
      <c r="BZ566" s="36">
        <v>9</v>
      </c>
      <c r="CA566" s="3"/>
      <c r="CB566" s="77"/>
      <c r="CL566" s="10"/>
      <c r="CM566" s="8"/>
      <c r="CN566" s="1"/>
    </row>
    <row r="567" spans="2:92" ht="16.5" customHeight="1">
      <c r="B567" s="34">
        <v>10</v>
      </c>
      <c r="C567" s="3"/>
      <c r="D567" s="77"/>
      <c r="F567" s="34">
        <v>10</v>
      </c>
      <c r="G567" s="3"/>
      <c r="H567" s="77"/>
      <c r="J567" s="34">
        <v>10</v>
      </c>
      <c r="K567" s="3"/>
      <c r="L567" s="77"/>
      <c r="P567" s="34">
        <v>10</v>
      </c>
      <c r="Q567" s="3"/>
      <c r="R567" s="77"/>
      <c r="T567" s="34">
        <v>10</v>
      </c>
      <c r="U567" s="3"/>
      <c r="V567" s="77"/>
      <c r="X567" s="34">
        <v>10</v>
      </c>
      <c r="Y567" s="3"/>
      <c r="Z567" s="77"/>
      <c r="AC567" s="5"/>
      <c r="AG567" s="34">
        <v>10</v>
      </c>
      <c r="AH567" s="3"/>
      <c r="AI567" s="77"/>
      <c r="AK567" s="34">
        <v>10</v>
      </c>
      <c r="AL567" s="2"/>
      <c r="AM567" s="205"/>
      <c r="AO567" s="34">
        <v>10</v>
      </c>
      <c r="AP567" s="3"/>
      <c r="AQ567" s="77"/>
      <c r="AU567" s="34">
        <v>10</v>
      </c>
      <c r="AV567" s="3"/>
      <c r="AW567" s="77"/>
      <c r="AY567" s="34">
        <v>10</v>
      </c>
      <c r="AZ567" s="3"/>
      <c r="BA567" s="77"/>
      <c r="BC567" s="34">
        <v>10</v>
      </c>
      <c r="BD567" s="3"/>
      <c r="BE567" s="77"/>
      <c r="BH567" s="5"/>
      <c r="BL567" s="36">
        <v>10</v>
      </c>
      <c r="BM567" s="3"/>
      <c r="BN567" s="77"/>
      <c r="BP567" s="34">
        <v>10</v>
      </c>
      <c r="BQ567" s="3"/>
      <c r="BR567" s="4"/>
      <c r="BV567" s="34">
        <v>10</v>
      </c>
      <c r="BW567" s="3"/>
      <c r="BX567" s="77"/>
      <c r="BZ567" s="36">
        <v>10</v>
      </c>
      <c r="CA567" s="3"/>
      <c r="CB567" s="77"/>
      <c r="CL567" s="10"/>
      <c r="CM567" s="8"/>
      <c r="CN567" s="1"/>
    </row>
    <row r="568" spans="2:92" ht="16.5" customHeight="1">
      <c r="B568" s="34">
        <v>11</v>
      </c>
      <c r="C568" s="3"/>
      <c r="D568" s="77"/>
      <c r="F568" s="34">
        <v>11</v>
      </c>
      <c r="G568" s="3"/>
      <c r="H568" s="77"/>
      <c r="J568" s="34">
        <v>11</v>
      </c>
      <c r="K568" s="3"/>
      <c r="L568" s="77"/>
      <c r="P568" s="34">
        <v>11</v>
      </c>
      <c r="Q568" s="3"/>
      <c r="R568" s="77"/>
      <c r="T568" s="34">
        <v>11</v>
      </c>
      <c r="U568" s="3"/>
      <c r="V568" s="77"/>
      <c r="X568" s="34">
        <v>11</v>
      </c>
      <c r="Y568" s="3"/>
      <c r="Z568" s="77"/>
      <c r="AC568" s="5"/>
      <c r="AG568" s="34">
        <v>11</v>
      </c>
      <c r="AH568" s="3"/>
      <c r="AI568" s="77"/>
      <c r="AK568" s="34">
        <v>11</v>
      </c>
      <c r="AL568" s="2"/>
      <c r="AM568" s="205"/>
      <c r="AO568" s="34">
        <v>11</v>
      </c>
      <c r="AP568" s="3"/>
      <c r="AQ568" s="77"/>
      <c r="AU568" s="34">
        <v>11</v>
      </c>
      <c r="AV568" s="3"/>
      <c r="AW568" s="77"/>
      <c r="AY568" s="34">
        <v>11</v>
      </c>
      <c r="AZ568" s="3"/>
      <c r="BA568" s="77"/>
      <c r="BC568" s="34">
        <v>11</v>
      </c>
      <c r="BD568" s="3"/>
      <c r="BE568" s="77"/>
      <c r="BH568" s="5"/>
      <c r="BL568" s="36">
        <v>11</v>
      </c>
      <c r="BM568" s="3"/>
      <c r="BN568" s="77"/>
      <c r="BP568" s="34">
        <v>11</v>
      </c>
      <c r="BQ568" s="3"/>
      <c r="BR568" s="4"/>
      <c r="BV568" s="34">
        <v>11</v>
      </c>
      <c r="BW568" s="3"/>
      <c r="BX568" s="4"/>
      <c r="BZ568" s="36">
        <v>11</v>
      </c>
      <c r="CA568" s="3"/>
      <c r="CB568" s="77"/>
      <c r="CL568" s="10"/>
      <c r="CM568" s="8"/>
      <c r="CN568" s="1"/>
    </row>
    <row r="569" spans="2:92" ht="16.5" customHeight="1">
      <c r="B569" s="34">
        <v>12</v>
      </c>
      <c r="C569" s="3"/>
      <c r="D569" s="77"/>
      <c r="F569" s="34">
        <v>12</v>
      </c>
      <c r="G569" s="3"/>
      <c r="H569" s="77"/>
      <c r="J569" s="34">
        <v>12</v>
      </c>
      <c r="K569" s="3"/>
      <c r="L569" s="77"/>
      <c r="P569" s="34">
        <v>12</v>
      </c>
      <c r="Q569" s="3"/>
      <c r="R569" s="77"/>
      <c r="T569" s="34">
        <v>12</v>
      </c>
      <c r="U569" s="3"/>
      <c r="V569" s="77"/>
      <c r="X569" s="34">
        <v>12</v>
      </c>
      <c r="Y569" s="3"/>
      <c r="Z569" s="77"/>
      <c r="AC569" s="5"/>
      <c r="AG569" s="34">
        <v>12</v>
      </c>
      <c r="AH569" s="3"/>
      <c r="AI569" s="77"/>
      <c r="AK569" s="34">
        <v>12</v>
      </c>
      <c r="AL569" s="2"/>
      <c r="AM569" s="205"/>
      <c r="AO569" s="34">
        <v>12</v>
      </c>
      <c r="AP569" s="3"/>
      <c r="AQ569" s="77"/>
      <c r="AU569" s="34">
        <v>12</v>
      </c>
      <c r="AV569" s="3"/>
      <c r="AW569" s="77"/>
      <c r="AY569" s="34">
        <v>12</v>
      </c>
      <c r="AZ569" s="3"/>
      <c r="BA569" s="77"/>
      <c r="BC569" s="34">
        <v>12</v>
      </c>
      <c r="BD569" s="3"/>
      <c r="BE569" s="77"/>
      <c r="BH569" s="5"/>
      <c r="BL569" s="36">
        <v>12</v>
      </c>
      <c r="BM569" s="3"/>
      <c r="BN569" s="77"/>
      <c r="BP569" s="34">
        <v>12</v>
      </c>
      <c r="BQ569" s="3"/>
      <c r="BR569" s="4"/>
      <c r="BV569" s="34">
        <v>12</v>
      </c>
      <c r="BW569" s="3"/>
      <c r="BX569" s="77"/>
      <c r="BZ569" s="36">
        <v>12</v>
      </c>
      <c r="CA569" s="3"/>
      <c r="CB569" s="77"/>
      <c r="CL569" s="10"/>
      <c r="CM569" s="8"/>
      <c r="CN569" s="1"/>
    </row>
    <row r="570" spans="2:92" ht="16.5" customHeight="1">
      <c r="B570" s="34">
        <v>13</v>
      </c>
      <c r="C570" s="3"/>
      <c r="D570" s="77"/>
      <c r="F570" s="34">
        <v>13</v>
      </c>
      <c r="G570" s="3"/>
      <c r="H570" s="77"/>
      <c r="J570" s="34">
        <v>13</v>
      </c>
      <c r="K570" s="3"/>
      <c r="L570" s="77"/>
      <c r="P570" s="34">
        <v>13</v>
      </c>
      <c r="Q570" s="3"/>
      <c r="R570" s="77"/>
      <c r="T570" s="34">
        <v>13</v>
      </c>
      <c r="U570" s="3"/>
      <c r="V570" s="77"/>
      <c r="X570" s="34">
        <v>13</v>
      </c>
      <c r="Y570" s="3"/>
      <c r="Z570" s="77"/>
      <c r="AC570" s="5"/>
      <c r="AG570" s="34">
        <v>13</v>
      </c>
      <c r="AH570" s="3"/>
      <c r="AI570" s="77"/>
      <c r="AK570" s="34">
        <v>13</v>
      </c>
      <c r="AL570" s="2"/>
      <c r="AM570" s="205"/>
      <c r="AO570" s="34">
        <v>13</v>
      </c>
      <c r="AP570" s="3"/>
      <c r="AQ570" s="77"/>
      <c r="AU570" s="34">
        <v>13</v>
      </c>
      <c r="AV570" s="3"/>
      <c r="AW570" s="77"/>
      <c r="AY570" s="34">
        <v>13</v>
      </c>
      <c r="AZ570" s="3"/>
      <c r="BA570" s="77"/>
      <c r="BC570" s="34">
        <v>13</v>
      </c>
      <c r="BD570" s="3"/>
      <c r="BE570" s="77"/>
      <c r="BH570" s="5"/>
      <c r="BL570" s="36">
        <v>13</v>
      </c>
      <c r="BM570" s="3"/>
      <c r="BN570" s="77"/>
      <c r="BP570" s="34">
        <v>13</v>
      </c>
      <c r="BQ570" s="3"/>
      <c r="BR570" s="4"/>
      <c r="BV570" s="34">
        <v>13</v>
      </c>
      <c r="BW570" s="3"/>
      <c r="BX570" s="4"/>
      <c r="BZ570" s="36">
        <v>13</v>
      </c>
      <c r="CA570" s="3"/>
      <c r="CB570" s="77"/>
      <c r="CL570" s="10"/>
      <c r="CM570" s="8"/>
      <c r="CN570" s="1"/>
    </row>
    <row r="571" spans="2:92" ht="16.5" customHeight="1">
      <c r="B571" s="34">
        <v>14</v>
      </c>
      <c r="C571" s="3"/>
      <c r="D571" s="77"/>
      <c r="F571" s="34">
        <v>14</v>
      </c>
      <c r="G571" s="3"/>
      <c r="H571" s="77"/>
      <c r="J571" s="34">
        <v>14</v>
      </c>
      <c r="K571" s="3"/>
      <c r="L571" s="77"/>
      <c r="P571" s="34">
        <v>14</v>
      </c>
      <c r="Q571" s="3"/>
      <c r="R571" s="77"/>
      <c r="T571" s="34">
        <v>14</v>
      </c>
      <c r="U571" s="3"/>
      <c r="V571" s="77"/>
      <c r="X571" s="34">
        <v>14</v>
      </c>
      <c r="Y571" s="3"/>
      <c r="Z571" s="77"/>
      <c r="AC571" s="5"/>
      <c r="AG571" s="34">
        <v>14</v>
      </c>
      <c r="AH571" s="3"/>
      <c r="AI571" s="77"/>
      <c r="AK571" s="34">
        <v>14</v>
      </c>
      <c r="AL571" s="2"/>
      <c r="AM571" s="205"/>
      <c r="AO571" s="34">
        <v>14</v>
      </c>
      <c r="AP571" s="3"/>
      <c r="AQ571" s="77"/>
      <c r="AU571" s="34">
        <v>14</v>
      </c>
      <c r="AV571" s="3"/>
      <c r="AW571" s="77"/>
      <c r="AY571" s="34">
        <v>14</v>
      </c>
      <c r="AZ571" s="3"/>
      <c r="BA571" s="77"/>
      <c r="BC571" s="34">
        <v>14</v>
      </c>
      <c r="BD571" s="3"/>
      <c r="BE571" s="77"/>
      <c r="BH571" s="5"/>
      <c r="BL571" s="36">
        <v>14</v>
      </c>
      <c r="BM571" s="3"/>
      <c r="BN571" s="77"/>
      <c r="BP571" s="34">
        <v>14</v>
      </c>
      <c r="BQ571" s="3"/>
      <c r="BR571" s="4"/>
      <c r="BV571" s="34">
        <v>14</v>
      </c>
      <c r="BW571" s="3"/>
      <c r="BX571" s="4"/>
      <c r="BZ571" s="36">
        <v>14</v>
      </c>
      <c r="CA571" s="3"/>
      <c r="CB571" s="77"/>
      <c r="CL571" s="10"/>
      <c r="CM571" s="8"/>
      <c r="CN571" s="1"/>
    </row>
    <row r="572" spans="2:92" ht="16.5" customHeight="1">
      <c r="B572" s="34">
        <v>15</v>
      </c>
      <c r="C572" s="3"/>
      <c r="D572" s="77"/>
      <c r="F572" s="34">
        <v>15</v>
      </c>
      <c r="G572" s="3"/>
      <c r="H572" s="77"/>
      <c r="J572" s="34">
        <v>15</v>
      </c>
      <c r="K572" s="3"/>
      <c r="L572" s="77"/>
      <c r="P572" s="34">
        <v>15</v>
      </c>
      <c r="Q572" s="3"/>
      <c r="R572" s="77"/>
      <c r="T572" s="34">
        <v>15</v>
      </c>
      <c r="U572" s="3"/>
      <c r="V572" s="77"/>
      <c r="X572" s="34">
        <v>15</v>
      </c>
      <c r="Y572" s="3"/>
      <c r="Z572" s="77"/>
      <c r="AC572" s="5"/>
      <c r="AG572" s="34">
        <v>15</v>
      </c>
      <c r="AH572" s="3"/>
      <c r="AI572" s="77"/>
      <c r="AK572" s="34">
        <v>15</v>
      </c>
      <c r="AL572" s="2"/>
      <c r="AM572" s="205"/>
      <c r="AO572" s="34">
        <v>15</v>
      </c>
      <c r="AP572" s="3"/>
      <c r="AQ572" s="77"/>
      <c r="AU572" s="34">
        <v>15</v>
      </c>
      <c r="AV572" s="3"/>
      <c r="AW572" s="77"/>
      <c r="AY572" s="34">
        <v>15</v>
      </c>
      <c r="AZ572" s="3"/>
      <c r="BA572" s="77"/>
      <c r="BC572" s="34">
        <v>15</v>
      </c>
      <c r="BD572" s="3"/>
      <c r="BE572" s="77"/>
      <c r="BH572" s="5"/>
      <c r="BL572" s="36">
        <v>15</v>
      </c>
      <c r="BM572" s="3"/>
      <c r="BN572" s="77"/>
      <c r="BP572" s="34">
        <v>15</v>
      </c>
      <c r="BQ572" s="3"/>
      <c r="BR572" s="4"/>
      <c r="BV572" s="34">
        <v>15</v>
      </c>
      <c r="BW572" s="3"/>
      <c r="BX572" s="4"/>
      <c r="BZ572" s="36">
        <v>15</v>
      </c>
      <c r="CA572" s="3"/>
      <c r="CB572" s="77"/>
      <c r="CL572" s="10"/>
      <c r="CM572" s="8"/>
      <c r="CN572" s="1"/>
    </row>
    <row r="573" spans="2:92" ht="16.5" customHeight="1">
      <c r="B573" s="34">
        <v>16</v>
      </c>
      <c r="C573" s="3"/>
      <c r="D573" s="77"/>
      <c r="F573" s="34">
        <v>16</v>
      </c>
      <c r="G573" s="3"/>
      <c r="H573" s="77"/>
      <c r="J573" s="34">
        <v>16</v>
      </c>
      <c r="K573" s="3"/>
      <c r="L573" s="77"/>
      <c r="P573" s="34">
        <v>16</v>
      </c>
      <c r="Q573" s="3"/>
      <c r="R573" s="77"/>
      <c r="T573" s="34">
        <v>16</v>
      </c>
      <c r="U573" s="3"/>
      <c r="V573" s="77"/>
      <c r="X573" s="34">
        <v>16</v>
      </c>
      <c r="Y573" s="3"/>
      <c r="Z573" s="77"/>
      <c r="AC573" s="5"/>
      <c r="AG573" s="34">
        <v>16</v>
      </c>
      <c r="AH573" s="3"/>
      <c r="AI573" s="77"/>
      <c r="AK573" s="34">
        <v>16</v>
      </c>
      <c r="AL573" s="2"/>
      <c r="AM573" s="205"/>
      <c r="AO573" s="34">
        <v>16</v>
      </c>
      <c r="AP573" s="3"/>
      <c r="AQ573" s="77"/>
      <c r="AU573" s="34">
        <v>16</v>
      </c>
      <c r="AV573" s="3"/>
      <c r="AW573" s="77"/>
      <c r="AY573" s="34">
        <v>16</v>
      </c>
      <c r="AZ573" s="3"/>
      <c r="BA573" s="77"/>
      <c r="BC573" s="34">
        <v>16</v>
      </c>
      <c r="BD573" s="3"/>
      <c r="BE573" s="77"/>
      <c r="BH573" s="5"/>
      <c r="BL573" s="36">
        <v>16</v>
      </c>
      <c r="BM573" s="3"/>
      <c r="BN573" s="77"/>
      <c r="BP573" s="34">
        <v>16</v>
      </c>
      <c r="BQ573" s="3"/>
      <c r="BR573" s="4"/>
      <c r="BV573" s="34">
        <v>16</v>
      </c>
      <c r="BW573" s="3"/>
      <c r="BX573" s="4"/>
      <c r="BZ573" s="36">
        <v>16</v>
      </c>
      <c r="CA573" s="3"/>
      <c r="CB573" s="77"/>
      <c r="CL573" s="10"/>
      <c r="CM573" s="8"/>
      <c r="CN573" s="1"/>
    </row>
    <row r="574" spans="2:92" ht="16.5" customHeight="1">
      <c r="B574" s="34">
        <v>17</v>
      </c>
      <c r="C574" s="3"/>
      <c r="D574" s="77"/>
      <c r="F574" s="34">
        <v>17</v>
      </c>
      <c r="G574" s="3"/>
      <c r="H574" s="77"/>
      <c r="J574" s="34">
        <v>17</v>
      </c>
      <c r="K574" s="3"/>
      <c r="L574" s="77"/>
      <c r="P574" s="34">
        <v>17</v>
      </c>
      <c r="Q574" s="3"/>
      <c r="R574" s="77"/>
      <c r="T574" s="34">
        <v>17</v>
      </c>
      <c r="U574" s="3"/>
      <c r="V574" s="77"/>
      <c r="X574" s="34">
        <v>17</v>
      </c>
      <c r="Y574" s="3"/>
      <c r="Z574" s="77"/>
      <c r="AC574" s="5"/>
      <c r="AG574" s="34">
        <v>17</v>
      </c>
      <c r="AH574" s="3"/>
      <c r="AI574" s="77"/>
      <c r="AK574" s="34">
        <v>17</v>
      </c>
      <c r="AL574" s="2"/>
      <c r="AM574" s="205"/>
      <c r="AO574" s="34">
        <v>17</v>
      </c>
      <c r="AP574" s="3"/>
      <c r="AQ574" s="77"/>
      <c r="AU574" s="34">
        <v>17</v>
      </c>
      <c r="AV574" s="3"/>
      <c r="AW574" s="77"/>
      <c r="AY574" s="34">
        <v>17</v>
      </c>
      <c r="AZ574" s="3"/>
      <c r="BA574" s="77"/>
      <c r="BC574" s="34">
        <v>17</v>
      </c>
      <c r="BD574" s="3"/>
      <c r="BE574" s="77"/>
      <c r="BH574" s="5"/>
      <c r="BL574" s="36">
        <v>17</v>
      </c>
      <c r="BM574" s="3"/>
      <c r="BN574" s="77"/>
      <c r="BP574" s="34">
        <v>17</v>
      </c>
      <c r="BQ574" s="3"/>
      <c r="BR574" s="4"/>
      <c r="BV574" s="34">
        <v>17</v>
      </c>
      <c r="BW574" s="3"/>
      <c r="BX574" s="4"/>
      <c r="BZ574" s="36">
        <v>17</v>
      </c>
      <c r="CA574" s="3"/>
      <c r="CB574" s="77"/>
      <c r="CL574" s="10"/>
      <c r="CM574" s="8"/>
      <c r="CN574" s="1"/>
    </row>
    <row r="575" spans="2:92" ht="16.5" customHeight="1">
      <c r="B575" s="34">
        <v>18</v>
      </c>
      <c r="C575" s="3"/>
      <c r="D575" s="77"/>
      <c r="F575" s="34">
        <v>18</v>
      </c>
      <c r="G575" s="3"/>
      <c r="H575" s="77"/>
      <c r="J575" s="34">
        <v>18</v>
      </c>
      <c r="K575" s="3"/>
      <c r="L575" s="77"/>
      <c r="P575" s="34">
        <v>18</v>
      </c>
      <c r="Q575" s="3"/>
      <c r="R575" s="77"/>
      <c r="T575" s="34">
        <v>18</v>
      </c>
      <c r="U575" s="3"/>
      <c r="V575" s="77"/>
      <c r="X575" s="34">
        <v>18</v>
      </c>
      <c r="Y575" s="3"/>
      <c r="Z575" s="77"/>
      <c r="AC575" s="5"/>
      <c r="AG575" s="34">
        <v>18</v>
      </c>
      <c r="AH575" s="2"/>
      <c r="AI575" s="205"/>
      <c r="AK575" s="34">
        <v>18</v>
      </c>
      <c r="AL575" s="2"/>
      <c r="AM575" s="205"/>
      <c r="AO575" s="34">
        <v>18</v>
      </c>
      <c r="AP575" s="2"/>
      <c r="AQ575" s="205"/>
      <c r="AU575" s="34">
        <v>18</v>
      </c>
      <c r="AV575" s="3"/>
      <c r="AW575" s="77"/>
      <c r="AY575" s="34">
        <v>18</v>
      </c>
      <c r="AZ575" s="3"/>
      <c r="BA575" s="77"/>
      <c r="BC575" s="34">
        <v>18</v>
      </c>
      <c r="BD575" s="3"/>
      <c r="BE575" s="77"/>
      <c r="BH575" s="5"/>
      <c r="BL575" s="36">
        <v>18</v>
      </c>
      <c r="BM575" s="3"/>
      <c r="BN575" s="77"/>
      <c r="BP575" s="34">
        <v>18</v>
      </c>
      <c r="BQ575" s="3"/>
      <c r="BR575" s="4"/>
      <c r="BV575" s="34">
        <v>18</v>
      </c>
      <c r="BW575" s="3"/>
      <c r="BX575" s="4"/>
      <c r="BZ575" s="36">
        <v>18</v>
      </c>
      <c r="CA575" s="3"/>
      <c r="CB575" s="77"/>
      <c r="CL575" s="10"/>
      <c r="CM575" s="8"/>
      <c r="CN575" s="1"/>
    </row>
    <row r="576" spans="2:92" ht="16.5" customHeight="1">
      <c r="B576" s="34">
        <v>19</v>
      </c>
      <c r="C576" s="3"/>
      <c r="D576" s="77"/>
      <c r="F576" s="34">
        <v>19</v>
      </c>
      <c r="G576" s="3"/>
      <c r="H576" s="77"/>
      <c r="J576" s="34">
        <v>19</v>
      </c>
      <c r="K576" s="3"/>
      <c r="L576" s="77"/>
      <c r="P576" s="34">
        <v>19</v>
      </c>
      <c r="Q576" s="3"/>
      <c r="R576" s="77"/>
      <c r="T576" s="34">
        <v>19</v>
      </c>
      <c r="U576" s="3"/>
      <c r="V576" s="77"/>
      <c r="X576" s="34">
        <v>19</v>
      </c>
      <c r="Y576" s="3"/>
      <c r="Z576" s="77"/>
      <c r="AC576" s="5"/>
      <c r="AG576" s="34">
        <v>19</v>
      </c>
      <c r="AH576" s="2"/>
      <c r="AI576" s="205"/>
      <c r="AK576" s="34">
        <v>19</v>
      </c>
      <c r="AL576" s="2"/>
      <c r="AM576" s="205"/>
      <c r="AO576" s="34">
        <v>19</v>
      </c>
      <c r="AP576" s="2"/>
      <c r="AQ576" s="205"/>
      <c r="AU576" s="34">
        <v>19</v>
      </c>
      <c r="AV576" s="3"/>
      <c r="AW576" s="77"/>
      <c r="AY576" s="34">
        <v>19</v>
      </c>
      <c r="AZ576" s="3"/>
      <c r="BA576" s="77"/>
      <c r="BC576" s="34">
        <v>19</v>
      </c>
      <c r="BD576" s="3"/>
      <c r="BE576" s="77"/>
      <c r="BH576" s="5"/>
      <c r="BL576" s="36">
        <v>19</v>
      </c>
      <c r="BM576" s="3"/>
      <c r="BN576" s="77"/>
      <c r="BP576" s="34">
        <v>19</v>
      </c>
      <c r="BQ576" s="3"/>
      <c r="BR576" s="4"/>
      <c r="BV576" s="34">
        <v>19</v>
      </c>
      <c r="BW576" s="3"/>
      <c r="BX576" s="4"/>
      <c r="BZ576" s="36">
        <v>19</v>
      </c>
      <c r="CA576" s="3"/>
      <c r="CB576" s="4"/>
      <c r="CL576" s="10"/>
      <c r="CM576" s="8"/>
      <c r="CN576" s="1"/>
    </row>
    <row r="577" spans="2:92" ht="16.5" customHeight="1">
      <c r="B577" s="34">
        <v>20</v>
      </c>
      <c r="C577" s="3"/>
      <c r="D577" s="77"/>
      <c r="F577" s="34">
        <v>20</v>
      </c>
      <c r="G577" s="3"/>
      <c r="H577" s="77"/>
      <c r="J577" s="34">
        <v>20</v>
      </c>
      <c r="K577" s="3"/>
      <c r="L577" s="77"/>
      <c r="P577" s="34">
        <v>20</v>
      </c>
      <c r="Q577" s="3"/>
      <c r="R577" s="77"/>
      <c r="T577" s="34">
        <v>20</v>
      </c>
      <c r="U577" s="3"/>
      <c r="V577" s="77"/>
      <c r="X577" s="34">
        <v>20</v>
      </c>
      <c r="Y577" s="3"/>
      <c r="Z577" s="77"/>
      <c r="AC577" s="5"/>
      <c r="AG577" s="34">
        <v>20</v>
      </c>
      <c r="AH577" s="2"/>
      <c r="AI577" s="205"/>
      <c r="AK577" s="34">
        <v>20</v>
      </c>
      <c r="AL577" s="2"/>
      <c r="AM577" s="205"/>
      <c r="AO577" s="34">
        <v>20</v>
      </c>
      <c r="AP577" s="2"/>
      <c r="AQ577" s="205"/>
      <c r="AU577" s="34">
        <v>20</v>
      </c>
      <c r="AV577" s="3"/>
      <c r="AW577" s="77"/>
      <c r="AY577" s="34">
        <v>20</v>
      </c>
      <c r="AZ577" s="3"/>
      <c r="BA577" s="77"/>
      <c r="BC577" s="34">
        <v>20</v>
      </c>
      <c r="BD577" s="3"/>
      <c r="BE577" s="77"/>
      <c r="BH577" s="5"/>
      <c r="BL577" s="36">
        <v>20</v>
      </c>
      <c r="BM577" s="3"/>
      <c r="BN577" s="77"/>
      <c r="BP577" s="34">
        <v>20</v>
      </c>
      <c r="BQ577" s="3"/>
      <c r="BR577" s="4"/>
      <c r="BV577" s="34">
        <v>20</v>
      </c>
      <c r="BW577" s="3"/>
      <c r="BX577" s="4"/>
      <c r="BZ577" s="36">
        <v>20</v>
      </c>
      <c r="CA577" s="3"/>
      <c r="CB577" s="77"/>
      <c r="CL577" s="10"/>
      <c r="CM577" s="8"/>
      <c r="CN577" s="1"/>
    </row>
    <row r="578" spans="2:92" ht="16.5" customHeight="1">
      <c r="B578" s="34">
        <v>21</v>
      </c>
      <c r="C578" s="3"/>
      <c r="D578" s="77"/>
      <c r="F578" s="34">
        <v>21</v>
      </c>
      <c r="G578" s="3"/>
      <c r="H578" s="77"/>
      <c r="J578" s="34">
        <v>21</v>
      </c>
      <c r="K578" s="3"/>
      <c r="L578" s="77"/>
      <c r="P578" s="34">
        <v>21</v>
      </c>
      <c r="Q578" s="3"/>
      <c r="R578" s="77"/>
      <c r="T578" s="34">
        <v>21</v>
      </c>
      <c r="U578" s="3"/>
      <c r="V578" s="77"/>
      <c r="X578" s="34">
        <v>21</v>
      </c>
      <c r="Y578" s="3"/>
      <c r="Z578" s="77"/>
      <c r="AC578" s="5"/>
      <c r="AG578" s="34">
        <v>21</v>
      </c>
      <c r="AH578" s="2"/>
      <c r="AI578" s="205"/>
      <c r="AK578" s="34">
        <v>21</v>
      </c>
      <c r="AL578" s="2"/>
      <c r="AM578" s="205"/>
      <c r="AO578" s="34">
        <v>21</v>
      </c>
      <c r="AP578" s="2"/>
      <c r="AQ578" s="205"/>
      <c r="AU578" s="34">
        <v>21</v>
      </c>
      <c r="AV578" s="3"/>
      <c r="AW578" s="77"/>
      <c r="AY578" s="34">
        <v>21</v>
      </c>
      <c r="AZ578" s="3"/>
      <c r="BA578" s="77"/>
      <c r="BC578" s="34">
        <v>21</v>
      </c>
      <c r="BD578" s="3"/>
      <c r="BE578" s="77"/>
      <c r="BH578" s="5"/>
      <c r="BL578" s="36">
        <v>21</v>
      </c>
      <c r="BM578" s="3"/>
      <c r="BN578" s="4"/>
      <c r="BP578" s="34">
        <v>21</v>
      </c>
      <c r="BQ578" s="3"/>
      <c r="BR578" s="4"/>
      <c r="BV578" s="34">
        <v>21</v>
      </c>
      <c r="BW578" s="3"/>
      <c r="BX578" s="4"/>
      <c r="BZ578" s="36">
        <v>21</v>
      </c>
      <c r="CA578" s="3"/>
      <c r="CB578" s="4"/>
      <c r="CL578" s="10"/>
      <c r="CM578" s="8"/>
      <c r="CN578" s="1"/>
    </row>
    <row r="579" spans="2:92" ht="16.5" customHeight="1">
      <c r="B579" s="34">
        <v>22</v>
      </c>
      <c r="C579" s="3"/>
      <c r="D579" s="77"/>
      <c r="F579" s="34">
        <v>22</v>
      </c>
      <c r="G579" s="3"/>
      <c r="H579" s="77"/>
      <c r="J579" s="34">
        <v>22</v>
      </c>
      <c r="K579" s="3"/>
      <c r="L579" s="77"/>
      <c r="P579" s="34">
        <v>22</v>
      </c>
      <c r="Q579" s="3"/>
      <c r="R579" s="77"/>
      <c r="T579" s="34">
        <v>22</v>
      </c>
      <c r="U579" s="3"/>
      <c r="V579" s="77"/>
      <c r="X579" s="34">
        <v>22</v>
      </c>
      <c r="Y579" s="3"/>
      <c r="Z579" s="77"/>
      <c r="AC579" s="5"/>
      <c r="AG579" s="34">
        <v>22</v>
      </c>
      <c r="AH579" s="2"/>
      <c r="AI579" s="205"/>
      <c r="AK579" s="34">
        <v>22</v>
      </c>
      <c r="AL579" s="3"/>
      <c r="AM579" s="77"/>
      <c r="AO579" s="34">
        <v>22</v>
      </c>
      <c r="AP579" s="2"/>
      <c r="AQ579" s="205"/>
      <c r="AU579" s="34">
        <v>22</v>
      </c>
      <c r="AV579" s="3"/>
      <c r="AW579" s="77"/>
      <c r="AY579" s="34">
        <v>22</v>
      </c>
      <c r="AZ579" s="3"/>
      <c r="BA579" s="77"/>
      <c r="BC579" s="34">
        <v>22</v>
      </c>
      <c r="BD579" s="3"/>
      <c r="BE579" s="77"/>
      <c r="BH579" s="5"/>
      <c r="BL579" s="36">
        <v>22</v>
      </c>
      <c r="BM579" s="3"/>
      <c r="BN579" s="4"/>
      <c r="BP579" s="34">
        <v>22</v>
      </c>
      <c r="BQ579" s="3"/>
      <c r="BR579" s="4"/>
      <c r="BV579" s="34">
        <v>22</v>
      </c>
      <c r="BW579" s="3"/>
      <c r="BX579" s="4"/>
      <c r="BZ579" s="36">
        <v>22</v>
      </c>
      <c r="CA579" s="3"/>
      <c r="CB579" s="4"/>
      <c r="CL579" s="10"/>
      <c r="CM579" s="8"/>
      <c r="CN579" s="1"/>
    </row>
    <row r="580" spans="2:92" ht="20.25" customHeight="1">
      <c r="B580" s="34">
        <v>23</v>
      </c>
      <c r="C580" s="3"/>
      <c r="D580" s="77"/>
      <c r="F580" s="34">
        <v>23</v>
      </c>
      <c r="G580" s="3"/>
      <c r="H580" s="77"/>
      <c r="J580" s="34">
        <v>23</v>
      </c>
      <c r="K580" s="3"/>
      <c r="L580" s="77"/>
      <c r="P580" s="34">
        <v>23</v>
      </c>
      <c r="Q580" s="3"/>
      <c r="R580" s="77"/>
      <c r="T580" s="34">
        <v>23</v>
      </c>
      <c r="U580" s="3"/>
      <c r="V580" s="77"/>
      <c r="X580" s="34">
        <v>23</v>
      </c>
      <c r="Y580" s="3"/>
      <c r="Z580" s="77"/>
      <c r="AC580" s="5"/>
      <c r="AG580" s="34">
        <v>23</v>
      </c>
      <c r="AH580" s="2"/>
      <c r="AI580" s="205"/>
      <c r="AK580" s="34">
        <v>23</v>
      </c>
      <c r="AL580" s="3"/>
      <c r="AM580" s="77"/>
      <c r="AO580" s="34">
        <v>23</v>
      </c>
      <c r="AP580" s="2"/>
      <c r="AQ580" s="205"/>
      <c r="AU580" s="34">
        <v>23</v>
      </c>
      <c r="AV580" s="3"/>
      <c r="AW580" s="77"/>
      <c r="AY580" s="34">
        <v>23</v>
      </c>
      <c r="AZ580" s="3"/>
      <c r="BA580" s="77"/>
      <c r="BC580" s="34">
        <v>23</v>
      </c>
      <c r="BD580" s="3"/>
      <c r="BE580" s="77"/>
      <c r="BH580" s="5"/>
      <c r="BL580" s="36">
        <v>23</v>
      </c>
      <c r="BM580" s="3"/>
      <c r="BN580" s="4"/>
      <c r="BP580" s="34">
        <v>23</v>
      </c>
      <c r="BQ580" s="3"/>
      <c r="BR580" s="4"/>
      <c r="BV580" s="34">
        <v>23</v>
      </c>
      <c r="BW580" s="3"/>
      <c r="BX580" s="4"/>
      <c r="BZ580" s="36">
        <v>23</v>
      </c>
      <c r="CA580" s="3"/>
      <c r="CB580" s="4"/>
      <c r="CL580" s="10"/>
      <c r="CM580" s="8"/>
      <c r="CN580" s="1"/>
    </row>
    <row r="581" spans="2:92">
      <c r="AC581" s="5"/>
      <c r="BH581" s="5"/>
      <c r="CL581" s="1"/>
      <c r="CN581" s="1"/>
    </row>
    <row r="582" spans="2:92">
      <c r="AC582" s="5"/>
      <c r="BH582" s="5"/>
      <c r="CL582" s="1"/>
      <c r="CN582" s="1"/>
    </row>
    <row r="583" spans="2:92">
      <c r="AC583" s="5"/>
      <c r="BH583" s="5"/>
      <c r="CL583" s="1"/>
      <c r="CN583" s="1"/>
    </row>
    <row r="584" spans="2:92" s="1" customFormat="1" ht="20.25" customHeight="1">
      <c r="B584" s="54"/>
      <c r="C584" s="55">
        <f>'NRB 공장 내부 배치도'!C29</f>
        <v>0</v>
      </c>
      <c r="D584" s="199"/>
      <c r="F584" s="54"/>
      <c r="G584" s="55">
        <f>'NRB 공장 내부 배치도'!D29</f>
        <v>0</v>
      </c>
      <c r="H584" s="199"/>
      <c r="J584" s="54"/>
      <c r="K584" s="55">
        <f>'NRB 공장 내부 배치도'!E29</f>
        <v>0</v>
      </c>
      <c r="L584" s="199"/>
      <c r="P584" s="54"/>
      <c r="Q584" s="55">
        <f>'NRB 공장 내부 배치도'!G29</f>
        <v>0</v>
      </c>
      <c r="R584" s="199"/>
      <c r="T584" s="54"/>
      <c r="U584" s="55">
        <f>'NRB 공장 내부 배치도'!H29</f>
        <v>0</v>
      </c>
      <c r="V584" s="199"/>
      <c r="X584" s="54"/>
      <c r="Y584" s="55">
        <f>'NRB 공장 내부 배치도'!I29</f>
        <v>0</v>
      </c>
      <c r="Z584" s="199"/>
      <c r="AC584" s="71"/>
      <c r="AG584" s="54"/>
      <c r="AH584" s="55">
        <f>'NRB 공장 내부 배치도'!L29</f>
        <v>0</v>
      </c>
      <c r="AI584" s="199"/>
      <c r="AK584" s="54"/>
      <c r="AL584" s="55">
        <f>'NRB 공장 내부 배치도'!M29</f>
        <v>0</v>
      </c>
      <c r="AM584" s="199"/>
      <c r="AO584" s="54"/>
      <c r="AP584" s="55">
        <f>'NRB 공장 내부 배치도'!N29</f>
        <v>0</v>
      </c>
      <c r="AQ584" s="199"/>
      <c r="AU584" s="54"/>
      <c r="AV584" s="55">
        <f>'NRB 공장 내부 배치도'!P29</f>
        <v>0</v>
      </c>
      <c r="AW584" s="199"/>
      <c r="AY584" s="54"/>
      <c r="AZ584" s="55">
        <f>'NRB 공장 내부 배치도'!Q29</f>
        <v>0</v>
      </c>
      <c r="BA584" s="199"/>
      <c r="BC584" s="54"/>
      <c r="BD584" s="55">
        <f>'NRB 공장 내부 배치도'!R29</f>
        <v>0</v>
      </c>
      <c r="BE584" s="199"/>
      <c r="BF584" s="204"/>
      <c r="BH584" s="71"/>
      <c r="BL584" s="54"/>
      <c r="BM584" s="55">
        <f>'NRB 공장 내부 배치도'!U29</f>
        <v>0</v>
      </c>
      <c r="BN584" s="56"/>
      <c r="BP584" s="11"/>
      <c r="BQ584" s="55">
        <f>'NRB 공장 내부 배치도'!V29</f>
        <v>0</v>
      </c>
      <c r="BR584" s="24"/>
      <c r="BV584" s="54"/>
      <c r="BW584" s="55">
        <f>'NRB 공장 내부 배치도'!X29</f>
        <v>0</v>
      </c>
      <c r="BX584" s="56"/>
      <c r="BZ584" s="54"/>
      <c r="CA584" s="55">
        <f>'NRB 공장 내부 배치도'!Y29</f>
        <v>0</v>
      </c>
      <c r="CB584" s="56"/>
      <c r="CF584" s="71"/>
      <c r="CG584" s="71"/>
      <c r="CH584" s="71"/>
      <c r="CL584" s="21"/>
      <c r="CM584" s="21"/>
      <c r="CN584" s="21"/>
    </row>
    <row r="585" spans="2:92" ht="16.5" customHeight="1">
      <c r="B585" s="34">
        <v>1</v>
      </c>
      <c r="C585" s="3"/>
      <c r="D585" s="77"/>
      <c r="F585" s="34">
        <v>1</v>
      </c>
      <c r="G585" s="3"/>
      <c r="H585" s="77"/>
      <c r="J585" s="34">
        <v>1</v>
      </c>
      <c r="K585" s="3"/>
      <c r="L585" s="77"/>
      <c r="P585" s="34">
        <v>1</v>
      </c>
      <c r="Q585" s="3"/>
      <c r="R585" s="77"/>
      <c r="T585" s="34">
        <v>1</v>
      </c>
      <c r="U585" s="3"/>
      <c r="V585" s="77"/>
      <c r="X585" s="34">
        <v>1</v>
      </c>
      <c r="Y585" s="3"/>
      <c r="Z585" s="77"/>
      <c r="AC585" s="5"/>
      <c r="AG585" s="34">
        <v>1</v>
      </c>
      <c r="AH585" s="3"/>
      <c r="AI585" s="77"/>
      <c r="AK585" s="34">
        <v>1</v>
      </c>
      <c r="AL585" s="3"/>
      <c r="AM585" s="77"/>
      <c r="AO585" s="34">
        <v>1</v>
      </c>
      <c r="AP585" s="3"/>
      <c r="AQ585" s="77"/>
      <c r="AU585" s="34">
        <v>1</v>
      </c>
      <c r="AV585" s="3"/>
      <c r="AW585" s="77"/>
      <c r="AY585" s="34">
        <v>1</v>
      </c>
      <c r="AZ585" s="3"/>
      <c r="BA585" s="77"/>
      <c r="BC585" s="34">
        <v>1</v>
      </c>
      <c r="BD585" s="3"/>
      <c r="BE585" s="77"/>
      <c r="BH585" s="5"/>
      <c r="BL585" s="36">
        <v>1</v>
      </c>
      <c r="BM585" s="3"/>
      <c r="BN585" s="4"/>
      <c r="BP585" s="34">
        <v>1</v>
      </c>
      <c r="BQ585" s="27"/>
      <c r="BR585" s="62"/>
      <c r="BV585" s="34">
        <v>1</v>
      </c>
      <c r="BW585" s="3"/>
      <c r="BX585" s="77"/>
      <c r="BZ585" s="36">
        <v>1</v>
      </c>
      <c r="CA585" s="3"/>
      <c r="CB585" s="77"/>
      <c r="CL585" s="10"/>
      <c r="CM585" s="8"/>
      <c r="CN585" s="1"/>
    </row>
    <row r="586" spans="2:92" ht="16.5" customHeight="1">
      <c r="B586" s="34">
        <v>2</v>
      </c>
      <c r="C586" s="3"/>
      <c r="D586" s="77"/>
      <c r="F586" s="34">
        <v>2</v>
      </c>
      <c r="G586" s="3"/>
      <c r="H586" s="77"/>
      <c r="J586" s="34">
        <v>2</v>
      </c>
      <c r="K586" s="3"/>
      <c r="L586" s="77"/>
      <c r="P586" s="34">
        <v>2</v>
      </c>
      <c r="Q586" s="3"/>
      <c r="R586" s="77"/>
      <c r="T586" s="34">
        <v>2</v>
      </c>
      <c r="U586" s="3"/>
      <c r="V586" s="77"/>
      <c r="X586" s="34">
        <v>2</v>
      </c>
      <c r="Y586" s="3"/>
      <c r="Z586" s="77"/>
      <c r="AC586" s="5"/>
      <c r="AG586" s="34">
        <v>2</v>
      </c>
      <c r="AH586" s="3"/>
      <c r="AI586" s="77"/>
      <c r="AK586" s="34">
        <v>2</v>
      </c>
      <c r="AL586" s="3"/>
      <c r="AM586" s="77"/>
      <c r="AO586" s="34">
        <v>2</v>
      </c>
      <c r="AP586" s="3"/>
      <c r="AQ586" s="77"/>
      <c r="AU586" s="34">
        <v>2</v>
      </c>
      <c r="AV586" s="3"/>
      <c r="AW586" s="77"/>
      <c r="AY586" s="34">
        <v>2</v>
      </c>
      <c r="AZ586" s="3"/>
      <c r="BA586" s="77"/>
      <c r="BC586" s="34">
        <v>2</v>
      </c>
      <c r="BD586" s="3"/>
      <c r="BE586" s="77"/>
      <c r="BH586" s="5"/>
      <c r="BL586" s="36">
        <v>2</v>
      </c>
      <c r="BM586" s="3"/>
      <c r="BN586" s="4"/>
      <c r="BP586" s="34">
        <v>2</v>
      </c>
      <c r="BQ586" s="27"/>
      <c r="BR586" s="4"/>
      <c r="BV586" s="34">
        <v>2</v>
      </c>
      <c r="BW586" s="3"/>
      <c r="BX586" s="77"/>
      <c r="BZ586" s="36">
        <v>2</v>
      </c>
      <c r="CA586" s="3"/>
      <c r="CB586" s="77"/>
      <c r="CL586" s="10"/>
      <c r="CM586" s="8"/>
      <c r="CN586" s="1"/>
    </row>
    <row r="587" spans="2:92" ht="16.5" customHeight="1">
      <c r="B587" s="34">
        <v>3</v>
      </c>
      <c r="C587" s="3"/>
      <c r="D587" s="77"/>
      <c r="F587" s="34">
        <v>3</v>
      </c>
      <c r="G587" s="3"/>
      <c r="H587" s="77"/>
      <c r="J587" s="34">
        <v>3</v>
      </c>
      <c r="K587" s="3"/>
      <c r="L587" s="77"/>
      <c r="P587" s="34">
        <v>3</v>
      </c>
      <c r="Q587" s="3"/>
      <c r="R587" s="77"/>
      <c r="T587" s="34">
        <v>3</v>
      </c>
      <c r="U587" s="3"/>
      <c r="V587" s="77"/>
      <c r="X587" s="34">
        <v>3</v>
      </c>
      <c r="Y587" s="3"/>
      <c r="Z587" s="77"/>
      <c r="AC587" s="5"/>
      <c r="AG587" s="34">
        <v>3</v>
      </c>
      <c r="AH587" s="3"/>
      <c r="AI587" s="77"/>
      <c r="AK587" s="34">
        <v>3</v>
      </c>
      <c r="AL587" s="3"/>
      <c r="AM587" s="77"/>
      <c r="AO587" s="34">
        <v>3</v>
      </c>
      <c r="AP587" s="3"/>
      <c r="AQ587" s="77"/>
      <c r="AU587" s="34">
        <v>3</v>
      </c>
      <c r="AV587" s="3"/>
      <c r="AW587" s="77"/>
      <c r="AY587" s="34">
        <v>3</v>
      </c>
      <c r="AZ587" s="3"/>
      <c r="BA587" s="77"/>
      <c r="BC587" s="34">
        <v>3</v>
      </c>
      <c r="BD587" s="3"/>
      <c r="BE587" s="77"/>
      <c r="BH587" s="5"/>
      <c r="BL587" s="36">
        <v>3</v>
      </c>
      <c r="BM587" s="3"/>
      <c r="BN587" s="4"/>
      <c r="BP587" s="34">
        <v>3</v>
      </c>
      <c r="BQ587" s="27"/>
      <c r="BR587" s="4"/>
      <c r="BV587" s="34">
        <v>3</v>
      </c>
      <c r="BW587" s="3"/>
      <c r="BX587" s="77"/>
      <c r="BZ587" s="36">
        <v>3</v>
      </c>
      <c r="CA587" s="3"/>
      <c r="CB587" s="77"/>
      <c r="CL587" s="10"/>
      <c r="CM587" s="8"/>
      <c r="CN587" s="1"/>
    </row>
    <row r="588" spans="2:92" ht="16.5" customHeight="1">
      <c r="B588" s="34">
        <v>4</v>
      </c>
      <c r="C588" s="3"/>
      <c r="D588" s="77"/>
      <c r="F588" s="34">
        <v>4</v>
      </c>
      <c r="G588" s="3"/>
      <c r="H588" s="77"/>
      <c r="J588" s="34">
        <v>4</v>
      </c>
      <c r="K588" s="3"/>
      <c r="L588" s="77"/>
      <c r="P588" s="34">
        <v>4</v>
      </c>
      <c r="Q588" s="3"/>
      <c r="R588" s="77"/>
      <c r="T588" s="34">
        <v>4</v>
      </c>
      <c r="U588" s="3"/>
      <c r="V588" s="77"/>
      <c r="X588" s="34">
        <v>4</v>
      </c>
      <c r="Y588" s="3"/>
      <c r="Z588" s="77"/>
      <c r="AC588" s="5"/>
      <c r="AG588" s="34">
        <v>4</v>
      </c>
      <c r="AH588" s="3"/>
      <c r="AI588" s="77"/>
      <c r="AK588" s="34">
        <v>4</v>
      </c>
      <c r="AL588" s="3"/>
      <c r="AM588" s="77"/>
      <c r="AO588" s="34">
        <v>4</v>
      </c>
      <c r="AP588" s="3"/>
      <c r="AQ588" s="77"/>
      <c r="AU588" s="34">
        <v>4</v>
      </c>
      <c r="AV588" s="3"/>
      <c r="AW588" s="77"/>
      <c r="AY588" s="34">
        <v>4</v>
      </c>
      <c r="AZ588" s="3"/>
      <c r="BA588" s="77"/>
      <c r="BC588" s="34">
        <v>4</v>
      </c>
      <c r="BD588" s="3"/>
      <c r="BE588" s="77"/>
      <c r="BH588" s="5"/>
      <c r="BL588" s="36">
        <v>4</v>
      </c>
      <c r="BM588" s="3"/>
      <c r="BN588" s="4"/>
      <c r="BP588" s="34">
        <v>4</v>
      </c>
      <c r="BQ588" s="27"/>
      <c r="BR588" s="4"/>
      <c r="BV588" s="34">
        <v>4</v>
      </c>
      <c r="BW588" s="3"/>
      <c r="BX588" s="77"/>
      <c r="BZ588" s="36">
        <v>4</v>
      </c>
      <c r="CA588" s="3"/>
      <c r="CB588" s="77"/>
      <c r="CL588" s="10"/>
      <c r="CM588" s="8"/>
      <c r="CN588" s="1"/>
    </row>
    <row r="589" spans="2:92" ht="16.5" customHeight="1">
      <c r="B589" s="34">
        <v>5</v>
      </c>
      <c r="C589" s="3"/>
      <c r="D589" s="77"/>
      <c r="F589" s="34">
        <v>5</v>
      </c>
      <c r="G589" s="3"/>
      <c r="H589" s="77"/>
      <c r="J589" s="34">
        <v>5</v>
      </c>
      <c r="K589" s="3"/>
      <c r="L589" s="77"/>
      <c r="P589" s="34">
        <v>5</v>
      </c>
      <c r="Q589" s="3"/>
      <c r="R589" s="77"/>
      <c r="T589" s="34">
        <v>5</v>
      </c>
      <c r="U589" s="3"/>
      <c r="V589" s="77"/>
      <c r="X589" s="34">
        <v>5</v>
      </c>
      <c r="Y589" s="3"/>
      <c r="Z589" s="77"/>
      <c r="AC589" s="5"/>
      <c r="AG589" s="34">
        <v>5</v>
      </c>
      <c r="AH589" s="3"/>
      <c r="AI589" s="77"/>
      <c r="AK589" s="34">
        <v>5</v>
      </c>
      <c r="AL589" s="3"/>
      <c r="AM589" s="77"/>
      <c r="AO589" s="34">
        <v>5</v>
      </c>
      <c r="AP589" s="3"/>
      <c r="AQ589" s="77"/>
      <c r="AU589" s="34">
        <v>5</v>
      </c>
      <c r="AV589" s="3"/>
      <c r="AW589" s="77"/>
      <c r="AY589" s="34">
        <v>5</v>
      </c>
      <c r="AZ589" s="3"/>
      <c r="BA589" s="77"/>
      <c r="BC589" s="34">
        <v>5</v>
      </c>
      <c r="BD589" s="3"/>
      <c r="BE589" s="77"/>
      <c r="BH589" s="5"/>
      <c r="BL589" s="36">
        <v>5</v>
      </c>
      <c r="BM589" s="3"/>
      <c r="BN589" s="4"/>
      <c r="BP589" s="34">
        <v>5</v>
      </c>
      <c r="BQ589" s="27"/>
      <c r="BR589" s="4"/>
      <c r="BV589" s="34">
        <v>5</v>
      </c>
      <c r="BW589" s="3"/>
      <c r="BX589" s="77"/>
      <c r="BZ589" s="36">
        <v>5</v>
      </c>
      <c r="CA589" s="3"/>
      <c r="CB589" s="77"/>
      <c r="CL589" s="10"/>
      <c r="CM589" s="8"/>
      <c r="CN589" s="1"/>
    </row>
    <row r="590" spans="2:92" ht="16.5" customHeight="1">
      <c r="B590" s="34">
        <v>6</v>
      </c>
      <c r="C590" s="3"/>
      <c r="D590" s="77"/>
      <c r="F590" s="34">
        <v>6</v>
      </c>
      <c r="G590" s="3"/>
      <c r="H590" s="77"/>
      <c r="J590" s="34">
        <v>6</v>
      </c>
      <c r="K590" s="3"/>
      <c r="L590" s="77"/>
      <c r="P590" s="34">
        <v>6</v>
      </c>
      <c r="Q590" s="3"/>
      <c r="R590" s="77"/>
      <c r="T590" s="34">
        <v>6</v>
      </c>
      <c r="U590" s="3"/>
      <c r="V590" s="77"/>
      <c r="X590" s="34">
        <v>6</v>
      </c>
      <c r="Y590" s="3"/>
      <c r="Z590" s="77"/>
      <c r="AC590" s="5"/>
      <c r="AG590" s="34">
        <v>6</v>
      </c>
      <c r="AH590" s="3"/>
      <c r="AI590" s="77"/>
      <c r="AK590" s="34">
        <v>6</v>
      </c>
      <c r="AL590" s="3"/>
      <c r="AM590" s="77"/>
      <c r="AO590" s="34">
        <v>6</v>
      </c>
      <c r="AP590" s="3"/>
      <c r="AQ590" s="77"/>
      <c r="AU590" s="34">
        <v>6</v>
      </c>
      <c r="AV590" s="3"/>
      <c r="AW590" s="77"/>
      <c r="AY590" s="34">
        <v>6</v>
      </c>
      <c r="AZ590" s="3"/>
      <c r="BA590" s="77"/>
      <c r="BC590" s="34">
        <v>6</v>
      </c>
      <c r="BD590" s="3"/>
      <c r="BE590" s="77"/>
      <c r="BH590" s="5"/>
      <c r="BL590" s="36">
        <v>6</v>
      </c>
      <c r="BM590" s="3"/>
      <c r="BN590" s="4"/>
      <c r="BP590" s="34">
        <v>6</v>
      </c>
      <c r="BQ590" s="27"/>
      <c r="BR590" s="4"/>
      <c r="BV590" s="34">
        <v>6</v>
      </c>
      <c r="BW590" s="3"/>
      <c r="BX590" s="77"/>
      <c r="BZ590" s="36">
        <v>6</v>
      </c>
      <c r="CA590" s="3"/>
      <c r="CB590" s="77"/>
      <c r="CL590" s="10"/>
      <c r="CM590" s="8"/>
      <c r="CN590" s="1"/>
    </row>
    <row r="591" spans="2:92" ht="16.5" customHeight="1">
      <c r="B591" s="34">
        <v>7</v>
      </c>
      <c r="C591" s="3"/>
      <c r="D591" s="77"/>
      <c r="F591" s="34">
        <v>7</v>
      </c>
      <c r="G591" s="3"/>
      <c r="H591" s="77"/>
      <c r="J591" s="34">
        <v>7</v>
      </c>
      <c r="K591" s="3"/>
      <c r="L591" s="77"/>
      <c r="P591" s="34">
        <v>7</v>
      </c>
      <c r="Q591" s="3"/>
      <c r="R591" s="77"/>
      <c r="T591" s="34">
        <v>7</v>
      </c>
      <c r="U591" s="3"/>
      <c r="V591" s="77"/>
      <c r="X591" s="34">
        <v>7</v>
      </c>
      <c r="Y591" s="3"/>
      <c r="Z591" s="77"/>
      <c r="AC591" s="5"/>
      <c r="AG591" s="34">
        <v>7</v>
      </c>
      <c r="AH591" s="3"/>
      <c r="AI591" s="77"/>
      <c r="AK591" s="34">
        <v>7</v>
      </c>
      <c r="AL591" s="3"/>
      <c r="AM591" s="77"/>
      <c r="AO591" s="34">
        <v>7</v>
      </c>
      <c r="AP591" s="3"/>
      <c r="AQ591" s="77"/>
      <c r="AU591" s="34">
        <v>7</v>
      </c>
      <c r="AV591" s="3"/>
      <c r="AW591" s="77"/>
      <c r="AY591" s="34">
        <v>7</v>
      </c>
      <c r="AZ591" s="3"/>
      <c r="BA591" s="77"/>
      <c r="BC591" s="34">
        <v>7</v>
      </c>
      <c r="BD591" s="3"/>
      <c r="BE591" s="77"/>
      <c r="BH591" s="5"/>
      <c r="BL591" s="36">
        <v>7</v>
      </c>
      <c r="BM591" s="3"/>
      <c r="BN591" s="4"/>
      <c r="BP591" s="34">
        <v>7</v>
      </c>
      <c r="BQ591" s="27"/>
      <c r="BR591" s="4"/>
      <c r="BV591" s="34">
        <v>7</v>
      </c>
      <c r="BW591" s="3"/>
      <c r="BX591" s="4"/>
      <c r="BZ591" s="36">
        <v>7</v>
      </c>
      <c r="CA591" s="3"/>
      <c r="CB591" s="77"/>
      <c r="CL591" s="10"/>
      <c r="CM591" s="8"/>
      <c r="CN591" s="1"/>
    </row>
    <row r="592" spans="2:92" ht="16.5" customHeight="1">
      <c r="B592" s="34">
        <v>8</v>
      </c>
      <c r="C592" s="3"/>
      <c r="D592" s="77"/>
      <c r="F592" s="34">
        <v>8</v>
      </c>
      <c r="G592" s="3"/>
      <c r="H592" s="77"/>
      <c r="J592" s="34">
        <v>8</v>
      </c>
      <c r="K592" s="3"/>
      <c r="L592" s="77"/>
      <c r="P592" s="34">
        <v>8</v>
      </c>
      <c r="Q592" s="3"/>
      <c r="R592" s="77"/>
      <c r="T592" s="34">
        <v>8</v>
      </c>
      <c r="U592" s="3"/>
      <c r="V592" s="77"/>
      <c r="X592" s="34">
        <v>8</v>
      </c>
      <c r="Y592" s="3"/>
      <c r="Z592" s="77"/>
      <c r="AC592" s="5"/>
      <c r="AG592" s="34">
        <v>8</v>
      </c>
      <c r="AH592" s="3"/>
      <c r="AI592" s="77"/>
      <c r="AK592" s="34">
        <v>8</v>
      </c>
      <c r="AL592" s="3"/>
      <c r="AM592" s="77"/>
      <c r="AO592" s="34">
        <v>8</v>
      </c>
      <c r="AP592" s="3"/>
      <c r="AQ592" s="77"/>
      <c r="AU592" s="34">
        <v>8</v>
      </c>
      <c r="AV592" s="3"/>
      <c r="AW592" s="77"/>
      <c r="AY592" s="34">
        <v>8</v>
      </c>
      <c r="AZ592" s="3"/>
      <c r="BA592" s="77"/>
      <c r="BC592" s="34">
        <v>8</v>
      </c>
      <c r="BD592" s="3"/>
      <c r="BE592" s="77"/>
      <c r="BH592" s="5"/>
      <c r="BL592" s="36">
        <v>8</v>
      </c>
      <c r="BM592" s="3"/>
      <c r="BN592" s="4"/>
      <c r="BP592" s="34">
        <v>8</v>
      </c>
      <c r="BQ592" s="27"/>
      <c r="BR592" s="4"/>
      <c r="BV592" s="34">
        <v>8</v>
      </c>
      <c r="BW592" s="3"/>
      <c r="BX592" s="77"/>
      <c r="BZ592" s="36">
        <v>8</v>
      </c>
      <c r="CA592" s="3"/>
      <c r="CB592" s="77"/>
      <c r="CL592" s="10"/>
      <c r="CM592" s="8"/>
      <c r="CN592" s="1"/>
    </row>
    <row r="593" spans="2:92" ht="16.5" customHeight="1">
      <c r="B593" s="34">
        <v>9</v>
      </c>
      <c r="C593" s="3"/>
      <c r="D593" s="77"/>
      <c r="F593" s="34">
        <v>9</v>
      </c>
      <c r="G593" s="3"/>
      <c r="H593" s="77"/>
      <c r="J593" s="34">
        <v>9</v>
      </c>
      <c r="K593" s="3"/>
      <c r="L593" s="77"/>
      <c r="P593" s="34">
        <v>9</v>
      </c>
      <c r="Q593" s="3"/>
      <c r="R593" s="77"/>
      <c r="T593" s="34">
        <v>9</v>
      </c>
      <c r="U593" s="3"/>
      <c r="V593" s="77"/>
      <c r="X593" s="34">
        <v>9</v>
      </c>
      <c r="Y593" s="3"/>
      <c r="Z593" s="77"/>
      <c r="AC593" s="5"/>
      <c r="AG593" s="34">
        <v>9</v>
      </c>
      <c r="AH593" s="3"/>
      <c r="AI593" s="77"/>
      <c r="AK593" s="34">
        <v>9</v>
      </c>
      <c r="AL593" s="3"/>
      <c r="AM593" s="77"/>
      <c r="AO593" s="34">
        <v>9</v>
      </c>
      <c r="AP593" s="3"/>
      <c r="AQ593" s="77"/>
      <c r="AU593" s="34">
        <v>9</v>
      </c>
      <c r="AV593" s="3"/>
      <c r="AW593" s="77"/>
      <c r="AY593" s="34">
        <v>9</v>
      </c>
      <c r="AZ593" s="3"/>
      <c r="BA593" s="77"/>
      <c r="BC593" s="34">
        <v>9</v>
      </c>
      <c r="BD593" s="3"/>
      <c r="BE593" s="77"/>
      <c r="BH593" s="5"/>
      <c r="BL593" s="36">
        <v>9</v>
      </c>
      <c r="BM593" s="3"/>
      <c r="BN593" s="4"/>
      <c r="BP593" s="34">
        <v>9</v>
      </c>
      <c r="BQ593" s="27"/>
      <c r="BR593" s="4"/>
      <c r="BV593" s="34">
        <v>9</v>
      </c>
      <c r="BW593" s="3"/>
      <c r="BX593" s="4"/>
      <c r="BZ593" s="36">
        <v>9</v>
      </c>
      <c r="CA593" s="3"/>
      <c r="CB593" s="77"/>
      <c r="CL593" s="10"/>
      <c r="CM593" s="8"/>
      <c r="CN593" s="1"/>
    </row>
    <row r="594" spans="2:92" ht="16.5" customHeight="1">
      <c r="B594" s="34">
        <v>10</v>
      </c>
      <c r="C594" s="3"/>
      <c r="D594" s="77"/>
      <c r="F594" s="34">
        <v>10</v>
      </c>
      <c r="G594" s="3"/>
      <c r="H594" s="77"/>
      <c r="J594" s="34">
        <v>10</v>
      </c>
      <c r="K594" s="3"/>
      <c r="L594" s="77"/>
      <c r="P594" s="34">
        <v>10</v>
      </c>
      <c r="Q594" s="3"/>
      <c r="R594" s="77"/>
      <c r="T594" s="34">
        <v>10</v>
      </c>
      <c r="U594" s="3"/>
      <c r="V594" s="77"/>
      <c r="X594" s="34">
        <v>10</v>
      </c>
      <c r="Y594" s="3"/>
      <c r="Z594" s="77"/>
      <c r="AC594" s="5"/>
      <c r="AG594" s="34">
        <v>10</v>
      </c>
      <c r="AH594" s="3"/>
      <c r="AI594" s="77"/>
      <c r="AK594" s="34">
        <v>10</v>
      </c>
      <c r="AL594" s="3"/>
      <c r="AM594" s="77"/>
      <c r="AO594" s="34">
        <v>10</v>
      </c>
      <c r="AP594" s="3"/>
      <c r="AQ594" s="77"/>
      <c r="AU594" s="34">
        <v>10</v>
      </c>
      <c r="AV594" s="3"/>
      <c r="AW594" s="77"/>
      <c r="AY594" s="34">
        <v>10</v>
      </c>
      <c r="AZ594" s="3"/>
      <c r="BA594" s="77"/>
      <c r="BC594" s="34">
        <v>10</v>
      </c>
      <c r="BD594" s="3"/>
      <c r="BE594" s="77"/>
      <c r="BH594" s="5"/>
      <c r="BL594" s="36">
        <v>10</v>
      </c>
      <c r="BM594" s="3"/>
      <c r="BN594" s="4"/>
      <c r="BP594" s="34">
        <v>10</v>
      </c>
      <c r="BQ594" s="27"/>
      <c r="BR594" s="4"/>
      <c r="BV594" s="34">
        <v>10</v>
      </c>
      <c r="BW594" s="3"/>
      <c r="BX594" s="77"/>
      <c r="BZ594" s="36">
        <v>10</v>
      </c>
      <c r="CA594" s="3"/>
      <c r="CB594" s="77"/>
      <c r="CL594" s="10"/>
      <c r="CM594" s="8"/>
      <c r="CN594" s="1"/>
    </row>
    <row r="595" spans="2:92" ht="16.5" customHeight="1">
      <c r="B595" s="34">
        <v>11</v>
      </c>
      <c r="C595" s="3"/>
      <c r="D595" s="77"/>
      <c r="F595" s="34">
        <v>11</v>
      </c>
      <c r="G595" s="3"/>
      <c r="H595" s="77"/>
      <c r="J595" s="34">
        <v>11</v>
      </c>
      <c r="K595" s="3"/>
      <c r="L595" s="77"/>
      <c r="P595" s="34">
        <v>11</v>
      </c>
      <c r="Q595" s="3"/>
      <c r="R595" s="77"/>
      <c r="T595" s="34">
        <v>11</v>
      </c>
      <c r="U595" s="3"/>
      <c r="V595" s="77"/>
      <c r="X595" s="34">
        <v>11</v>
      </c>
      <c r="Y595" s="3"/>
      <c r="Z595" s="77"/>
      <c r="AC595" s="5"/>
      <c r="AG595" s="34">
        <v>11</v>
      </c>
      <c r="AH595" s="3"/>
      <c r="AI595" s="77"/>
      <c r="AK595" s="34">
        <v>11</v>
      </c>
      <c r="AL595" s="3"/>
      <c r="AM595" s="77"/>
      <c r="AO595" s="34">
        <v>11</v>
      </c>
      <c r="AP595" s="3"/>
      <c r="AQ595" s="77"/>
      <c r="AU595" s="34">
        <v>11</v>
      </c>
      <c r="AV595" s="3"/>
      <c r="AW595" s="77"/>
      <c r="AY595" s="34">
        <v>11</v>
      </c>
      <c r="AZ595" s="3"/>
      <c r="BA595" s="77"/>
      <c r="BC595" s="34">
        <v>11</v>
      </c>
      <c r="BD595" s="3"/>
      <c r="BE595" s="77"/>
      <c r="BH595" s="5"/>
      <c r="BL595" s="36">
        <v>11</v>
      </c>
      <c r="BM595" s="3"/>
      <c r="BN595" s="4"/>
      <c r="BP595" s="34">
        <v>11</v>
      </c>
      <c r="BQ595" s="27"/>
      <c r="BR595" s="4"/>
      <c r="BV595" s="34">
        <v>11</v>
      </c>
      <c r="BW595" s="3"/>
      <c r="BX595" s="4"/>
      <c r="BZ595" s="36">
        <v>11</v>
      </c>
      <c r="CA595" s="3"/>
      <c r="CB595" s="77"/>
      <c r="CL595" s="10"/>
      <c r="CM595" s="8"/>
      <c r="CN595" s="1"/>
    </row>
    <row r="596" spans="2:92" ht="16.5" customHeight="1">
      <c r="B596" s="34">
        <v>12</v>
      </c>
      <c r="C596" s="3"/>
      <c r="D596" s="77"/>
      <c r="F596" s="34">
        <v>12</v>
      </c>
      <c r="G596" s="3"/>
      <c r="H596" s="77"/>
      <c r="J596" s="34">
        <v>12</v>
      </c>
      <c r="K596" s="3"/>
      <c r="L596" s="77"/>
      <c r="P596" s="34">
        <v>12</v>
      </c>
      <c r="Q596" s="3"/>
      <c r="R596" s="77"/>
      <c r="T596" s="34">
        <v>12</v>
      </c>
      <c r="U596" s="3"/>
      <c r="V596" s="77"/>
      <c r="X596" s="34">
        <v>12</v>
      </c>
      <c r="Y596" s="3"/>
      <c r="Z596" s="77"/>
      <c r="AC596" s="5"/>
      <c r="AG596" s="34">
        <v>12</v>
      </c>
      <c r="AH596" s="3"/>
      <c r="AI596" s="77"/>
      <c r="AK596" s="34">
        <v>12</v>
      </c>
      <c r="AL596" s="3"/>
      <c r="AM596" s="77"/>
      <c r="AO596" s="34">
        <v>12</v>
      </c>
      <c r="AP596" s="3"/>
      <c r="AQ596" s="77"/>
      <c r="AU596" s="34">
        <v>12</v>
      </c>
      <c r="AV596" s="3"/>
      <c r="AW596" s="77"/>
      <c r="AY596" s="34">
        <v>12</v>
      </c>
      <c r="AZ596" s="3"/>
      <c r="BA596" s="77"/>
      <c r="BC596" s="34">
        <v>12</v>
      </c>
      <c r="BD596" s="3"/>
      <c r="BE596" s="77"/>
      <c r="BH596" s="5"/>
      <c r="BL596" s="36">
        <v>12</v>
      </c>
      <c r="BM596" s="3"/>
      <c r="BN596" s="4"/>
      <c r="BP596" s="34">
        <v>12</v>
      </c>
      <c r="BQ596" s="27"/>
      <c r="BR596" s="4"/>
      <c r="BV596" s="34">
        <v>12</v>
      </c>
      <c r="BW596" s="3"/>
      <c r="BX596" s="77"/>
      <c r="BZ596" s="36">
        <v>12</v>
      </c>
      <c r="CA596" s="3"/>
      <c r="CB596" s="77"/>
      <c r="CL596" s="10"/>
      <c r="CM596" s="8"/>
      <c r="CN596" s="1"/>
    </row>
    <row r="597" spans="2:92" ht="16.5" customHeight="1">
      <c r="B597" s="34">
        <v>13</v>
      </c>
      <c r="C597" s="3"/>
      <c r="D597" s="77"/>
      <c r="F597" s="34">
        <v>13</v>
      </c>
      <c r="G597" s="3"/>
      <c r="H597" s="77"/>
      <c r="J597" s="34">
        <v>13</v>
      </c>
      <c r="K597" s="3"/>
      <c r="L597" s="77"/>
      <c r="P597" s="34">
        <v>13</v>
      </c>
      <c r="Q597" s="3"/>
      <c r="R597" s="77"/>
      <c r="T597" s="34">
        <v>13</v>
      </c>
      <c r="U597" s="3"/>
      <c r="V597" s="77"/>
      <c r="X597" s="34">
        <v>13</v>
      </c>
      <c r="Y597" s="3"/>
      <c r="Z597" s="77"/>
      <c r="AC597" s="5"/>
      <c r="AG597" s="34">
        <v>13</v>
      </c>
      <c r="AH597" s="3"/>
      <c r="AI597" s="77"/>
      <c r="AK597" s="34">
        <v>13</v>
      </c>
      <c r="AL597" s="3"/>
      <c r="AM597" s="77"/>
      <c r="AO597" s="34">
        <v>13</v>
      </c>
      <c r="AP597" s="3"/>
      <c r="AQ597" s="77"/>
      <c r="AU597" s="34">
        <v>13</v>
      </c>
      <c r="AV597" s="3"/>
      <c r="AW597" s="77"/>
      <c r="AY597" s="34">
        <v>13</v>
      </c>
      <c r="AZ597" s="3"/>
      <c r="BA597" s="77"/>
      <c r="BC597" s="34">
        <v>13</v>
      </c>
      <c r="BD597" s="3"/>
      <c r="BE597" s="77"/>
      <c r="BH597" s="5"/>
      <c r="BL597" s="36">
        <v>13</v>
      </c>
      <c r="BM597" s="3"/>
      <c r="BN597" s="4"/>
      <c r="BP597" s="34">
        <v>13</v>
      </c>
      <c r="BQ597" s="27"/>
      <c r="BR597" s="4"/>
      <c r="BV597" s="34">
        <v>13</v>
      </c>
      <c r="BW597" s="3"/>
      <c r="BX597" s="4"/>
      <c r="BZ597" s="36">
        <v>13</v>
      </c>
      <c r="CA597" s="3"/>
      <c r="CB597" s="77"/>
      <c r="CL597" s="10"/>
      <c r="CM597" s="8"/>
      <c r="CN597" s="1"/>
    </row>
    <row r="598" spans="2:92" ht="16.5" customHeight="1">
      <c r="B598" s="34">
        <v>14</v>
      </c>
      <c r="C598" s="3"/>
      <c r="D598" s="77"/>
      <c r="F598" s="34">
        <v>14</v>
      </c>
      <c r="G598" s="3"/>
      <c r="H598" s="77"/>
      <c r="J598" s="34">
        <v>14</v>
      </c>
      <c r="K598" s="3"/>
      <c r="L598" s="77"/>
      <c r="P598" s="34">
        <v>14</v>
      </c>
      <c r="Q598" s="3"/>
      <c r="R598" s="77"/>
      <c r="T598" s="34">
        <v>14</v>
      </c>
      <c r="U598" s="3"/>
      <c r="V598" s="77"/>
      <c r="X598" s="34">
        <v>14</v>
      </c>
      <c r="Y598" s="3"/>
      <c r="Z598" s="77"/>
      <c r="AC598" s="5"/>
      <c r="AG598" s="34">
        <v>14</v>
      </c>
      <c r="AH598" s="3"/>
      <c r="AI598" s="77"/>
      <c r="AK598" s="34">
        <v>14</v>
      </c>
      <c r="AL598" s="3"/>
      <c r="AM598" s="77"/>
      <c r="AO598" s="34">
        <v>14</v>
      </c>
      <c r="AP598" s="3"/>
      <c r="AQ598" s="77"/>
      <c r="AU598" s="34">
        <v>14</v>
      </c>
      <c r="AV598" s="3"/>
      <c r="AW598" s="77"/>
      <c r="AY598" s="34">
        <v>14</v>
      </c>
      <c r="AZ598" s="3"/>
      <c r="BA598" s="77"/>
      <c r="BC598" s="34">
        <v>14</v>
      </c>
      <c r="BD598" s="3"/>
      <c r="BE598" s="77"/>
      <c r="BH598" s="5"/>
      <c r="BL598" s="36">
        <v>14</v>
      </c>
      <c r="BM598" s="3"/>
      <c r="BN598" s="4"/>
      <c r="BP598" s="34">
        <v>14</v>
      </c>
      <c r="BQ598" s="27"/>
      <c r="BR598" s="4"/>
      <c r="BV598" s="34">
        <v>14</v>
      </c>
      <c r="BW598" s="3"/>
      <c r="BX598" s="4"/>
      <c r="BZ598" s="36">
        <v>14</v>
      </c>
      <c r="CA598" s="3"/>
      <c r="CB598" s="77"/>
      <c r="CL598" s="10"/>
      <c r="CM598" s="8"/>
      <c r="CN598" s="1"/>
    </row>
    <row r="599" spans="2:92" ht="16.5" customHeight="1">
      <c r="B599" s="34">
        <v>15</v>
      </c>
      <c r="C599" s="3"/>
      <c r="D599" s="77"/>
      <c r="F599" s="34">
        <v>15</v>
      </c>
      <c r="G599" s="3"/>
      <c r="H599" s="77"/>
      <c r="J599" s="34">
        <v>15</v>
      </c>
      <c r="K599" s="3"/>
      <c r="L599" s="77"/>
      <c r="P599" s="34">
        <v>15</v>
      </c>
      <c r="Q599" s="3"/>
      <c r="R599" s="77"/>
      <c r="T599" s="34">
        <v>15</v>
      </c>
      <c r="U599" s="3"/>
      <c r="V599" s="77"/>
      <c r="X599" s="34">
        <v>15</v>
      </c>
      <c r="Y599" s="3"/>
      <c r="Z599" s="77"/>
      <c r="AC599" s="5"/>
      <c r="AG599" s="34">
        <v>15</v>
      </c>
      <c r="AH599" s="3"/>
      <c r="AI599" s="77"/>
      <c r="AK599" s="34">
        <v>15</v>
      </c>
      <c r="AL599" s="3"/>
      <c r="AM599" s="77"/>
      <c r="AO599" s="34">
        <v>15</v>
      </c>
      <c r="AP599" s="3"/>
      <c r="AQ599" s="77"/>
      <c r="AU599" s="34">
        <v>15</v>
      </c>
      <c r="AV599" s="3"/>
      <c r="AW599" s="77"/>
      <c r="AY599" s="34">
        <v>15</v>
      </c>
      <c r="AZ599" s="3"/>
      <c r="BA599" s="77"/>
      <c r="BC599" s="34">
        <v>15</v>
      </c>
      <c r="BD599" s="3"/>
      <c r="BE599" s="77"/>
      <c r="BH599" s="5"/>
      <c r="BL599" s="36">
        <v>15</v>
      </c>
      <c r="BM599" s="3"/>
      <c r="BN599" s="4"/>
      <c r="BP599" s="34">
        <v>15</v>
      </c>
      <c r="BQ599" s="27"/>
      <c r="BR599" s="4"/>
      <c r="BV599" s="34">
        <v>15</v>
      </c>
      <c r="BW599" s="3"/>
      <c r="BX599" s="4"/>
      <c r="BZ599" s="36">
        <v>15</v>
      </c>
      <c r="CA599" s="3"/>
      <c r="CB599" s="77"/>
      <c r="CL599" s="10"/>
      <c r="CM599" s="8"/>
      <c r="CN599" s="1"/>
    </row>
    <row r="600" spans="2:92" ht="16.5" customHeight="1">
      <c r="B600" s="34">
        <v>16</v>
      </c>
      <c r="C600" s="3"/>
      <c r="D600" s="77"/>
      <c r="F600" s="34">
        <v>16</v>
      </c>
      <c r="G600" s="3"/>
      <c r="H600" s="77"/>
      <c r="J600" s="34">
        <v>16</v>
      </c>
      <c r="K600" s="3"/>
      <c r="L600" s="77"/>
      <c r="P600" s="34">
        <v>16</v>
      </c>
      <c r="Q600" s="3"/>
      <c r="R600" s="77"/>
      <c r="T600" s="34">
        <v>16</v>
      </c>
      <c r="U600" s="3"/>
      <c r="V600" s="77"/>
      <c r="X600" s="34">
        <v>16</v>
      </c>
      <c r="Y600" s="3"/>
      <c r="Z600" s="77"/>
      <c r="AC600" s="5"/>
      <c r="AG600" s="34">
        <v>16</v>
      </c>
      <c r="AH600" s="3"/>
      <c r="AI600" s="77"/>
      <c r="AK600" s="34">
        <v>16</v>
      </c>
      <c r="AL600" s="3"/>
      <c r="AM600" s="77"/>
      <c r="AO600" s="34">
        <v>16</v>
      </c>
      <c r="AP600" s="3"/>
      <c r="AQ600" s="77"/>
      <c r="AU600" s="34">
        <v>16</v>
      </c>
      <c r="AV600" s="3"/>
      <c r="AW600" s="77"/>
      <c r="AY600" s="34">
        <v>16</v>
      </c>
      <c r="AZ600" s="3"/>
      <c r="BA600" s="77"/>
      <c r="BC600" s="34">
        <v>16</v>
      </c>
      <c r="BD600" s="3"/>
      <c r="BE600" s="77"/>
      <c r="BH600" s="5"/>
      <c r="BL600" s="36">
        <v>16</v>
      </c>
      <c r="BM600" s="3"/>
      <c r="BN600" s="4"/>
      <c r="BP600" s="34">
        <v>16</v>
      </c>
      <c r="BQ600" s="27"/>
      <c r="BR600" s="4"/>
      <c r="BV600" s="34">
        <v>16</v>
      </c>
      <c r="BW600" s="3"/>
      <c r="BX600" s="4"/>
      <c r="BZ600" s="36">
        <v>16</v>
      </c>
      <c r="CA600" s="3"/>
      <c r="CB600" s="77"/>
      <c r="CL600" s="10"/>
      <c r="CM600" s="8"/>
      <c r="CN600" s="1"/>
    </row>
    <row r="601" spans="2:92" ht="16.5" customHeight="1">
      <c r="B601" s="34">
        <v>17</v>
      </c>
      <c r="C601" s="3"/>
      <c r="D601" s="77"/>
      <c r="F601" s="34">
        <v>17</v>
      </c>
      <c r="G601" s="3"/>
      <c r="H601" s="77"/>
      <c r="J601" s="34">
        <v>17</v>
      </c>
      <c r="K601" s="3"/>
      <c r="L601" s="77"/>
      <c r="P601" s="34">
        <v>17</v>
      </c>
      <c r="Q601" s="3"/>
      <c r="R601" s="77"/>
      <c r="T601" s="34">
        <v>17</v>
      </c>
      <c r="U601" s="3"/>
      <c r="V601" s="77"/>
      <c r="X601" s="34">
        <v>17</v>
      </c>
      <c r="Y601" s="3"/>
      <c r="Z601" s="77"/>
      <c r="AC601" s="5"/>
      <c r="AG601" s="34">
        <v>17</v>
      </c>
      <c r="AH601" s="3"/>
      <c r="AI601" s="77"/>
      <c r="AK601" s="34">
        <v>17</v>
      </c>
      <c r="AL601" s="3"/>
      <c r="AM601" s="77"/>
      <c r="AO601" s="34">
        <v>17</v>
      </c>
      <c r="AP601" s="3"/>
      <c r="AQ601" s="77"/>
      <c r="AU601" s="34">
        <v>17</v>
      </c>
      <c r="AV601" s="3"/>
      <c r="AW601" s="77"/>
      <c r="AY601" s="34">
        <v>17</v>
      </c>
      <c r="AZ601" s="3"/>
      <c r="BA601" s="77"/>
      <c r="BC601" s="34">
        <v>17</v>
      </c>
      <c r="BD601" s="3"/>
      <c r="BE601" s="77"/>
      <c r="BH601" s="5"/>
      <c r="BL601" s="36">
        <v>17</v>
      </c>
      <c r="BM601" s="3"/>
      <c r="BN601" s="4"/>
      <c r="BP601" s="34">
        <v>17</v>
      </c>
      <c r="BQ601" s="27"/>
      <c r="BR601" s="4"/>
      <c r="BV601" s="34">
        <v>17</v>
      </c>
      <c r="BW601" s="3"/>
      <c r="BX601" s="4"/>
      <c r="BZ601" s="36">
        <v>17</v>
      </c>
      <c r="CA601" s="3"/>
      <c r="CB601" s="77"/>
      <c r="CL601" s="10"/>
      <c r="CM601" s="8"/>
      <c r="CN601" s="1"/>
    </row>
    <row r="602" spans="2:92" ht="16.5" customHeight="1">
      <c r="B602" s="34">
        <v>18</v>
      </c>
      <c r="C602" s="3"/>
      <c r="D602" s="77"/>
      <c r="F602" s="34">
        <v>18</v>
      </c>
      <c r="G602" s="3"/>
      <c r="H602" s="77"/>
      <c r="J602" s="34">
        <v>18</v>
      </c>
      <c r="K602" s="3"/>
      <c r="L602" s="77"/>
      <c r="P602" s="34">
        <v>18</v>
      </c>
      <c r="Q602" s="3"/>
      <c r="R602" s="77"/>
      <c r="T602" s="34">
        <v>18</v>
      </c>
      <c r="U602" s="3"/>
      <c r="V602" s="77"/>
      <c r="X602" s="34">
        <v>18</v>
      </c>
      <c r="Y602" s="3"/>
      <c r="Z602" s="77"/>
      <c r="AC602" s="5"/>
      <c r="AG602" s="34">
        <v>18</v>
      </c>
      <c r="AH602" s="3"/>
      <c r="AI602" s="77"/>
      <c r="AK602" s="34">
        <v>18</v>
      </c>
      <c r="AL602" s="3"/>
      <c r="AM602" s="77"/>
      <c r="AO602" s="34">
        <v>18</v>
      </c>
      <c r="AP602" s="3"/>
      <c r="AQ602" s="77"/>
      <c r="AU602" s="34">
        <v>18</v>
      </c>
      <c r="AV602" s="3"/>
      <c r="AW602" s="77"/>
      <c r="AY602" s="34">
        <v>18</v>
      </c>
      <c r="AZ602" s="3"/>
      <c r="BA602" s="77"/>
      <c r="BC602" s="34">
        <v>18</v>
      </c>
      <c r="BD602" s="3"/>
      <c r="BE602" s="77"/>
      <c r="BH602" s="5"/>
      <c r="BL602" s="36">
        <v>18</v>
      </c>
      <c r="BM602" s="3"/>
      <c r="BN602" s="4"/>
      <c r="BP602" s="34">
        <v>18</v>
      </c>
      <c r="BQ602" s="27"/>
      <c r="BR602" s="4"/>
      <c r="BV602" s="34">
        <v>18</v>
      </c>
      <c r="BW602" s="3"/>
      <c r="BX602" s="4"/>
      <c r="BZ602" s="36">
        <v>18</v>
      </c>
      <c r="CA602" s="3"/>
      <c r="CB602" s="77"/>
      <c r="CL602" s="10"/>
      <c r="CM602" s="8"/>
      <c r="CN602" s="1"/>
    </row>
    <row r="603" spans="2:92" ht="16.5" customHeight="1">
      <c r="B603" s="34">
        <v>19</v>
      </c>
      <c r="C603" s="3"/>
      <c r="D603" s="77"/>
      <c r="F603" s="34">
        <v>19</v>
      </c>
      <c r="G603" s="3"/>
      <c r="H603" s="77"/>
      <c r="J603" s="34">
        <v>19</v>
      </c>
      <c r="K603" s="3"/>
      <c r="L603" s="77"/>
      <c r="P603" s="34">
        <v>19</v>
      </c>
      <c r="Q603" s="3"/>
      <c r="R603" s="77"/>
      <c r="T603" s="34">
        <v>19</v>
      </c>
      <c r="U603" s="3"/>
      <c r="V603" s="77"/>
      <c r="X603" s="34">
        <v>19</v>
      </c>
      <c r="Y603" s="3"/>
      <c r="Z603" s="77"/>
      <c r="AC603" s="5"/>
      <c r="AG603" s="34">
        <v>19</v>
      </c>
      <c r="AH603" s="3"/>
      <c r="AI603" s="77"/>
      <c r="AK603" s="34">
        <v>19</v>
      </c>
      <c r="AL603" s="3"/>
      <c r="AM603" s="77"/>
      <c r="AO603" s="34">
        <v>19</v>
      </c>
      <c r="AP603" s="3"/>
      <c r="AQ603" s="77"/>
      <c r="AU603" s="34">
        <v>19</v>
      </c>
      <c r="AV603" s="3"/>
      <c r="AW603" s="77"/>
      <c r="AY603" s="34">
        <v>19</v>
      </c>
      <c r="AZ603" s="3"/>
      <c r="BA603" s="77"/>
      <c r="BC603" s="34">
        <v>19</v>
      </c>
      <c r="BD603" s="3"/>
      <c r="BE603" s="77"/>
      <c r="BH603" s="5"/>
      <c r="BL603" s="36">
        <v>19</v>
      </c>
      <c r="BM603" s="3"/>
      <c r="BN603" s="4"/>
      <c r="BP603" s="34">
        <v>19</v>
      </c>
      <c r="BQ603" s="27"/>
      <c r="BR603" s="4"/>
      <c r="BV603" s="34">
        <v>19</v>
      </c>
      <c r="BW603" s="3"/>
      <c r="BX603" s="4"/>
      <c r="BZ603" s="36">
        <v>19</v>
      </c>
      <c r="CA603" s="3"/>
      <c r="CB603" s="4"/>
      <c r="CL603" s="10"/>
      <c r="CM603" s="8"/>
      <c r="CN603" s="1"/>
    </row>
    <row r="604" spans="2:92" ht="16.5" customHeight="1">
      <c r="B604" s="34">
        <v>20</v>
      </c>
      <c r="C604" s="3"/>
      <c r="D604" s="77"/>
      <c r="F604" s="34">
        <v>20</v>
      </c>
      <c r="G604" s="3"/>
      <c r="H604" s="77"/>
      <c r="J604" s="34">
        <v>20</v>
      </c>
      <c r="K604" s="3"/>
      <c r="L604" s="77"/>
      <c r="P604" s="34">
        <v>20</v>
      </c>
      <c r="Q604" s="3"/>
      <c r="R604" s="77"/>
      <c r="T604" s="34">
        <v>20</v>
      </c>
      <c r="U604" s="3"/>
      <c r="V604" s="77"/>
      <c r="X604" s="34">
        <v>20</v>
      </c>
      <c r="Y604" s="3"/>
      <c r="Z604" s="77"/>
      <c r="AC604" s="5"/>
      <c r="AG604" s="34">
        <v>20</v>
      </c>
      <c r="AH604" s="3"/>
      <c r="AI604" s="77"/>
      <c r="AK604" s="34">
        <v>20</v>
      </c>
      <c r="AL604" s="3"/>
      <c r="AM604" s="77"/>
      <c r="AO604" s="34">
        <v>20</v>
      </c>
      <c r="AP604" s="3"/>
      <c r="AQ604" s="77"/>
      <c r="AU604" s="34">
        <v>20</v>
      </c>
      <c r="AV604" s="3"/>
      <c r="AW604" s="77"/>
      <c r="AY604" s="34">
        <v>20</v>
      </c>
      <c r="AZ604" s="3"/>
      <c r="BA604" s="77"/>
      <c r="BC604" s="34">
        <v>20</v>
      </c>
      <c r="BD604" s="3"/>
      <c r="BE604" s="77"/>
      <c r="BH604" s="5"/>
      <c r="BL604" s="36">
        <v>20</v>
      </c>
      <c r="BM604" s="3"/>
      <c r="BN604" s="4"/>
      <c r="BP604" s="34">
        <v>20</v>
      </c>
      <c r="BQ604" s="27"/>
      <c r="BR604" s="4"/>
      <c r="BV604" s="34">
        <v>20</v>
      </c>
      <c r="BW604" s="3"/>
      <c r="BX604" s="4"/>
      <c r="BZ604" s="36">
        <v>20</v>
      </c>
      <c r="CA604" s="3"/>
      <c r="CB604" s="77"/>
      <c r="CL604" s="10"/>
      <c r="CM604" s="8"/>
      <c r="CN604" s="1"/>
    </row>
    <row r="605" spans="2:92" ht="16.5" customHeight="1">
      <c r="B605" s="34">
        <v>21</v>
      </c>
      <c r="C605" s="3"/>
      <c r="D605" s="77"/>
      <c r="F605" s="34">
        <v>21</v>
      </c>
      <c r="G605" s="3"/>
      <c r="H605" s="77"/>
      <c r="J605" s="34">
        <v>21</v>
      </c>
      <c r="K605" s="3"/>
      <c r="L605" s="77"/>
      <c r="P605" s="34">
        <v>21</v>
      </c>
      <c r="Q605" s="3"/>
      <c r="R605" s="77"/>
      <c r="T605" s="34">
        <v>21</v>
      </c>
      <c r="U605" s="3"/>
      <c r="V605" s="77"/>
      <c r="X605" s="34">
        <v>21</v>
      </c>
      <c r="Y605" s="3"/>
      <c r="Z605" s="77"/>
      <c r="AC605" s="5"/>
      <c r="AG605" s="34">
        <v>21</v>
      </c>
      <c r="AH605" s="3"/>
      <c r="AI605" s="77"/>
      <c r="AK605" s="34">
        <v>21</v>
      </c>
      <c r="AL605" s="3"/>
      <c r="AM605" s="77"/>
      <c r="AO605" s="34">
        <v>21</v>
      </c>
      <c r="AP605" s="3"/>
      <c r="AQ605" s="77"/>
      <c r="AU605" s="34">
        <v>21</v>
      </c>
      <c r="AV605" s="3"/>
      <c r="AW605" s="77"/>
      <c r="AY605" s="34">
        <v>21</v>
      </c>
      <c r="AZ605" s="3"/>
      <c r="BA605" s="77"/>
      <c r="BC605" s="34">
        <v>21</v>
      </c>
      <c r="BD605" s="3"/>
      <c r="BE605" s="77"/>
      <c r="BH605" s="5"/>
      <c r="BL605" s="36">
        <v>21</v>
      </c>
      <c r="BM605" s="3"/>
      <c r="BN605" s="4"/>
      <c r="BP605" s="34">
        <v>21</v>
      </c>
      <c r="BQ605" s="27"/>
      <c r="BR605" s="4"/>
      <c r="BV605" s="34">
        <v>21</v>
      </c>
      <c r="BW605" s="3"/>
      <c r="BX605" s="4"/>
      <c r="BZ605" s="36">
        <v>21</v>
      </c>
      <c r="CA605" s="3"/>
      <c r="CB605" s="4"/>
      <c r="CL605" s="10"/>
      <c r="CM605" s="8"/>
      <c r="CN605" s="1"/>
    </row>
    <row r="606" spans="2:92" ht="16.5" customHeight="1">
      <c r="B606" s="34">
        <v>22</v>
      </c>
      <c r="C606" s="3"/>
      <c r="D606" s="77"/>
      <c r="F606" s="34">
        <v>22</v>
      </c>
      <c r="G606" s="3"/>
      <c r="H606" s="77"/>
      <c r="J606" s="34">
        <v>22</v>
      </c>
      <c r="K606" s="3"/>
      <c r="L606" s="77"/>
      <c r="P606" s="34">
        <v>22</v>
      </c>
      <c r="Q606" s="3"/>
      <c r="R606" s="77"/>
      <c r="T606" s="34">
        <v>22</v>
      </c>
      <c r="U606" s="3"/>
      <c r="V606" s="77"/>
      <c r="X606" s="34">
        <v>22</v>
      </c>
      <c r="Y606" s="3"/>
      <c r="Z606" s="77"/>
      <c r="AC606" s="5"/>
      <c r="AG606" s="34">
        <v>22</v>
      </c>
      <c r="AH606" s="3"/>
      <c r="AI606" s="77"/>
      <c r="AK606" s="34">
        <v>22</v>
      </c>
      <c r="AL606" s="3"/>
      <c r="AM606" s="77"/>
      <c r="AO606" s="34">
        <v>22</v>
      </c>
      <c r="AP606" s="3"/>
      <c r="AQ606" s="77"/>
      <c r="AU606" s="34">
        <v>22</v>
      </c>
      <c r="AV606" s="3"/>
      <c r="AW606" s="77"/>
      <c r="AY606" s="34">
        <v>22</v>
      </c>
      <c r="AZ606" s="3"/>
      <c r="BA606" s="77"/>
      <c r="BC606" s="34">
        <v>22</v>
      </c>
      <c r="BD606" s="3"/>
      <c r="BE606" s="77"/>
      <c r="BH606" s="5"/>
      <c r="BL606" s="36">
        <v>22</v>
      </c>
      <c r="BM606" s="3"/>
      <c r="BN606" s="4"/>
      <c r="BP606" s="34">
        <v>22</v>
      </c>
      <c r="BQ606" s="27"/>
      <c r="BR606" s="4"/>
      <c r="BV606" s="34">
        <v>22</v>
      </c>
      <c r="BW606" s="3"/>
      <c r="BX606" s="4"/>
      <c r="BZ606" s="36">
        <v>22</v>
      </c>
      <c r="CA606" s="3"/>
      <c r="CB606" s="4"/>
      <c r="CL606" s="10"/>
      <c r="CM606" s="8"/>
      <c r="CN606" s="1"/>
    </row>
    <row r="607" spans="2:92" ht="16.5" customHeight="1">
      <c r="B607" s="34">
        <v>23</v>
      </c>
      <c r="C607" s="3"/>
      <c r="D607" s="77"/>
      <c r="F607" s="34">
        <v>23</v>
      </c>
      <c r="G607" s="3"/>
      <c r="H607" s="77"/>
      <c r="J607" s="34">
        <v>23</v>
      </c>
      <c r="K607" s="3"/>
      <c r="L607" s="77"/>
      <c r="P607" s="34">
        <v>23</v>
      </c>
      <c r="Q607" s="3"/>
      <c r="R607" s="77"/>
      <c r="T607" s="34">
        <v>23</v>
      </c>
      <c r="U607" s="3"/>
      <c r="V607" s="77"/>
      <c r="X607" s="34">
        <v>23</v>
      </c>
      <c r="Y607" s="3"/>
      <c r="Z607" s="77"/>
      <c r="AC607" s="5"/>
      <c r="AG607" s="34">
        <v>23</v>
      </c>
      <c r="AH607" s="3"/>
      <c r="AI607" s="77"/>
      <c r="AK607" s="34">
        <v>23</v>
      </c>
      <c r="AL607" s="3"/>
      <c r="AM607" s="77"/>
      <c r="AO607" s="34">
        <v>23</v>
      </c>
      <c r="AP607" s="3"/>
      <c r="AQ607" s="77"/>
      <c r="AU607" s="34">
        <v>23</v>
      </c>
      <c r="AV607" s="3"/>
      <c r="AW607" s="77"/>
      <c r="AY607" s="34">
        <v>23</v>
      </c>
      <c r="AZ607" s="3"/>
      <c r="BA607" s="77"/>
      <c r="BC607" s="34">
        <v>23</v>
      </c>
      <c r="BD607" s="3"/>
      <c r="BE607" s="77"/>
      <c r="BH607" s="5"/>
      <c r="BL607" s="36">
        <v>23</v>
      </c>
      <c r="BM607" s="3"/>
      <c r="BN607" s="4"/>
      <c r="BP607" s="34">
        <v>23</v>
      </c>
      <c r="BQ607" s="27"/>
      <c r="BR607" s="4"/>
      <c r="BV607" s="34">
        <v>23</v>
      </c>
      <c r="BW607" s="3"/>
      <c r="BX607" s="4"/>
      <c r="BZ607" s="36">
        <v>23</v>
      </c>
      <c r="CA607" s="3"/>
      <c r="CB607" s="4"/>
      <c r="CL607" s="10"/>
      <c r="CM607" s="8"/>
      <c r="CN607" s="1"/>
    </row>
    <row r="608" spans="2:92">
      <c r="AC608" s="5"/>
      <c r="BH608" s="5"/>
    </row>
    <row r="609" spans="2:86">
      <c r="AC609" s="5"/>
      <c r="BH609" s="5"/>
    </row>
    <row r="610" spans="2:86">
      <c r="AC610" s="5"/>
      <c r="BH610" s="5"/>
    </row>
    <row r="611" spans="2:86" s="1" customFormat="1" ht="20.25">
      <c r="B611" s="54"/>
      <c r="C611" s="55">
        <f>'NRB 공장 내부 배치도'!C30</f>
        <v>0</v>
      </c>
      <c r="D611" s="199"/>
      <c r="F611" s="54"/>
      <c r="G611" s="55">
        <f>'NRB 공장 내부 배치도'!D30</f>
        <v>0</v>
      </c>
      <c r="H611" s="199"/>
      <c r="J611" s="54"/>
      <c r="K611" s="55">
        <f>'NRB 공장 내부 배치도'!E30</f>
        <v>0</v>
      </c>
      <c r="L611" s="199"/>
      <c r="P611" s="54"/>
      <c r="Q611" s="55">
        <f>'NRB 공장 내부 배치도'!G30</f>
        <v>0</v>
      </c>
      <c r="R611" s="199"/>
      <c r="T611" s="54"/>
      <c r="U611" s="55">
        <f>'NRB 공장 내부 배치도'!H30</f>
        <v>0</v>
      </c>
      <c r="V611" s="199"/>
      <c r="X611" s="54"/>
      <c r="Y611" s="55">
        <f>'NRB 공장 내부 배치도'!I30</f>
        <v>0</v>
      </c>
      <c r="Z611" s="199"/>
      <c r="AC611" s="71"/>
      <c r="AG611" s="54"/>
      <c r="AH611" s="55">
        <f>'NRB 공장 내부 배치도'!L30</f>
        <v>0</v>
      </c>
      <c r="AI611" s="199"/>
      <c r="AK611" s="54"/>
      <c r="AL611" s="55">
        <f>'NRB 공장 내부 배치도'!M30</f>
        <v>0</v>
      </c>
      <c r="AM611" s="199"/>
      <c r="AO611" s="54"/>
      <c r="AP611" s="55">
        <f>'NRB 공장 내부 배치도'!N30</f>
        <v>0</v>
      </c>
      <c r="AQ611" s="199"/>
      <c r="AU611" s="54"/>
      <c r="AV611" s="55">
        <f>'NRB 공장 내부 배치도'!P30</f>
        <v>0</v>
      </c>
      <c r="AW611" s="199"/>
      <c r="AY611" s="54"/>
      <c r="AZ611" s="55">
        <f>'NRB 공장 내부 배치도'!Q30</f>
        <v>0</v>
      </c>
      <c r="BA611" s="199"/>
      <c r="BC611" s="54"/>
      <c r="BD611" s="55">
        <f>'NRB 공장 내부 배치도'!R30</f>
        <v>0</v>
      </c>
      <c r="BE611" s="199"/>
      <c r="BF611" s="204"/>
      <c r="BH611" s="71"/>
      <c r="BL611" s="54"/>
      <c r="BM611" s="55">
        <f>'NRB 공장 내부 배치도'!U30</f>
        <v>0</v>
      </c>
      <c r="BN611" s="56"/>
      <c r="BP611" s="11"/>
      <c r="BQ611" s="55">
        <f>'NRB 공장 내부 배치도'!V30</f>
        <v>0</v>
      </c>
      <c r="BR611" s="24"/>
      <c r="BV611" s="54"/>
      <c r="BW611" s="55">
        <f>'NRB 공장 내부 배치도'!X30</f>
        <v>0</v>
      </c>
      <c r="BX611" s="56"/>
      <c r="BZ611" s="54"/>
      <c r="CA611" s="55">
        <f>'NRB 공장 내부 배치도'!Y30</f>
        <v>0</v>
      </c>
      <c r="CB611" s="56"/>
      <c r="CF611" s="71"/>
      <c r="CG611" s="71"/>
      <c r="CH611" s="71"/>
    </row>
    <row r="612" spans="2:86">
      <c r="B612" s="34">
        <v>1</v>
      </c>
      <c r="C612" s="3"/>
      <c r="D612" s="77"/>
      <c r="F612" s="34">
        <v>1</v>
      </c>
      <c r="G612" s="3"/>
      <c r="H612" s="77"/>
      <c r="J612" s="34">
        <v>1</v>
      </c>
      <c r="K612" s="3"/>
      <c r="L612" s="77"/>
      <c r="P612" s="34">
        <v>1</v>
      </c>
      <c r="Q612" s="3"/>
      <c r="R612" s="77"/>
      <c r="T612" s="34">
        <v>1</v>
      </c>
      <c r="U612" s="3"/>
      <c r="V612" s="77"/>
      <c r="X612" s="34">
        <v>1</v>
      </c>
      <c r="Y612" s="3"/>
      <c r="Z612" s="77"/>
      <c r="AC612" s="5"/>
      <c r="AG612" s="34">
        <v>1</v>
      </c>
      <c r="AH612" s="3"/>
      <c r="AI612" s="77"/>
      <c r="AK612" s="34">
        <v>1</v>
      </c>
      <c r="AL612" s="3"/>
      <c r="AM612" s="77"/>
      <c r="AO612" s="34">
        <v>1</v>
      </c>
      <c r="AP612" s="3"/>
      <c r="AQ612" s="77"/>
      <c r="AU612" s="34">
        <v>1</v>
      </c>
      <c r="AV612" s="3"/>
      <c r="AW612" s="77"/>
      <c r="AY612" s="34">
        <v>1</v>
      </c>
      <c r="AZ612" s="3"/>
      <c r="BA612" s="77"/>
      <c r="BC612" s="34">
        <v>1</v>
      </c>
      <c r="BD612" s="3"/>
      <c r="BE612" s="77"/>
      <c r="BH612" s="5"/>
      <c r="BL612" s="36">
        <v>1</v>
      </c>
      <c r="BM612" s="3"/>
      <c r="BN612" s="4"/>
      <c r="BP612" s="34">
        <v>1</v>
      </c>
      <c r="BQ612" s="27"/>
      <c r="BR612" s="62"/>
      <c r="BV612" s="34">
        <v>1</v>
      </c>
      <c r="BW612" s="3"/>
      <c r="BX612" s="4"/>
      <c r="BZ612" s="36">
        <v>1</v>
      </c>
      <c r="CA612" s="3"/>
      <c r="CB612" s="4"/>
    </row>
    <row r="613" spans="2:86">
      <c r="B613" s="34">
        <v>2</v>
      </c>
      <c r="C613" s="3"/>
      <c r="D613" s="77"/>
      <c r="F613" s="34">
        <v>2</v>
      </c>
      <c r="G613" s="3"/>
      <c r="H613" s="77"/>
      <c r="J613" s="34">
        <v>2</v>
      </c>
      <c r="K613" s="3"/>
      <c r="L613" s="77"/>
      <c r="P613" s="34">
        <v>2</v>
      </c>
      <c r="Q613" s="3"/>
      <c r="R613" s="77"/>
      <c r="T613" s="34">
        <v>2</v>
      </c>
      <c r="U613" s="3"/>
      <c r="V613" s="77"/>
      <c r="X613" s="34">
        <v>2</v>
      </c>
      <c r="Y613" s="3"/>
      <c r="Z613" s="77"/>
      <c r="AC613" s="5"/>
      <c r="AG613" s="34">
        <v>2</v>
      </c>
      <c r="AH613" s="3"/>
      <c r="AI613" s="77"/>
      <c r="AK613" s="34">
        <v>2</v>
      </c>
      <c r="AL613" s="3"/>
      <c r="AM613" s="77"/>
      <c r="AO613" s="34">
        <v>2</v>
      </c>
      <c r="AP613" s="3"/>
      <c r="AQ613" s="77"/>
      <c r="AU613" s="34">
        <v>2</v>
      </c>
      <c r="AV613" s="3"/>
      <c r="AW613" s="77"/>
      <c r="AY613" s="34">
        <v>2</v>
      </c>
      <c r="AZ613" s="3"/>
      <c r="BA613" s="77"/>
      <c r="BC613" s="34">
        <v>2</v>
      </c>
      <c r="BD613" s="3"/>
      <c r="BE613" s="77"/>
      <c r="BH613" s="5"/>
      <c r="BL613" s="36">
        <v>2</v>
      </c>
      <c r="BM613" s="3"/>
      <c r="BN613" s="4"/>
      <c r="BP613" s="34">
        <v>2</v>
      </c>
      <c r="BQ613" s="27"/>
      <c r="BR613" s="4"/>
      <c r="BV613" s="34">
        <v>2</v>
      </c>
      <c r="BW613" s="3"/>
      <c r="BX613" s="4"/>
      <c r="BZ613" s="36">
        <v>2</v>
      </c>
      <c r="CA613" s="3"/>
      <c r="CB613" s="4"/>
    </row>
    <row r="614" spans="2:86">
      <c r="B614" s="34">
        <v>3</v>
      </c>
      <c r="C614" s="3"/>
      <c r="D614" s="77"/>
      <c r="F614" s="34">
        <v>3</v>
      </c>
      <c r="G614" s="3"/>
      <c r="H614" s="77"/>
      <c r="J614" s="34">
        <v>3</v>
      </c>
      <c r="K614" s="3"/>
      <c r="L614" s="77"/>
      <c r="P614" s="34">
        <v>3</v>
      </c>
      <c r="Q614" s="3"/>
      <c r="R614" s="77"/>
      <c r="T614" s="34">
        <v>3</v>
      </c>
      <c r="U614" s="3"/>
      <c r="V614" s="77"/>
      <c r="X614" s="34">
        <v>3</v>
      </c>
      <c r="Y614" s="3"/>
      <c r="Z614" s="77"/>
      <c r="AC614" s="5"/>
      <c r="AG614" s="34">
        <v>3</v>
      </c>
      <c r="AH614" s="3"/>
      <c r="AI614" s="77"/>
      <c r="AK614" s="34">
        <v>3</v>
      </c>
      <c r="AL614" s="3"/>
      <c r="AM614" s="77"/>
      <c r="AO614" s="34">
        <v>3</v>
      </c>
      <c r="AP614" s="3"/>
      <c r="AQ614" s="77"/>
      <c r="AU614" s="34">
        <v>3</v>
      </c>
      <c r="AV614" s="3"/>
      <c r="AW614" s="77"/>
      <c r="AY614" s="34">
        <v>3</v>
      </c>
      <c r="AZ614" s="3"/>
      <c r="BA614" s="77"/>
      <c r="BC614" s="34">
        <v>3</v>
      </c>
      <c r="BD614" s="3"/>
      <c r="BE614" s="77"/>
      <c r="BH614" s="5"/>
      <c r="BL614" s="36">
        <v>3</v>
      </c>
      <c r="BM614" s="3"/>
      <c r="BN614" s="4"/>
      <c r="BP614" s="34">
        <v>3</v>
      </c>
      <c r="BQ614" s="27"/>
      <c r="BR614" s="4"/>
      <c r="BV614" s="34">
        <v>3</v>
      </c>
      <c r="BW614" s="3"/>
      <c r="BX614" s="4"/>
      <c r="BZ614" s="36">
        <v>3</v>
      </c>
      <c r="CA614" s="3"/>
      <c r="CB614" s="4"/>
    </row>
    <row r="615" spans="2:86">
      <c r="B615" s="34">
        <v>4</v>
      </c>
      <c r="C615" s="3"/>
      <c r="D615" s="77"/>
      <c r="F615" s="34">
        <v>4</v>
      </c>
      <c r="G615" s="3"/>
      <c r="H615" s="77"/>
      <c r="J615" s="34">
        <v>4</v>
      </c>
      <c r="K615" s="3"/>
      <c r="L615" s="77"/>
      <c r="P615" s="34">
        <v>4</v>
      </c>
      <c r="Q615" s="3"/>
      <c r="R615" s="77"/>
      <c r="T615" s="34">
        <v>4</v>
      </c>
      <c r="U615" s="3"/>
      <c r="V615" s="77"/>
      <c r="X615" s="34">
        <v>4</v>
      </c>
      <c r="Y615" s="3"/>
      <c r="Z615" s="77"/>
      <c r="AC615" s="5"/>
      <c r="AG615" s="34">
        <v>4</v>
      </c>
      <c r="AH615" s="3"/>
      <c r="AI615" s="77"/>
      <c r="AK615" s="34">
        <v>4</v>
      </c>
      <c r="AL615" s="3"/>
      <c r="AM615" s="77"/>
      <c r="AO615" s="34">
        <v>4</v>
      </c>
      <c r="AP615" s="3"/>
      <c r="AQ615" s="77"/>
      <c r="AU615" s="34">
        <v>4</v>
      </c>
      <c r="AV615" s="3"/>
      <c r="AW615" s="77"/>
      <c r="AY615" s="34">
        <v>4</v>
      </c>
      <c r="AZ615" s="3"/>
      <c r="BA615" s="77"/>
      <c r="BC615" s="34">
        <v>4</v>
      </c>
      <c r="BD615" s="3"/>
      <c r="BE615" s="77"/>
      <c r="BH615" s="5"/>
      <c r="BL615" s="36">
        <v>4</v>
      </c>
      <c r="BM615" s="3"/>
      <c r="BN615" s="4"/>
      <c r="BP615" s="34">
        <v>4</v>
      </c>
      <c r="BQ615" s="27"/>
      <c r="BR615" s="4"/>
      <c r="BV615" s="34">
        <v>4</v>
      </c>
      <c r="BW615" s="3"/>
      <c r="BX615" s="4"/>
      <c r="BZ615" s="36">
        <v>4</v>
      </c>
      <c r="CA615" s="3"/>
      <c r="CB615" s="4"/>
    </row>
    <row r="616" spans="2:86">
      <c r="B616" s="34">
        <v>5</v>
      </c>
      <c r="C616" s="3"/>
      <c r="D616" s="77"/>
      <c r="F616" s="34">
        <v>5</v>
      </c>
      <c r="G616" s="3"/>
      <c r="H616" s="77"/>
      <c r="J616" s="34">
        <v>5</v>
      </c>
      <c r="K616" s="3"/>
      <c r="L616" s="77"/>
      <c r="P616" s="34">
        <v>5</v>
      </c>
      <c r="Q616" s="3"/>
      <c r="R616" s="77"/>
      <c r="T616" s="34">
        <v>5</v>
      </c>
      <c r="U616" s="3"/>
      <c r="V616" s="77"/>
      <c r="X616" s="34">
        <v>5</v>
      </c>
      <c r="Y616" s="3"/>
      <c r="Z616" s="77"/>
      <c r="AC616" s="5"/>
      <c r="AG616" s="34">
        <v>5</v>
      </c>
      <c r="AH616" s="3"/>
      <c r="AI616" s="77"/>
      <c r="AK616" s="34">
        <v>5</v>
      </c>
      <c r="AL616" s="3"/>
      <c r="AM616" s="77"/>
      <c r="AO616" s="34">
        <v>5</v>
      </c>
      <c r="AP616" s="3"/>
      <c r="AQ616" s="77"/>
      <c r="AU616" s="34">
        <v>5</v>
      </c>
      <c r="AV616" s="3"/>
      <c r="AW616" s="77"/>
      <c r="AY616" s="34">
        <v>5</v>
      </c>
      <c r="AZ616" s="3"/>
      <c r="BA616" s="77"/>
      <c r="BC616" s="34">
        <v>5</v>
      </c>
      <c r="BD616" s="3"/>
      <c r="BE616" s="77"/>
      <c r="BH616" s="5"/>
      <c r="BL616" s="36">
        <v>5</v>
      </c>
      <c r="BM616" s="3"/>
      <c r="BN616" s="4"/>
      <c r="BP616" s="34">
        <v>5</v>
      </c>
      <c r="BQ616" s="27"/>
      <c r="BR616" s="4"/>
      <c r="BV616" s="34">
        <v>5</v>
      </c>
      <c r="BW616" s="3"/>
      <c r="BX616" s="4"/>
      <c r="BZ616" s="36">
        <v>5</v>
      </c>
      <c r="CA616" s="3"/>
      <c r="CB616" s="4"/>
    </row>
    <row r="617" spans="2:86">
      <c r="B617" s="34">
        <v>6</v>
      </c>
      <c r="C617" s="3"/>
      <c r="D617" s="77"/>
      <c r="F617" s="34">
        <v>6</v>
      </c>
      <c r="G617" s="3"/>
      <c r="H617" s="77"/>
      <c r="J617" s="34">
        <v>6</v>
      </c>
      <c r="K617" s="3"/>
      <c r="L617" s="77"/>
      <c r="P617" s="34">
        <v>6</v>
      </c>
      <c r="Q617" s="3"/>
      <c r="R617" s="77"/>
      <c r="T617" s="34">
        <v>6</v>
      </c>
      <c r="U617" s="3"/>
      <c r="V617" s="77"/>
      <c r="X617" s="34">
        <v>6</v>
      </c>
      <c r="Y617" s="3"/>
      <c r="Z617" s="77"/>
      <c r="AC617" s="5"/>
      <c r="AG617" s="34">
        <v>6</v>
      </c>
      <c r="AH617" s="3"/>
      <c r="AI617" s="77"/>
      <c r="AK617" s="34">
        <v>6</v>
      </c>
      <c r="AL617" s="3"/>
      <c r="AM617" s="77"/>
      <c r="AO617" s="34">
        <v>6</v>
      </c>
      <c r="AP617" s="3"/>
      <c r="AQ617" s="77"/>
      <c r="AU617" s="34">
        <v>6</v>
      </c>
      <c r="AV617" s="3"/>
      <c r="AW617" s="77"/>
      <c r="AY617" s="34">
        <v>6</v>
      </c>
      <c r="AZ617" s="3"/>
      <c r="BA617" s="77"/>
      <c r="BC617" s="34">
        <v>6</v>
      </c>
      <c r="BD617" s="3"/>
      <c r="BE617" s="77"/>
      <c r="BH617" s="5"/>
      <c r="BL617" s="36">
        <v>6</v>
      </c>
      <c r="BM617" s="3"/>
      <c r="BN617" s="4"/>
      <c r="BP617" s="34">
        <v>6</v>
      </c>
      <c r="BQ617" s="27"/>
      <c r="BR617" s="4"/>
      <c r="BV617" s="34">
        <v>6</v>
      </c>
      <c r="BW617" s="3"/>
      <c r="BX617" s="4"/>
      <c r="BZ617" s="36">
        <v>6</v>
      </c>
      <c r="CA617" s="3"/>
      <c r="CB617" s="4"/>
    </row>
    <row r="618" spans="2:86">
      <c r="B618" s="34">
        <v>7</v>
      </c>
      <c r="C618" s="3"/>
      <c r="D618" s="77"/>
      <c r="F618" s="34">
        <v>7</v>
      </c>
      <c r="G618" s="3"/>
      <c r="H618" s="77"/>
      <c r="J618" s="34">
        <v>7</v>
      </c>
      <c r="K618" s="3"/>
      <c r="L618" s="77"/>
      <c r="P618" s="34">
        <v>7</v>
      </c>
      <c r="Q618" s="3"/>
      <c r="R618" s="77"/>
      <c r="T618" s="34">
        <v>7</v>
      </c>
      <c r="U618" s="3"/>
      <c r="V618" s="77"/>
      <c r="X618" s="34">
        <v>7</v>
      </c>
      <c r="Y618" s="3"/>
      <c r="Z618" s="77"/>
      <c r="AC618" s="5"/>
      <c r="AG618" s="34">
        <v>7</v>
      </c>
      <c r="AH618" s="3"/>
      <c r="AI618" s="77"/>
      <c r="AK618" s="34">
        <v>7</v>
      </c>
      <c r="AL618" s="3"/>
      <c r="AM618" s="77"/>
      <c r="AO618" s="34">
        <v>7</v>
      </c>
      <c r="AP618" s="3"/>
      <c r="AQ618" s="77"/>
      <c r="AU618" s="34">
        <v>7</v>
      </c>
      <c r="AV618" s="3"/>
      <c r="AW618" s="77"/>
      <c r="AY618" s="34">
        <v>7</v>
      </c>
      <c r="AZ618" s="3"/>
      <c r="BA618" s="77"/>
      <c r="BC618" s="34">
        <v>7</v>
      </c>
      <c r="BD618" s="3"/>
      <c r="BE618" s="77"/>
      <c r="BH618" s="5"/>
      <c r="BL618" s="36">
        <v>7</v>
      </c>
      <c r="BM618" s="3"/>
      <c r="BN618" s="4"/>
      <c r="BP618" s="34">
        <v>7</v>
      </c>
      <c r="BQ618" s="27"/>
      <c r="BR618" s="4"/>
      <c r="BV618" s="34">
        <v>7</v>
      </c>
      <c r="BW618" s="3"/>
      <c r="BX618" s="4"/>
      <c r="BZ618" s="36">
        <v>7</v>
      </c>
      <c r="CA618" s="3"/>
      <c r="CB618" s="4"/>
    </row>
    <row r="619" spans="2:86">
      <c r="B619" s="34">
        <v>8</v>
      </c>
      <c r="C619" s="3"/>
      <c r="D619" s="77"/>
      <c r="F619" s="34">
        <v>8</v>
      </c>
      <c r="G619" s="3"/>
      <c r="H619" s="77"/>
      <c r="J619" s="34">
        <v>8</v>
      </c>
      <c r="K619" s="3"/>
      <c r="L619" s="77"/>
      <c r="P619" s="34">
        <v>8</v>
      </c>
      <c r="Q619" s="3"/>
      <c r="R619" s="77"/>
      <c r="T619" s="34">
        <v>8</v>
      </c>
      <c r="U619" s="3"/>
      <c r="V619" s="77"/>
      <c r="X619" s="34">
        <v>8</v>
      </c>
      <c r="Y619" s="3"/>
      <c r="Z619" s="77"/>
      <c r="AC619" s="5"/>
      <c r="AG619" s="34">
        <v>8</v>
      </c>
      <c r="AH619" s="3"/>
      <c r="AI619" s="77"/>
      <c r="AK619" s="34">
        <v>8</v>
      </c>
      <c r="AL619" s="3"/>
      <c r="AM619" s="77"/>
      <c r="AO619" s="34">
        <v>8</v>
      </c>
      <c r="AP619" s="3"/>
      <c r="AQ619" s="77"/>
      <c r="AU619" s="34">
        <v>8</v>
      </c>
      <c r="AV619" s="3"/>
      <c r="AW619" s="77"/>
      <c r="AY619" s="34">
        <v>8</v>
      </c>
      <c r="AZ619" s="3"/>
      <c r="BA619" s="77"/>
      <c r="BC619" s="34">
        <v>8</v>
      </c>
      <c r="BD619" s="3"/>
      <c r="BE619" s="77"/>
      <c r="BH619" s="5"/>
      <c r="BL619" s="36">
        <v>8</v>
      </c>
      <c r="BM619" s="3"/>
      <c r="BN619" s="4"/>
      <c r="BP619" s="34">
        <v>8</v>
      </c>
      <c r="BQ619" s="27"/>
      <c r="BR619" s="4"/>
      <c r="BV619" s="34">
        <v>8</v>
      </c>
      <c r="BW619" s="3"/>
      <c r="BX619" s="4"/>
      <c r="BZ619" s="36">
        <v>8</v>
      </c>
      <c r="CA619" s="3"/>
      <c r="CB619" s="4"/>
    </row>
    <row r="620" spans="2:86">
      <c r="B620" s="34">
        <v>9</v>
      </c>
      <c r="C620" s="3"/>
      <c r="D620" s="77"/>
      <c r="F620" s="34">
        <v>9</v>
      </c>
      <c r="G620" s="3"/>
      <c r="H620" s="77"/>
      <c r="J620" s="34">
        <v>9</v>
      </c>
      <c r="K620" s="3"/>
      <c r="L620" s="77"/>
      <c r="P620" s="34">
        <v>9</v>
      </c>
      <c r="Q620" s="3"/>
      <c r="R620" s="77"/>
      <c r="T620" s="34">
        <v>9</v>
      </c>
      <c r="U620" s="3"/>
      <c r="V620" s="77"/>
      <c r="X620" s="34">
        <v>9</v>
      </c>
      <c r="Y620" s="3"/>
      <c r="Z620" s="77"/>
      <c r="AC620" s="5"/>
      <c r="AG620" s="34">
        <v>9</v>
      </c>
      <c r="AH620" s="3"/>
      <c r="AI620" s="77"/>
      <c r="AK620" s="34">
        <v>9</v>
      </c>
      <c r="AL620" s="3"/>
      <c r="AM620" s="77"/>
      <c r="AO620" s="34">
        <v>9</v>
      </c>
      <c r="AP620" s="3"/>
      <c r="AQ620" s="77"/>
      <c r="AU620" s="34">
        <v>9</v>
      </c>
      <c r="AV620" s="3"/>
      <c r="AW620" s="77"/>
      <c r="AY620" s="34">
        <v>9</v>
      </c>
      <c r="AZ620" s="3"/>
      <c r="BA620" s="77"/>
      <c r="BC620" s="34">
        <v>9</v>
      </c>
      <c r="BD620" s="3"/>
      <c r="BE620" s="77"/>
      <c r="BH620" s="5"/>
      <c r="BL620" s="36">
        <v>9</v>
      </c>
      <c r="BM620" s="3"/>
      <c r="BN620" s="4"/>
      <c r="BP620" s="34">
        <v>9</v>
      </c>
      <c r="BQ620" s="27"/>
      <c r="BR620" s="4"/>
      <c r="BV620" s="34">
        <v>9</v>
      </c>
      <c r="BW620" s="3"/>
      <c r="BX620" s="4"/>
      <c r="BZ620" s="36">
        <v>9</v>
      </c>
      <c r="CA620" s="3"/>
      <c r="CB620" s="4"/>
    </row>
    <row r="621" spans="2:86">
      <c r="B621" s="34">
        <v>10</v>
      </c>
      <c r="C621" s="3"/>
      <c r="D621" s="77"/>
      <c r="F621" s="34">
        <v>10</v>
      </c>
      <c r="G621" s="3"/>
      <c r="H621" s="77"/>
      <c r="J621" s="34">
        <v>10</v>
      </c>
      <c r="K621" s="3"/>
      <c r="L621" s="77"/>
      <c r="P621" s="34">
        <v>10</v>
      </c>
      <c r="Q621" s="3"/>
      <c r="R621" s="77"/>
      <c r="T621" s="34">
        <v>10</v>
      </c>
      <c r="U621" s="3"/>
      <c r="V621" s="77"/>
      <c r="X621" s="34">
        <v>10</v>
      </c>
      <c r="Y621" s="3"/>
      <c r="Z621" s="77"/>
      <c r="AC621" s="5"/>
      <c r="AG621" s="34">
        <v>10</v>
      </c>
      <c r="AH621" s="3"/>
      <c r="AI621" s="77"/>
      <c r="AK621" s="34">
        <v>10</v>
      </c>
      <c r="AL621" s="3"/>
      <c r="AM621" s="77"/>
      <c r="AO621" s="34">
        <v>10</v>
      </c>
      <c r="AP621" s="3"/>
      <c r="AQ621" s="77"/>
      <c r="AU621" s="34">
        <v>10</v>
      </c>
      <c r="AV621" s="3"/>
      <c r="AW621" s="77"/>
      <c r="AY621" s="34">
        <v>10</v>
      </c>
      <c r="AZ621" s="3"/>
      <c r="BA621" s="77"/>
      <c r="BC621" s="34">
        <v>10</v>
      </c>
      <c r="BD621" s="3"/>
      <c r="BE621" s="77"/>
      <c r="BH621" s="5"/>
      <c r="BL621" s="36">
        <v>10</v>
      </c>
      <c r="BM621" s="3"/>
      <c r="BN621" s="4"/>
      <c r="BP621" s="34">
        <v>10</v>
      </c>
      <c r="BQ621" s="27"/>
      <c r="BR621" s="4"/>
      <c r="BV621" s="34">
        <v>10</v>
      </c>
      <c r="BW621" s="3"/>
      <c r="BX621" s="4"/>
      <c r="BZ621" s="36">
        <v>10</v>
      </c>
      <c r="CA621" s="3"/>
      <c r="CB621" s="4"/>
    </row>
    <row r="622" spans="2:86">
      <c r="B622" s="34">
        <v>11</v>
      </c>
      <c r="C622" s="3"/>
      <c r="D622" s="77"/>
      <c r="F622" s="34">
        <v>11</v>
      </c>
      <c r="G622" s="3"/>
      <c r="H622" s="77"/>
      <c r="J622" s="34">
        <v>11</v>
      </c>
      <c r="K622" s="3"/>
      <c r="L622" s="77"/>
      <c r="P622" s="34">
        <v>11</v>
      </c>
      <c r="Q622" s="3"/>
      <c r="R622" s="77"/>
      <c r="T622" s="34">
        <v>11</v>
      </c>
      <c r="U622" s="3"/>
      <c r="V622" s="77"/>
      <c r="X622" s="34">
        <v>11</v>
      </c>
      <c r="Y622" s="3"/>
      <c r="Z622" s="77"/>
      <c r="AC622" s="5"/>
      <c r="AG622" s="34">
        <v>11</v>
      </c>
      <c r="AH622" s="3"/>
      <c r="AI622" s="77"/>
      <c r="AK622" s="34">
        <v>11</v>
      </c>
      <c r="AL622" s="3"/>
      <c r="AM622" s="77"/>
      <c r="AO622" s="34">
        <v>11</v>
      </c>
      <c r="AP622" s="3"/>
      <c r="AQ622" s="77"/>
      <c r="AU622" s="34">
        <v>11</v>
      </c>
      <c r="AV622" s="3"/>
      <c r="AW622" s="77"/>
      <c r="AY622" s="34">
        <v>11</v>
      </c>
      <c r="AZ622" s="3"/>
      <c r="BA622" s="77"/>
      <c r="BC622" s="34">
        <v>11</v>
      </c>
      <c r="BD622" s="3"/>
      <c r="BE622" s="77"/>
      <c r="BH622" s="5"/>
      <c r="BL622" s="36">
        <v>11</v>
      </c>
      <c r="BM622" s="3"/>
      <c r="BN622" s="4"/>
      <c r="BP622" s="34">
        <v>11</v>
      </c>
      <c r="BQ622" s="27"/>
      <c r="BR622" s="4"/>
      <c r="BV622" s="34">
        <v>11</v>
      </c>
      <c r="BW622" s="3"/>
      <c r="BX622" s="4"/>
      <c r="BZ622" s="36">
        <v>11</v>
      </c>
      <c r="CA622" s="3"/>
      <c r="CB622" s="4"/>
    </row>
    <row r="623" spans="2:86">
      <c r="B623" s="34">
        <v>12</v>
      </c>
      <c r="C623" s="3"/>
      <c r="D623" s="77"/>
      <c r="F623" s="34">
        <v>12</v>
      </c>
      <c r="G623" s="3"/>
      <c r="H623" s="77"/>
      <c r="J623" s="34">
        <v>12</v>
      </c>
      <c r="K623" s="3"/>
      <c r="L623" s="77"/>
      <c r="P623" s="34">
        <v>12</v>
      </c>
      <c r="Q623" s="3"/>
      <c r="R623" s="77"/>
      <c r="T623" s="34">
        <v>12</v>
      </c>
      <c r="U623" s="3"/>
      <c r="V623" s="77"/>
      <c r="X623" s="34">
        <v>12</v>
      </c>
      <c r="Y623" s="3"/>
      <c r="Z623" s="77"/>
      <c r="AC623" s="5"/>
      <c r="AG623" s="34">
        <v>12</v>
      </c>
      <c r="AH623" s="3"/>
      <c r="AI623" s="77"/>
      <c r="AK623" s="34">
        <v>12</v>
      </c>
      <c r="AL623" s="3"/>
      <c r="AM623" s="77"/>
      <c r="AO623" s="34">
        <v>12</v>
      </c>
      <c r="AP623" s="3"/>
      <c r="AQ623" s="77"/>
      <c r="AU623" s="34">
        <v>12</v>
      </c>
      <c r="AV623" s="3"/>
      <c r="AW623" s="77"/>
      <c r="AY623" s="34">
        <v>12</v>
      </c>
      <c r="AZ623" s="3"/>
      <c r="BA623" s="77"/>
      <c r="BC623" s="34">
        <v>12</v>
      </c>
      <c r="BD623" s="3"/>
      <c r="BE623" s="77"/>
      <c r="BH623" s="5"/>
      <c r="BL623" s="36">
        <v>12</v>
      </c>
      <c r="BM623" s="3"/>
      <c r="BN623" s="4"/>
      <c r="BP623" s="34">
        <v>12</v>
      </c>
      <c r="BQ623" s="27"/>
      <c r="BR623" s="4"/>
      <c r="BV623" s="34">
        <v>12</v>
      </c>
      <c r="BW623" s="3"/>
      <c r="BX623" s="4"/>
      <c r="BZ623" s="36">
        <v>12</v>
      </c>
      <c r="CA623" s="3"/>
      <c r="CB623" s="4"/>
    </row>
    <row r="624" spans="2:86">
      <c r="B624" s="34">
        <v>13</v>
      </c>
      <c r="C624" s="3"/>
      <c r="D624" s="77"/>
      <c r="F624" s="34">
        <v>13</v>
      </c>
      <c r="G624" s="3"/>
      <c r="H624" s="77"/>
      <c r="J624" s="34">
        <v>13</v>
      </c>
      <c r="K624" s="3"/>
      <c r="L624" s="77"/>
      <c r="P624" s="34">
        <v>13</v>
      </c>
      <c r="Q624" s="3"/>
      <c r="R624" s="77"/>
      <c r="T624" s="34">
        <v>13</v>
      </c>
      <c r="U624" s="3"/>
      <c r="V624" s="77"/>
      <c r="X624" s="34">
        <v>13</v>
      </c>
      <c r="Y624" s="3"/>
      <c r="Z624" s="77"/>
      <c r="AC624" s="5"/>
      <c r="AG624" s="34">
        <v>13</v>
      </c>
      <c r="AH624" s="3"/>
      <c r="AI624" s="77"/>
      <c r="AK624" s="34">
        <v>13</v>
      </c>
      <c r="AL624" s="3"/>
      <c r="AM624" s="77"/>
      <c r="AO624" s="34">
        <v>13</v>
      </c>
      <c r="AP624" s="3"/>
      <c r="AQ624" s="77"/>
      <c r="AU624" s="34">
        <v>13</v>
      </c>
      <c r="AV624" s="3"/>
      <c r="AW624" s="77"/>
      <c r="AY624" s="34">
        <v>13</v>
      </c>
      <c r="AZ624" s="3"/>
      <c r="BA624" s="77"/>
      <c r="BC624" s="34">
        <v>13</v>
      </c>
      <c r="BD624" s="3"/>
      <c r="BE624" s="77"/>
      <c r="BH624" s="5"/>
      <c r="BL624" s="36">
        <v>13</v>
      </c>
      <c r="BM624" s="3"/>
      <c r="BN624" s="4"/>
      <c r="BP624" s="34">
        <v>13</v>
      </c>
      <c r="BQ624" s="27"/>
      <c r="BR624" s="4"/>
      <c r="BV624" s="34">
        <v>13</v>
      </c>
      <c r="BW624" s="3"/>
      <c r="BX624" s="4"/>
      <c r="BZ624" s="36">
        <v>13</v>
      </c>
      <c r="CA624" s="3"/>
      <c r="CB624" s="4"/>
    </row>
    <row r="625" spans="2:80">
      <c r="B625" s="34">
        <v>14</v>
      </c>
      <c r="C625" s="3"/>
      <c r="D625" s="77"/>
      <c r="F625" s="34">
        <v>14</v>
      </c>
      <c r="G625" s="3"/>
      <c r="H625" s="77"/>
      <c r="J625" s="34">
        <v>14</v>
      </c>
      <c r="K625" s="3"/>
      <c r="L625" s="77"/>
      <c r="P625" s="34">
        <v>14</v>
      </c>
      <c r="Q625" s="3"/>
      <c r="R625" s="77"/>
      <c r="T625" s="34">
        <v>14</v>
      </c>
      <c r="U625" s="3"/>
      <c r="V625" s="77"/>
      <c r="X625" s="34">
        <v>14</v>
      </c>
      <c r="Y625" s="3"/>
      <c r="Z625" s="77"/>
      <c r="AC625" s="5"/>
      <c r="AG625" s="34">
        <v>14</v>
      </c>
      <c r="AH625" s="3"/>
      <c r="AI625" s="77"/>
      <c r="AK625" s="34">
        <v>14</v>
      </c>
      <c r="AL625" s="3"/>
      <c r="AM625" s="77"/>
      <c r="AO625" s="34">
        <v>14</v>
      </c>
      <c r="AP625" s="3"/>
      <c r="AQ625" s="77"/>
      <c r="AU625" s="34">
        <v>14</v>
      </c>
      <c r="AV625" s="3"/>
      <c r="AW625" s="77"/>
      <c r="AY625" s="34">
        <v>14</v>
      </c>
      <c r="AZ625" s="3"/>
      <c r="BA625" s="77"/>
      <c r="BC625" s="34">
        <v>14</v>
      </c>
      <c r="BD625" s="3"/>
      <c r="BE625" s="77"/>
      <c r="BH625" s="5"/>
      <c r="BL625" s="36">
        <v>14</v>
      </c>
      <c r="BM625" s="3"/>
      <c r="BN625" s="4"/>
      <c r="BP625" s="34">
        <v>14</v>
      </c>
      <c r="BQ625" s="27"/>
      <c r="BR625" s="4"/>
      <c r="BV625" s="34">
        <v>14</v>
      </c>
      <c r="BW625" s="3"/>
      <c r="BX625" s="4"/>
      <c r="BZ625" s="36">
        <v>14</v>
      </c>
      <c r="CA625" s="3"/>
      <c r="CB625" s="4"/>
    </row>
    <row r="626" spans="2:80">
      <c r="B626" s="34">
        <v>15</v>
      </c>
      <c r="C626" s="3"/>
      <c r="D626" s="77"/>
      <c r="F626" s="34">
        <v>15</v>
      </c>
      <c r="G626" s="3"/>
      <c r="H626" s="77"/>
      <c r="J626" s="34">
        <v>15</v>
      </c>
      <c r="K626" s="3"/>
      <c r="L626" s="77"/>
      <c r="P626" s="34">
        <v>15</v>
      </c>
      <c r="Q626" s="3"/>
      <c r="R626" s="77"/>
      <c r="T626" s="34">
        <v>15</v>
      </c>
      <c r="U626" s="3"/>
      <c r="V626" s="77"/>
      <c r="X626" s="34">
        <v>15</v>
      </c>
      <c r="Y626" s="3"/>
      <c r="Z626" s="77"/>
      <c r="AC626" s="5"/>
      <c r="AG626" s="34">
        <v>15</v>
      </c>
      <c r="AH626" s="3"/>
      <c r="AI626" s="77"/>
      <c r="AK626" s="34">
        <v>15</v>
      </c>
      <c r="AL626" s="3"/>
      <c r="AM626" s="77"/>
      <c r="AO626" s="34">
        <v>15</v>
      </c>
      <c r="AP626" s="3"/>
      <c r="AQ626" s="77"/>
      <c r="AU626" s="34">
        <v>15</v>
      </c>
      <c r="AV626" s="3"/>
      <c r="AW626" s="77"/>
      <c r="AY626" s="34">
        <v>15</v>
      </c>
      <c r="AZ626" s="3"/>
      <c r="BA626" s="77"/>
      <c r="BC626" s="34">
        <v>15</v>
      </c>
      <c r="BD626" s="3"/>
      <c r="BE626" s="77"/>
      <c r="BH626" s="5"/>
      <c r="BL626" s="36">
        <v>15</v>
      </c>
      <c r="BM626" s="3"/>
      <c r="BN626" s="4"/>
      <c r="BP626" s="34">
        <v>15</v>
      </c>
      <c r="BQ626" s="27"/>
      <c r="BR626" s="4"/>
      <c r="BV626" s="34">
        <v>15</v>
      </c>
      <c r="BW626" s="3"/>
      <c r="BX626" s="4"/>
      <c r="BZ626" s="36">
        <v>15</v>
      </c>
      <c r="CA626" s="3"/>
      <c r="CB626" s="4"/>
    </row>
    <row r="627" spans="2:80">
      <c r="B627" s="34">
        <v>16</v>
      </c>
      <c r="C627" s="3"/>
      <c r="D627" s="77"/>
      <c r="F627" s="34">
        <v>16</v>
      </c>
      <c r="G627" s="3"/>
      <c r="H627" s="77"/>
      <c r="J627" s="34">
        <v>16</v>
      </c>
      <c r="K627" s="3"/>
      <c r="L627" s="77"/>
      <c r="P627" s="34">
        <v>16</v>
      </c>
      <c r="Q627" s="3"/>
      <c r="R627" s="77"/>
      <c r="T627" s="34">
        <v>16</v>
      </c>
      <c r="U627" s="3"/>
      <c r="V627" s="77"/>
      <c r="X627" s="34">
        <v>16</v>
      </c>
      <c r="Y627" s="3"/>
      <c r="Z627" s="77"/>
      <c r="AC627" s="5"/>
      <c r="AG627" s="34">
        <v>16</v>
      </c>
      <c r="AH627" s="3"/>
      <c r="AI627" s="77"/>
      <c r="AK627" s="34">
        <v>16</v>
      </c>
      <c r="AL627" s="3"/>
      <c r="AM627" s="77"/>
      <c r="AO627" s="34">
        <v>16</v>
      </c>
      <c r="AP627" s="3"/>
      <c r="AQ627" s="77"/>
      <c r="AU627" s="34">
        <v>16</v>
      </c>
      <c r="AV627" s="3"/>
      <c r="AW627" s="77"/>
      <c r="AY627" s="34">
        <v>16</v>
      </c>
      <c r="AZ627" s="3"/>
      <c r="BA627" s="77"/>
      <c r="BC627" s="34">
        <v>16</v>
      </c>
      <c r="BD627" s="3"/>
      <c r="BE627" s="77"/>
      <c r="BH627" s="5"/>
      <c r="BL627" s="36">
        <v>16</v>
      </c>
      <c r="BM627" s="3"/>
      <c r="BN627" s="4"/>
      <c r="BP627" s="34">
        <v>16</v>
      </c>
      <c r="BQ627" s="27"/>
      <c r="BR627" s="4"/>
      <c r="BV627" s="34">
        <v>16</v>
      </c>
      <c r="BW627" s="3"/>
      <c r="BX627" s="4"/>
      <c r="BZ627" s="36">
        <v>16</v>
      </c>
      <c r="CA627" s="3"/>
      <c r="CB627" s="77"/>
    </row>
    <row r="628" spans="2:80">
      <c r="B628" s="34">
        <v>17</v>
      </c>
      <c r="C628" s="3"/>
      <c r="D628" s="77"/>
      <c r="F628" s="34">
        <v>17</v>
      </c>
      <c r="G628" s="3"/>
      <c r="H628" s="77"/>
      <c r="J628" s="34">
        <v>17</v>
      </c>
      <c r="K628" s="3"/>
      <c r="L628" s="77"/>
      <c r="P628" s="34">
        <v>17</v>
      </c>
      <c r="Q628" s="3"/>
      <c r="R628" s="77"/>
      <c r="T628" s="34">
        <v>17</v>
      </c>
      <c r="U628" s="3"/>
      <c r="V628" s="77"/>
      <c r="X628" s="34">
        <v>17</v>
      </c>
      <c r="Y628" s="3"/>
      <c r="Z628" s="77"/>
      <c r="AC628" s="5"/>
      <c r="AG628" s="34">
        <v>17</v>
      </c>
      <c r="AH628" s="3"/>
      <c r="AI628" s="77"/>
      <c r="AK628" s="34">
        <v>17</v>
      </c>
      <c r="AL628" s="3"/>
      <c r="AM628" s="77"/>
      <c r="AO628" s="34">
        <v>17</v>
      </c>
      <c r="AP628" s="3"/>
      <c r="AQ628" s="77"/>
      <c r="AU628" s="34">
        <v>17</v>
      </c>
      <c r="AV628" s="3"/>
      <c r="AW628" s="77"/>
      <c r="AY628" s="34">
        <v>17</v>
      </c>
      <c r="AZ628" s="3"/>
      <c r="BA628" s="77"/>
      <c r="BC628" s="34">
        <v>17</v>
      </c>
      <c r="BD628" s="3"/>
      <c r="BE628" s="77"/>
      <c r="BH628" s="5"/>
      <c r="BL628" s="36">
        <v>17</v>
      </c>
      <c r="BM628" s="3"/>
      <c r="BN628" s="4"/>
      <c r="BP628" s="34">
        <v>17</v>
      </c>
      <c r="BQ628" s="27"/>
      <c r="BR628" s="4"/>
      <c r="BV628" s="34">
        <v>17</v>
      </c>
      <c r="BW628" s="3"/>
      <c r="BX628" s="4"/>
      <c r="BZ628" s="36">
        <v>17</v>
      </c>
      <c r="CA628" s="3"/>
      <c r="CB628" s="4"/>
    </row>
    <row r="629" spans="2:80">
      <c r="B629" s="34">
        <v>18</v>
      </c>
      <c r="C629" s="3"/>
      <c r="D629" s="77"/>
      <c r="F629" s="34">
        <v>18</v>
      </c>
      <c r="G629" s="3"/>
      <c r="H629" s="77"/>
      <c r="J629" s="34">
        <v>18</v>
      </c>
      <c r="K629" s="3"/>
      <c r="L629" s="77"/>
      <c r="P629" s="34">
        <v>18</v>
      </c>
      <c r="Q629" s="3"/>
      <c r="R629" s="77"/>
      <c r="T629" s="34">
        <v>18</v>
      </c>
      <c r="U629" s="3"/>
      <c r="V629" s="77"/>
      <c r="X629" s="34">
        <v>18</v>
      </c>
      <c r="Y629" s="3"/>
      <c r="Z629" s="77"/>
      <c r="AC629" s="5"/>
      <c r="AG629" s="34">
        <v>18</v>
      </c>
      <c r="AH629" s="3"/>
      <c r="AI629" s="77"/>
      <c r="AK629" s="34">
        <v>18</v>
      </c>
      <c r="AL629" s="3"/>
      <c r="AM629" s="77"/>
      <c r="AO629" s="34">
        <v>18</v>
      </c>
      <c r="AP629" s="3"/>
      <c r="AQ629" s="77"/>
      <c r="AU629" s="34">
        <v>18</v>
      </c>
      <c r="AV629" s="3"/>
      <c r="AW629" s="77"/>
      <c r="AY629" s="34">
        <v>18</v>
      </c>
      <c r="AZ629" s="3"/>
      <c r="BA629" s="77"/>
      <c r="BC629" s="34">
        <v>18</v>
      </c>
      <c r="BD629" s="3"/>
      <c r="BE629" s="77"/>
      <c r="BH629" s="5"/>
      <c r="BL629" s="36">
        <v>18</v>
      </c>
      <c r="BM629" s="3"/>
      <c r="BN629" s="4"/>
      <c r="BP629" s="34">
        <v>18</v>
      </c>
      <c r="BQ629" s="27"/>
      <c r="BR629" s="4"/>
      <c r="BV629" s="34">
        <v>18</v>
      </c>
      <c r="BW629" s="3"/>
      <c r="BX629" s="4"/>
      <c r="BZ629" s="36">
        <v>18</v>
      </c>
      <c r="CA629" s="3"/>
      <c r="CB629" s="4"/>
    </row>
    <row r="630" spans="2:80">
      <c r="B630" s="34">
        <v>19</v>
      </c>
      <c r="C630" s="3"/>
      <c r="D630" s="77"/>
      <c r="F630" s="34">
        <v>19</v>
      </c>
      <c r="G630" s="3"/>
      <c r="H630" s="77"/>
      <c r="J630" s="34">
        <v>19</v>
      </c>
      <c r="K630" s="3"/>
      <c r="L630" s="77"/>
      <c r="P630" s="34">
        <v>19</v>
      </c>
      <c r="Q630" s="3"/>
      <c r="R630" s="77"/>
      <c r="T630" s="34">
        <v>19</v>
      </c>
      <c r="U630" s="3"/>
      <c r="V630" s="77"/>
      <c r="X630" s="34">
        <v>19</v>
      </c>
      <c r="Y630" s="3"/>
      <c r="Z630" s="77"/>
      <c r="AC630" s="5"/>
      <c r="AG630" s="34">
        <v>19</v>
      </c>
      <c r="AH630" s="3"/>
      <c r="AI630" s="77"/>
      <c r="AK630" s="34">
        <v>19</v>
      </c>
      <c r="AL630" s="3"/>
      <c r="AM630" s="77"/>
      <c r="AO630" s="34">
        <v>19</v>
      </c>
      <c r="AP630" s="3"/>
      <c r="AQ630" s="77"/>
      <c r="AU630" s="34">
        <v>19</v>
      </c>
      <c r="AV630" s="3"/>
      <c r="AW630" s="77"/>
      <c r="AY630" s="34">
        <v>19</v>
      </c>
      <c r="AZ630" s="3"/>
      <c r="BA630" s="77"/>
      <c r="BC630" s="34">
        <v>19</v>
      </c>
      <c r="BD630" s="3"/>
      <c r="BE630" s="77"/>
      <c r="BH630" s="5"/>
      <c r="BL630" s="36">
        <v>19</v>
      </c>
      <c r="BM630" s="3"/>
      <c r="BN630" s="4"/>
      <c r="BP630" s="34">
        <v>19</v>
      </c>
      <c r="BQ630" s="27"/>
      <c r="BR630" s="4"/>
      <c r="BV630" s="34">
        <v>19</v>
      </c>
      <c r="BW630" s="3"/>
      <c r="BX630" s="4"/>
      <c r="BZ630" s="36">
        <v>19</v>
      </c>
      <c r="CA630" s="3"/>
      <c r="CB630" s="4"/>
    </row>
    <row r="631" spans="2:80">
      <c r="B631" s="34">
        <v>20</v>
      </c>
      <c r="C631" s="3"/>
      <c r="D631" s="77"/>
      <c r="F631" s="34">
        <v>20</v>
      </c>
      <c r="G631" s="3"/>
      <c r="H631" s="77"/>
      <c r="J631" s="34">
        <v>20</v>
      </c>
      <c r="K631" s="3"/>
      <c r="L631" s="77"/>
      <c r="P631" s="34">
        <v>20</v>
      </c>
      <c r="Q631" s="3"/>
      <c r="R631" s="77"/>
      <c r="T631" s="34">
        <v>20</v>
      </c>
      <c r="U631" s="3"/>
      <c r="V631" s="77"/>
      <c r="X631" s="34">
        <v>20</v>
      </c>
      <c r="Y631" s="3"/>
      <c r="Z631" s="77"/>
      <c r="AC631" s="5"/>
      <c r="AG631" s="34">
        <v>20</v>
      </c>
      <c r="AH631" s="3"/>
      <c r="AI631" s="77"/>
      <c r="AK631" s="34">
        <v>20</v>
      </c>
      <c r="AL631" s="3"/>
      <c r="AM631" s="77"/>
      <c r="AO631" s="34">
        <v>20</v>
      </c>
      <c r="AP631" s="3"/>
      <c r="AQ631" s="77"/>
      <c r="AU631" s="34">
        <v>20</v>
      </c>
      <c r="AV631" s="3"/>
      <c r="AW631" s="77"/>
      <c r="AY631" s="34">
        <v>20</v>
      </c>
      <c r="AZ631" s="3"/>
      <c r="BA631" s="77"/>
      <c r="BC631" s="34">
        <v>20</v>
      </c>
      <c r="BD631" s="3"/>
      <c r="BE631" s="77"/>
      <c r="BH631" s="5"/>
      <c r="BL631" s="36">
        <v>20</v>
      </c>
      <c r="BM631" s="3"/>
      <c r="BN631" s="4"/>
      <c r="BP631" s="34">
        <v>20</v>
      </c>
      <c r="BQ631" s="27"/>
      <c r="BR631" s="4"/>
      <c r="BV631" s="34">
        <v>20</v>
      </c>
      <c r="BW631" s="3"/>
      <c r="BX631" s="4"/>
      <c r="BZ631" s="36">
        <v>20</v>
      </c>
      <c r="CA631" s="3"/>
      <c r="CB631" s="77"/>
    </row>
    <row r="632" spans="2:80">
      <c r="B632" s="34">
        <v>21</v>
      </c>
      <c r="C632" s="3"/>
      <c r="D632" s="77"/>
      <c r="F632" s="34">
        <v>21</v>
      </c>
      <c r="G632" s="3"/>
      <c r="H632" s="77"/>
      <c r="J632" s="34">
        <v>21</v>
      </c>
      <c r="K632" s="3"/>
      <c r="L632" s="77"/>
      <c r="P632" s="34">
        <v>21</v>
      </c>
      <c r="Q632" s="3"/>
      <c r="R632" s="77"/>
      <c r="T632" s="34">
        <v>21</v>
      </c>
      <c r="U632" s="3"/>
      <c r="V632" s="77"/>
      <c r="X632" s="34">
        <v>21</v>
      </c>
      <c r="Y632" s="3"/>
      <c r="Z632" s="77"/>
      <c r="AC632" s="5"/>
      <c r="AG632" s="34">
        <v>21</v>
      </c>
      <c r="AH632" s="3"/>
      <c r="AI632" s="77"/>
      <c r="AK632" s="34">
        <v>21</v>
      </c>
      <c r="AL632" s="3"/>
      <c r="AM632" s="77"/>
      <c r="AO632" s="34">
        <v>21</v>
      </c>
      <c r="AP632" s="3"/>
      <c r="AQ632" s="77"/>
      <c r="AU632" s="34">
        <v>21</v>
      </c>
      <c r="AV632" s="3"/>
      <c r="AW632" s="77"/>
      <c r="AY632" s="34">
        <v>21</v>
      </c>
      <c r="AZ632" s="3"/>
      <c r="BA632" s="77"/>
      <c r="BC632" s="34">
        <v>21</v>
      </c>
      <c r="BD632" s="3"/>
      <c r="BE632" s="77"/>
      <c r="BH632" s="5"/>
      <c r="BL632" s="36">
        <v>21</v>
      </c>
      <c r="BM632" s="3"/>
      <c r="BN632" s="4"/>
      <c r="BP632" s="34">
        <v>21</v>
      </c>
      <c r="BQ632" s="27"/>
      <c r="BR632" s="4"/>
      <c r="BV632" s="34">
        <v>21</v>
      </c>
      <c r="BW632" s="3"/>
      <c r="BX632" s="4"/>
      <c r="BZ632" s="36">
        <v>21</v>
      </c>
      <c r="CA632" s="3"/>
      <c r="CB632" s="4"/>
    </row>
    <row r="633" spans="2:80">
      <c r="B633" s="34">
        <v>22</v>
      </c>
      <c r="C633" s="3"/>
      <c r="D633" s="77"/>
      <c r="F633" s="34">
        <v>22</v>
      </c>
      <c r="G633" s="3"/>
      <c r="H633" s="77"/>
      <c r="J633" s="34">
        <v>22</v>
      </c>
      <c r="K633" s="3"/>
      <c r="L633" s="77"/>
      <c r="P633" s="34">
        <v>22</v>
      </c>
      <c r="Q633" s="3"/>
      <c r="R633" s="77"/>
      <c r="T633" s="34">
        <v>22</v>
      </c>
      <c r="U633" s="3"/>
      <c r="V633" s="77"/>
      <c r="X633" s="34">
        <v>22</v>
      </c>
      <c r="Y633" s="3"/>
      <c r="Z633" s="77"/>
      <c r="AC633" s="5"/>
      <c r="AG633" s="34">
        <v>22</v>
      </c>
      <c r="AH633" s="3"/>
      <c r="AI633" s="77"/>
      <c r="AK633" s="34">
        <v>22</v>
      </c>
      <c r="AL633" s="3"/>
      <c r="AM633" s="77"/>
      <c r="AO633" s="34">
        <v>22</v>
      </c>
      <c r="AP633" s="3"/>
      <c r="AQ633" s="77"/>
      <c r="AU633" s="34">
        <v>22</v>
      </c>
      <c r="AV633" s="3"/>
      <c r="AW633" s="77"/>
      <c r="AY633" s="34">
        <v>22</v>
      </c>
      <c r="AZ633" s="3"/>
      <c r="BA633" s="77"/>
      <c r="BC633" s="34">
        <v>22</v>
      </c>
      <c r="BD633" s="3"/>
      <c r="BE633" s="77"/>
      <c r="BH633" s="5"/>
      <c r="BL633" s="36">
        <v>22</v>
      </c>
      <c r="BM633" s="3"/>
      <c r="BN633" s="4"/>
      <c r="BP633" s="34">
        <v>22</v>
      </c>
      <c r="BQ633" s="27"/>
      <c r="BR633" s="4"/>
      <c r="BV633" s="34">
        <v>22</v>
      </c>
      <c r="BW633" s="3"/>
      <c r="BX633" s="4"/>
      <c r="BZ633" s="36">
        <v>22</v>
      </c>
      <c r="CA633" s="3"/>
      <c r="CB633" s="4"/>
    </row>
    <row r="634" spans="2:80">
      <c r="B634" s="34">
        <v>23</v>
      </c>
      <c r="C634" s="3"/>
      <c r="D634" s="77"/>
      <c r="F634" s="34">
        <v>23</v>
      </c>
      <c r="G634" s="3"/>
      <c r="H634" s="77"/>
      <c r="J634" s="34">
        <v>23</v>
      </c>
      <c r="K634" s="3"/>
      <c r="L634" s="77"/>
      <c r="P634" s="34">
        <v>23</v>
      </c>
      <c r="Q634" s="3"/>
      <c r="R634" s="77"/>
      <c r="T634" s="34">
        <v>23</v>
      </c>
      <c r="U634" s="3"/>
      <c r="V634" s="77"/>
      <c r="X634" s="34">
        <v>23</v>
      </c>
      <c r="Y634" s="3"/>
      <c r="Z634" s="77"/>
      <c r="AC634" s="5"/>
      <c r="AG634" s="34">
        <v>23</v>
      </c>
      <c r="AH634" s="3"/>
      <c r="AI634" s="77"/>
      <c r="AK634" s="34">
        <v>23</v>
      </c>
      <c r="AL634" s="3"/>
      <c r="AM634" s="77"/>
      <c r="AO634" s="34">
        <v>23</v>
      </c>
      <c r="AP634" s="3"/>
      <c r="AQ634" s="77"/>
      <c r="AU634" s="34">
        <v>23</v>
      </c>
      <c r="AV634" s="3"/>
      <c r="AW634" s="77"/>
      <c r="AY634" s="34">
        <v>23</v>
      </c>
      <c r="AZ634" s="3"/>
      <c r="BA634" s="77"/>
      <c r="BC634" s="34">
        <v>23</v>
      </c>
      <c r="BD634" s="3"/>
      <c r="BE634" s="77"/>
      <c r="BH634" s="5"/>
      <c r="BL634" s="36">
        <v>23</v>
      </c>
      <c r="BM634" s="3"/>
      <c r="BN634" s="4"/>
      <c r="BP634" s="34">
        <v>23</v>
      </c>
      <c r="BQ634" s="27"/>
      <c r="BR634" s="4"/>
      <c r="BV634" s="34">
        <v>23</v>
      </c>
      <c r="BW634" s="3"/>
      <c r="BX634" s="4"/>
      <c r="BZ634" s="36">
        <v>23</v>
      </c>
      <c r="CA634" s="3"/>
      <c r="CB634" s="4"/>
    </row>
  </sheetData>
  <mergeCells count="6">
    <mergeCell ref="BQ329:BQ338"/>
    <mergeCell ref="C330:C337"/>
    <mergeCell ref="Q329:Q339"/>
    <mergeCell ref="AH330:AH338"/>
    <mergeCell ref="AZ329:AZ338"/>
    <mergeCell ref="AP330:AP338"/>
  </mergeCells>
  <phoneticPr fontId="35" type="noConversion"/>
  <printOptions horizontalCentered="1" verticalCentered="1"/>
  <pageMargins left="0.23597222566604614" right="0.23597222566604614" top="0.74750000238418579" bottom="0.74750000238418579" header="0.31486111879348755" footer="0.31486111879348755"/>
  <pageSetup paperSize="8" scale="27" orientation="portrait" r:id="rId1"/>
  <headerFooter>
    <oddFooter>&amp;C&amp;"함초롬돋움,Regular"&amp;N페이지 중 &amp;P페이지</oddFooter>
  </headerFooter>
  <rowBreaks count="3" manualBreakCount="3">
    <brk id="112" max="1048575" man="1"/>
    <brk id="220" max="1048575" man="1"/>
    <brk id="365" max="1048575" man="1"/>
  </rowBreaks>
  <colBreaks count="3" manualBreakCount="3">
    <brk id="27" max="16383" man="1"/>
    <brk id="58" max="16383" man="1"/>
    <brk id="82" max="16383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M51"/>
  <sheetViews>
    <sheetView showGridLines="0" view="pageBreakPreview" zoomScale="55" zoomScaleNormal="25" zoomScaleSheetLayoutView="55" workbookViewId="0">
      <selection activeCell="B2" sqref="B2:J2"/>
    </sheetView>
  </sheetViews>
  <sheetFormatPr defaultColWidth="9" defaultRowHeight="16.5"/>
  <cols>
    <col min="1" max="1" width="9" style="110"/>
    <col min="2" max="2" width="2.25" style="110" customWidth="1"/>
    <col min="3" max="4" width="12.625" style="120" customWidth="1"/>
    <col min="5" max="8" width="12.625" style="110" customWidth="1"/>
    <col min="9" max="9" width="12.625" style="120" customWidth="1"/>
    <col min="10" max="11" width="2.25" style="110" customWidth="1"/>
    <col min="12" max="13" width="12.625" style="120" customWidth="1"/>
    <col min="14" max="17" width="12.625" style="110" customWidth="1"/>
    <col min="18" max="18" width="12.625" style="120" customWidth="1"/>
    <col min="19" max="20" width="2.25" style="110" customWidth="1"/>
    <col min="21" max="22" width="12.625" style="120" customWidth="1"/>
    <col min="23" max="26" width="12.625" style="110" customWidth="1"/>
    <col min="27" max="27" width="13.625" style="110" customWidth="1"/>
    <col min="28" max="28" width="12.625" style="110" customWidth="1"/>
    <col min="29" max="29" width="21" style="110" customWidth="1"/>
    <col min="30" max="31" width="12.25" style="110" customWidth="1"/>
    <col min="32" max="32" width="22.875" style="110" customWidth="1"/>
    <col min="33" max="34" width="24.375" style="110" customWidth="1"/>
    <col min="35" max="35" width="21.25" style="110" customWidth="1"/>
    <col min="36" max="16384" width="9" style="110"/>
  </cols>
  <sheetData>
    <row r="1" spans="1:39" ht="57.75" customHeight="1">
      <c r="A1" s="120"/>
      <c r="B1" s="856">
        <v>45889</v>
      </c>
      <c r="C1" s="856"/>
      <c r="D1" s="856"/>
      <c r="E1" s="856"/>
      <c r="F1" s="856"/>
      <c r="G1" s="856"/>
      <c r="H1" s="856"/>
      <c r="I1" s="856"/>
      <c r="J1" s="856"/>
      <c r="K1" s="856"/>
      <c r="L1" s="856"/>
      <c r="M1" s="856"/>
      <c r="N1" s="856"/>
      <c r="O1" s="856"/>
      <c r="P1" s="856"/>
      <c r="Q1" s="856"/>
      <c r="R1" s="856"/>
      <c r="S1" s="856"/>
      <c r="T1" s="856"/>
      <c r="U1" s="856"/>
      <c r="V1" s="856"/>
      <c r="W1" s="856"/>
      <c r="X1" s="856"/>
      <c r="Y1" s="856"/>
    </row>
    <row r="2" spans="1:39" ht="36" customHeight="1">
      <c r="A2" s="120"/>
      <c r="B2" s="840" t="s">
        <v>28</v>
      </c>
      <c r="C2" s="840"/>
      <c r="D2" s="840"/>
      <c r="E2" s="840"/>
      <c r="F2" s="840"/>
      <c r="G2" s="840"/>
      <c r="H2" s="840"/>
      <c r="I2" s="840"/>
      <c r="J2" s="840"/>
      <c r="K2" s="840" t="s">
        <v>15</v>
      </c>
      <c r="L2" s="840"/>
      <c r="M2" s="840"/>
      <c r="N2" s="840"/>
      <c r="O2" s="840"/>
      <c r="P2" s="840"/>
      <c r="Q2" s="840"/>
      <c r="R2" s="840"/>
      <c r="S2" s="840"/>
      <c r="T2" s="840" t="s">
        <v>24</v>
      </c>
      <c r="U2" s="840"/>
      <c r="V2" s="840"/>
      <c r="W2" s="840"/>
      <c r="X2" s="840"/>
      <c r="Y2" s="840"/>
    </row>
    <row r="3" spans="1:39" s="111" customFormat="1" ht="11.25" customHeight="1">
      <c r="A3" s="156"/>
      <c r="B3" s="157"/>
      <c r="C3" s="112"/>
      <c r="D3" s="112"/>
      <c r="E3" s="112"/>
      <c r="F3" s="112"/>
      <c r="G3" s="112"/>
      <c r="H3" s="112"/>
      <c r="I3" s="112"/>
      <c r="J3" s="158"/>
      <c r="K3" s="112"/>
      <c r="L3" s="112"/>
      <c r="M3" s="112"/>
      <c r="N3" s="112"/>
      <c r="O3" s="112"/>
      <c r="P3" s="112"/>
      <c r="Q3" s="112"/>
      <c r="R3" s="112"/>
      <c r="S3" s="158"/>
      <c r="T3" s="157"/>
      <c r="U3" s="112"/>
      <c r="V3" s="112"/>
      <c r="W3" s="112"/>
      <c r="X3" s="112"/>
      <c r="Y3" s="112"/>
      <c r="Z3" s="112"/>
      <c r="AA3" s="112"/>
      <c r="AB3" s="112"/>
      <c r="AC3" s="217"/>
      <c r="AF3" s="110"/>
    </row>
    <row r="4" spans="1:39" s="111" customFormat="1" ht="89.25" customHeight="1">
      <c r="A4" s="156"/>
      <c r="B4" s="159"/>
      <c r="C4" s="257"/>
      <c r="D4" s="258"/>
      <c r="E4" s="248"/>
      <c r="F4" s="114"/>
      <c r="G4" s="234"/>
      <c r="H4" s="234"/>
      <c r="I4" s="234"/>
      <c r="J4" s="160"/>
      <c r="K4" s="156"/>
      <c r="L4" s="113"/>
      <c r="M4" s="113"/>
      <c r="N4" s="113"/>
      <c r="O4" s="156"/>
      <c r="P4" s="161"/>
      <c r="Q4" s="161"/>
      <c r="R4" s="113"/>
      <c r="S4" s="160"/>
      <c r="T4" s="159"/>
      <c r="U4" s="857"/>
      <c r="V4" s="857"/>
      <c r="W4" s="857"/>
      <c r="X4" s="114"/>
      <c r="Y4" s="115"/>
      <c r="Z4" s="115"/>
      <c r="AA4" s="115"/>
      <c r="AB4" s="156"/>
      <c r="AC4" s="217"/>
      <c r="AF4" s="110"/>
    </row>
    <row r="5" spans="1:39" s="111" customFormat="1" ht="89.25" customHeight="1">
      <c r="A5" s="156"/>
      <c r="B5" s="159"/>
      <c r="C5" s="248"/>
      <c r="D5" s="248"/>
      <c r="E5" s="248"/>
      <c r="F5" s="251"/>
      <c r="G5" s="248"/>
      <c r="H5" s="248"/>
      <c r="I5" s="248"/>
      <c r="J5" s="160"/>
      <c r="K5" s="156"/>
      <c r="L5" s="113"/>
      <c r="M5" s="113"/>
      <c r="N5" s="113"/>
      <c r="O5" s="156"/>
      <c r="P5" s="161"/>
      <c r="Q5" s="161"/>
      <c r="R5" s="113"/>
      <c r="S5" s="160"/>
      <c r="T5" s="159"/>
      <c r="U5" s="116"/>
      <c r="V5" s="116"/>
      <c r="W5" s="116"/>
      <c r="X5" s="114"/>
      <c r="Y5" s="115"/>
      <c r="Z5" s="115"/>
      <c r="AA5" s="115"/>
      <c r="AB5" s="156"/>
      <c r="AC5" s="217"/>
      <c r="AF5" s="110"/>
    </row>
    <row r="6" spans="1:39" ht="89.25" customHeight="1">
      <c r="A6" s="120"/>
      <c r="B6" s="162"/>
      <c r="C6" s="248"/>
      <c r="D6" s="248"/>
      <c r="E6" s="257"/>
      <c r="F6" s="251"/>
      <c r="G6" s="248"/>
      <c r="H6" s="248"/>
      <c r="I6" s="248"/>
      <c r="J6" s="163"/>
      <c r="K6" s="155"/>
      <c r="L6" s="152"/>
      <c r="M6" s="116"/>
      <c r="N6" s="116"/>
      <c r="O6" s="155"/>
      <c r="P6" s="164"/>
      <c r="Q6" s="164"/>
      <c r="R6" s="152"/>
      <c r="S6" s="165"/>
      <c r="T6" s="162"/>
      <c r="U6" s="855"/>
      <c r="V6" s="855"/>
      <c r="W6" s="855"/>
      <c r="X6" s="143"/>
      <c r="Y6" s="116"/>
      <c r="Z6" s="116"/>
      <c r="AA6" s="116"/>
      <c r="AB6" s="155"/>
      <c r="AC6" s="218"/>
      <c r="AD6" s="853"/>
      <c r="AE6" s="854"/>
      <c r="AF6" s="268"/>
      <c r="AG6" s="848"/>
      <c r="AH6" s="848"/>
      <c r="AI6" s="268"/>
    </row>
    <row r="7" spans="1:39" ht="94.5" customHeight="1">
      <c r="A7" s="120"/>
      <c r="B7" s="131"/>
      <c r="C7" s="260"/>
      <c r="D7" s="257"/>
      <c r="E7" s="248"/>
      <c r="F7" s="251"/>
      <c r="G7" s="248"/>
      <c r="H7" s="248"/>
      <c r="I7" s="390" t="s">
        <v>414</v>
      </c>
      <c r="J7" s="163"/>
      <c r="K7" s="241"/>
      <c r="L7" s="137"/>
      <c r="M7" s="230"/>
      <c r="N7" s="230"/>
      <c r="O7" s="155"/>
      <c r="P7" s="135"/>
      <c r="Q7" s="135"/>
      <c r="R7" s="135"/>
      <c r="S7" s="165"/>
      <c r="T7" s="131"/>
      <c r="U7" s="116"/>
      <c r="V7" s="116"/>
      <c r="W7" s="116"/>
      <c r="X7" s="210"/>
      <c r="Y7" s="215"/>
      <c r="Z7" s="215"/>
      <c r="AA7" s="116"/>
      <c r="AB7" s="241"/>
      <c r="AC7" s="219"/>
      <c r="AD7" s="847"/>
      <c r="AE7" s="847"/>
      <c r="AF7" s="268"/>
      <c r="AG7" s="848"/>
      <c r="AH7" s="848"/>
      <c r="AI7" s="268"/>
    </row>
    <row r="8" spans="1:39" ht="89.25" customHeight="1">
      <c r="A8" s="120"/>
      <c r="B8" s="162"/>
      <c r="C8" s="248"/>
      <c r="D8" s="248"/>
      <c r="E8" s="248"/>
      <c r="F8" s="251"/>
      <c r="G8" s="248"/>
      <c r="H8" s="248"/>
      <c r="I8" s="390" t="s">
        <v>413</v>
      </c>
      <c r="J8" s="154"/>
      <c r="K8" s="155"/>
      <c r="L8" s="215"/>
      <c r="M8" s="240"/>
      <c r="N8" s="231"/>
      <c r="O8" s="155"/>
      <c r="P8" s="116"/>
      <c r="Q8" s="116"/>
      <c r="R8" s="116"/>
      <c r="S8" s="165"/>
      <c r="T8" s="162"/>
      <c r="U8" s="137"/>
      <c r="V8" s="116"/>
      <c r="W8" s="116"/>
      <c r="X8" s="188"/>
      <c r="Y8" s="116"/>
      <c r="Z8" s="137"/>
      <c r="AA8" s="116"/>
      <c r="AB8" s="151"/>
      <c r="AC8" s="219"/>
      <c r="AD8" s="853"/>
      <c r="AE8" s="854"/>
      <c r="AF8" s="268"/>
      <c r="AG8" s="848"/>
      <c r="AH8" s="848"/>
      <c r="AI8" s="268"/>
    </row>
    <row r="9" spans="1:39" ht="89.25" customHeight="1">
      <c r="A9" s="120"/>
      <c r="B9" s="162"/>
      <c r="C9" s="258"/>
      <c r="D9" s="248"/>
      <c r="E9" s="258"/>
      <c r="F9" s="264"/>
      <c r="G9" s="248"/>
      <c r="H9" s="248"/>
      <c r="I9" s="390" t="s">
        <v>412</v>
      </c>
      <c r="J9" s="154"/>
      <c r="K9" s="155"/>
      <c r="L9" s="237"/>
      <c r="M9" s="116"/>
      <c r="N9" s="116"/>
      <c r="O9" s="156"/>
      <c r="P9" s="237"/>
      <c r="Q9" s="230"/>
      <c r="R9" s="230"/>
      <c r="S9" s="153"/>
      <c r="T9" s="162"/>
      <c r="U9" s="115"/>
      <c r="V9" s="115"/>
      <c r="W9" s="115"/>
      <c r="X9" s="241"/>
      <c r="Y9" s="116"/>
      <c r="Z9" s="116"/>
      <c r="AA9" s="116"/>
      <c r="AB9" s="150"/>
      <c r="AC9" s="219"/>
      <c r="AD9" s="847"/>
      <c r="AE9" s="847"/>
      <c r="AF9" s="268"/>
      <c r="AG9" s="848"/>
      <c r="AH9" s="848"/>
      <c r="AI9" s="268"/>
    </row>
    <row r="10" spans="1:39" ht="89.25" customHeight="1">
      <c r="A10" s="168"/>
      <c r="B10" s="167"/>
      <c r="C10" s="260"/>
      <c r="D10" s="248"/>
      <c r="E10" s="251"/>
      <c r="F10" s="266"/>
      <c r="G10" s="248"/>
      <c r="H10" s="248"/>
      <c r="I10" s="390" t="s">
        <v>411</v>
      </c>
      <c r="J10" s="154"/>
      <c r="K10" s="155"/>
      <c r="L10" s="237"/>
      <c r="M10" s="230"/>
      <c r="N10" s="237"/>
      <c r="O10" s="156"/>
      <c r="P10" s="240"/>
      <c r="Q10" s="240"/>
      <c r="R10" s="231"/>
      <c r="S10" s="165"/>
      <c r="T10" s="162"/>
      <c r="U10" s="116"/>
      <c r="V10" s="116"/>
      <c r="W10" s="116"/>
      <c r="X10" s="155"/>
      <c r="Y10" s="137"/>
      <c r="Z10" s="137"/>
      <c r="AA10" s="116"/>
      <c r="AB10" s="150"/>
      <c r="AC10" s="219"/>
      <c r="AD10" s="849"/>
      <c r="AE10" s="850"/>
      <c r="AF10" s="244"/>
      <c r="AG10" s="851"/>
      <c r="AH10" s="851"/>
      <c r="AI10" s="244"/>
    </row>
    <row r="11" spans="1:39" ht="89.25" customHeight="1">
      <c r="A11" s="120"/>
      <c r="B11" s="162"/>
      <c r="C11" s="258"/>
      <c r="D11" s="248"/>
      <c r="E11" s="248"/>
      <c r="F11" s="251"/>
      <c r="G11" s="251"/>
      <c r="H11" s="251"/>
      <c r="I11" s="390" t="s">
        <v>410</v>
      </c>
      <c r="J11" s="153"/>
      <c r="K11" s="155"/>
      <c r="L11" s="237"/>
      <c r="M11" s="240"/>
      <c r="N11" s="231"/>
      <c r="O11" s="156"/>
      <c r="P11" s="237"/>
      <c r="Q11" s="240"/>
      <c r="R11" s="232"/>
      <c r="S11" s="165"/>
      <c r="T11" s="162"/>
      <c r="U11" s="203"/>
      <c r="V11" s="203"/>
      <c r="W11" s="203"/>
      <c r="X11" s="166"/>
      <c r="Y11" s="116"/>
      <c r="Z11" s="137"/>
      <c r="AA11" s="137"/>
      <c r="AB11" s="151"/>
      <c r="AC11" s="220"/>
      <c r="AD11" s="852"/>
      <c r="AE11" s="852"/>
      <c r="AF11" s="244"/>
      <c r="AG11" s="851"/>
      <c r="AH11" s="851"/>
      <c r="AI11" s="244"/>
    </row>
    <row r="12" spans="1:39" ht="89.25" customHeight="1">
      <c r="A12" s="120"/>
      <c r="B12" s="162"/>
      <c r="C12" s="258"/>
      <c r="D12" s="258"/>
      <c r="E12" s="248"/>
      <c r="F12" s="251"/>
      <c r="G12" s="248"/>
      <c r="H12" s="248"/>
      <c r="I12" s="390" t="s">
        <v>409</v>
      </c>
      <c r="J12" s="154"/>
      <c r="K12" s="155"/>
      <c r="L12" s="237"/>
      <c r="M12" s="116"/>
      <c r="N12" s="116"/>
      <c r="O12" s="156"/>
      <c r="P12" s="233"/>
      <c r="Q12" s="114"/>
      <c r="R12" s="239"/>
      <c r="S12" s="165"/>
      <c r="T12" s="162"/>
      <c r="U12" s="203"/>
      <c r="V12" s="203"/>
      <c r="W12" s="116"/>
      <c r="X12" s="155"/>
      <c r="Y12" s="137"/>
      <c r="Z12" s="137"/>
      <c r="AA12" s="144"/>
      <c r="AB12" s="150"/>
      <c r="AC12" s="220"/>
      <c r="AI12" s="236"/>
    </row>
    <row r="13" spans="1:39" ht="89.25" customHeight="1">
      <c r="A13" s="120"/>
      <c r="B13" s="167"/>
      <c r="C13" s="248"/>
      <c r="D13" s="248"/>
      <c r="E13" s="257"/>
      <c r="F13" s="251"/>
      <c r="G13" s="248"/>
      <c r="H13" s="258"/>
      <c r="I13" s="390" t="s">
        <v>408</v>
      </c>
      <c r="J13" s="154"/>
      <c r="K13" s="155"/>
      <c r="L13" s="237"/>
      <c r="M13" s="237"/>
      <c r="N13" s="230"/>
      <c r="O13" s="237"/>
      <c r="P13" s="237"/>
      <c r="Q13" s="237"/>
      <c r="R13" s="237"/>
      <c r="S13" s="165"/>
      <c r="T13" s="167"/>
      <c r="U13" s="203"/>
      <c r="V13" s="203"/>
      <c r="W13" s="203"/>
      <c r="X13" s="155"/>
      <c r="Y13" s="116"/>
      <c r="Z13" s="116"/>
      <c r="AA13" s="203"/>
      <c r="AB13" s="150"/>
      <c r="AC13" s="220"/>
      <c r="AD13" s="185" t="s">
        <v>20</v>
      </c>
      <c r="AE13" s="185"/>
      <c r="AF13" s="185"/>
      <c r="AG13" s="196"/>
      <c r="AH13" s="236"/>
      <c r="AI13" s="236"/>
    </row>
    <row r="14" spans="1:39" ht="89.25" customHeight="1">
      <c r="A14" s="120"/>
      <c r="B14" s="162"/>
      <c r="C14" s="248"/>
      <c r="D14" s="248"/>
      <c r="E14" s="251"/>
      <c r="F14" s="267"/>
      <c r="G14" s="261"/>
      <c r="H14" s="248"/>
      <c r="I14" s="390" t="s">
        <v>407</v>
      </c>
      <c r="J14" s="154"/>
      <c r="K14" s="155"/>
      <c r="L14" s="237"/>
      <c r="M14" s="235"/>
      <c r="N14" s="116"/>
      <c r="O14" s="237"/>
      <c r="P14" s="237"/>
      <c r="Q14" s="237"/>
      <c r="R14" s="237"/>
      <c r="S14" s="165"/>
      <c r="T14" s="162"/>
      <c r="U14" s="203"/>
      <c r="V14" s="203"/>
      <c r="W14" s="203"/>
      <c r="X14" s="241"/>
      <c r="Y14" s="203"/>
      <c r="Z14" s="203"/>
      <c r="AA14" s="203"/>
      <c r="AB14" s="150"/>
      <c r="AC14" s="220"/>
      <c r="AI14" s="236"/>
    </row>
    <row r="15" spans="1:39" ht="89.25" customHeight="1">
      <c r="A15" s="120"/>
      <c r="B15" s="162"/>
      <c r="C15" s="256"/>
      <c r="D15" s="257"/>
      <c r="E15" s="257"/>
      <c r="F15" s="267"/>
      <c r="G15" s="256"/>
      <c r="H15" s="248"/>
      <c r="I15" s="390" t="s">
        <v>406</v>
      </c>
      <c r="J15" s="154"/>
      <c r="K15" s="155"/>
      <c r="L15" s="237"/>
      <c r="M15" s="230"/>
      <c r="N15" s="230"/>
      <c r="O15" s="237"/>
      <c r="P15" s="237"/>
      <c r="Q15" s="237"/>
      <c r="R15" s="237"/>
      <c r="S15" s="165"/>
      <c r="T15" s="162"/>
      <c r="U15" s="203"/>
      <c r="V15" s="203"/>
      <c r="W15" s="203"/>
      <c r="X15" s="155"/>
      <c r="Y15" s="203"/>
      <c r="Z15" s="203"/>
      <c r="AA15" s="203"/>
      <c r="AB15" s="150"/>
      <c r="AC15" s="220"/>
      <c r="AD15" s="185" t="s">
        <v>20</v>
      </c>
      <c r="AE15" s="185"/>
      <c r="AF15" s="185"/>
      <c r="AG15" s="196"/>
      <c r="AH15" s="236"/>
      <c r="AI15" s="236"/>
    </row>
    <row r="16" spans="1:39" ht="89.25" customHeight="1">
      <c r="A16" s="120"/>
      <c r="B16" s="162"/>
      <c r="C16" s="261"/>
      <c r="D16" s="248"/>
      <c r="E16" s="248"/>
      <c r="F16" s="146"/>
      <c r="G16" s="238"/>
      <c r="H16" s="248"/>
      <c r="I16" s="390" t="s">
        <v>405</v>
      </c>
      <c r="J16" s="154"/>
      <c r="K16" s="149"/>
      <c r="L16" s="237"/>
      <c r="M16" s="240"/>
      <c r="N16" s="231"/>
      <c r="O16" s="237"/>
      <c r="P16" s="237"/>
      <c r="Q16" s="237"/>
      <c r="R16" s="237"/>
      <c r="S16" s="163"/>
      <c r="T16" s="223"/>
      <c r="U16" s="203"/>
      <c r="V16" s="203"/>
      <c r="W16" s="116"/>
      <c r="X16" s="155"/>
      <c r="Y16" s="203"/>
      <c r="Z16" s="116"/>
      <c r="AA16" s="116"/>
      <c r="AB16" s="150"/>
      <c r="AC16" s="220"/>
      <c r="AD16" s="185"/>
      <c r="AE16" s="185"/>
      <c r="AF16" s="185"/>
      <c r="AG16" s="196"/>
      <c r="AH16" s="236"/>
      <c r="AI16" s="236"/>
      <c r="AK16" s="149"/>
      <c r="AL16" s="155"/>
      <c r="AM16" s="149"/>
    </row>
    <row r="17" spans="1:39" ht="11.25" customHeight="1">
      <c r="A17" s="120"/>
      <c r="B17" s="162"/>
      <c r="C17" s="262"/>
      <c r="D17" s="262"/>
      <c r="E17" s="263"/>
      <c r="F17" s="120"/>
      <c r="G17" s="120"/>
      <c r="H17" s="120"/>
      <c r="J17" s="169"/>
      <c r="K17" s="120"/>
      <c r="L17" s="170"/>
      <c r="M17" s="170"/>
      <c r="N17" s="122"/>
      <c r="O17" s="120"/>
      <c r="P17" s="120"/>
      <c r="Q17" s="120"/>
      <c r="R17" s="123"/>
      <c r="S17" s="169"/>
      <c r="T17" s="224"/>
      <c r="U17" s="225"/>
      <c r="V17" s="225"/>
      <c r="W17" s="226"/>
      <c r="X17" s="227"/>
      <c r="Y17" s="227"/>
      <c r="Z17" s="227"/>
      <c r="AA17" s="227"/>
      <c r="AB17" s="227"/>
      <c r="AC17" s="228"/>
      <c r="AK17" s="180"/>
      <c r="AL17" s="180"/>
      <c r="AM17" s="156"/>
    </row>
    <row r="18" spans="1:39" s="124" customFormat="1" ht="96.75" customHeight="1">
      <c r="A18" s="149"/>
      <c r="B18" s="171"/>
      <c r="C18" s="248"/>
      <c r="D18" s="248"/>
      <c r="E18" s="248"/>
      <c r="F18" s="171"/>
      <c r="G18" s="171"/>
      <c r="H18" s="171"/>
      <c r="I18" s="171"/>
      <c r="J18" s="171"/>
      <c r="K18" s="171"/>
      <c r="L18" s="171"/>
      <c r="M18" s="171"/>
      <c r="N18" s="171"/>
      <c r="O18" s="171"/>
      <c r="P18" s="171"/>
      <c r="Q18" s="171"/>
      <c r="R18" s="171"/>
      <c r="S18" s="171"/>
      <c r="T18" s="221"/>
      <c r="U18" s="144"/>
      <c r="V18" s="221"/>
      <c r="W18" s="221"/>
      <c r="X18" s="222"/>
      <c r="Y18" s="222"/>
      <c r="Z18" s="110"/>
      <c r="AB18" s="118"/>
      <c r="AD18" s="110"/>
      <c r="AK18" s="180"/>
      <c r="AL18" s="180"/>
      <c r="AM18" s="156"/>
    </row>
    <row r="19" spans="1:39" s="124" customFormat="1" ht="11.25" customHeight="1">
      <c r="A19" s="149"/>
      <c r="B19" s="125"/>
      <c r="C19" s="264"/>
      <c r="D19" s="264"/>
      <c r="E19" s="263"/>
      <c r="F19" s="126"/>
      <c r="G19" s="112"/>
      <c r="H19" s="112"/>
      <c r="I19" s="112"/>
      <c r="J19" s="158"/>
      <c r="K19" s="112"/>
      <c r="L19" s="112"/>
      <c r="M19" s="112"/>
      <c r="N19" s="112"/>
      <c r="O19" s="126"/>
      <c r="P19" s="126"/>
      <c r="Q19" s="126"/>
      <c r="R19" s="112"/>
      <c r="S19" s="127"/>
      <c r="T19" s="126"/>
      <c r="U19" s="119"/>
      <c r="V19" s="119"/>
      <c r="W19" s="126"/>
      <c r="X19" s="149"/>
      <c r="Y19" s="149"/>
      <c r="Z19" s="110"/>
      <c r="AA19" s="110"/>
      <c r="AK19" s="180"/>
      <c r="AL19" s="180"/>
      <c r="AM19" s="120"/>
    </row>
    <row r="20" spans="1:39" ht="89.25" customHeight="1">
      <c r="A20" s="120"/>
      <c r="B20" s="159"/>
      <c r="C20" s="248"/>
      <c r="D20" s="248"/>
      <c r="E20" s="261"/>
      <c r="F20" s="177"/>
      <c r="G20" s="116"/>
      <c r="H20" s="116"/>
      <c r="I20" s="250"/>
      <c r="J20" s="165"/>
      <c r="K20" s="120"/>
      <c r="L20" s="116"/>
      <c r="M20" s="116"/>
      <c r="N20" s="116"/>
      <c r="O20" s="121"/>
      <c r="P20" s="116"/>
      <c r="Q20" s="116"/>
      <c r="R20" s="116"/>
      <c r="S20" s="172"/>
      <c r="T20" s="156"/>
      <c r="U20" s="117"/>
      <c r="V20" s="184"/>
      <c r="W20" s="183"/>
      <c r="X20" s="180"/>
      <c r="Y20" s="198"/>
      <c r="AD20" s="185"/>
      <c r="AE20" s="185"/>
      <c r="AF20" s="146"/>
      <c r="AG20" s="146"/>
      <c r="AH20" s="242"/>
      <c r="AI20" s="146"/>
      <c r="AK20" s="181"/>
      <c r="AL20" s="181"/>
      <c r="AM20" s="168"/>
    </row>
    <row r="21" spans="1:39" ht="89.25" customHeight="1">
      <c r="A21" s="120"/>
      <c r="B21" s="162"/>
      <c r="C21" s="265"/>
      <c r="D21" s="265"/>
      <c r="E21" s="265"/>
      <c r="F21" s="120"/>
      <c r="G21" s="116"/>
      <c r="H21" s="116"/>
      <c r="I21" s="250"/>
      <c r="J21" s="165"/>
      <c r="K21" s="120"/>
      <c r="L21" s="250"/>
      <c r="M21" s="116"/>
      <c r="N21" s="116"/>
      <c r="O21" s="120"/>
      <c r="P21" s="116"/>
      <c r="Q21" s="147"/>
      <c r="R21" s="116"/>
      <c r="S21" s="165"/>
      <c r="T21" s="120"/>
      <c r="U21" s="249"/>
      <c r="V21" s="189"/>
      <c r="W21" s="183"/>
      <c r="X21" s="180"/>
      <c r="Y21" s="180"/>
      <c r="AD21" s="185"/>
      <c r="AE21" s="185"/>
      <c r="AF21" s="191"/>
      <c r="AG21" s="191"/>
      <c r="AH21" s="214"/>
      <c r="AI21" s="213"/>
      <c r="AK21" s="181"/>
      <c r="AL21" s="181"/>
      <c r="AM21" s="168"/>
    </row>
    <row r="22" spans="1:39" ht="89.25" customHeight="1">
      <c r="A22" s="120"/>
      <c r="B22" s="162"/>
      <c r="C22" s="265"/>
      <c r="D22" s="248"/>
      <c r="E22" s="248"/>
      <c r="F22" s="120"/>
      <c r="G22" s="116"/>
      <c r="H22" s="116"/>
      <c r="I22" s="250"/>
      <c r="J22" s="165"/>
      <c r="K22" s="120"/>
      <c r="L22" s="250"/>
      <c r="M22" s="116"/>
      <c r="N22" s="116"/>
      <c r="O22" s="120"/>
      <c r="P22" s="142"/>
      <c r="Q22" s="142"/>
      <c r="R22" s="192"/>
      <c r="S22" s="165"/>
      <c r="T22" s="120"/>
      <c r="U22" s="843"/>
      <c r="V22" s="844"/>
      <c r="W22" s="195"/>
      <c r="X22" s="180"/>
      <c r="Y22" s="180"/>
      <c r="AD22" s="185"/>
      <c r="AE22" s="185"/>
      <c r="AF22" s="191"/>
      <c r="AG22" s="191"/>
      <c r="AH22" s="214"/>
      <c r="AI22" s="213"/>
      <c r="AK22" s="181"/>
      <c r="AL22" s="181"/>
      <c r="AM22" s="138"/>
    </row>
    <row r="23" spans="1:39" ht="89.25" customHeight="1">
      <c r="A23" s="120"/>
      <c r="B23" s="162"/>
      <c r="C23" s="248"/>
      <c r="D23" s="258"/>
      <c r="E23" s="248"/>
      <c r="F23" s="120"/>
      <c r="G23" s="116"/>
      <c r="H23" s="116"/>
      <c r="I23" s="250"/>
      <c r="J23" s="165"/>
      <c r="K23" s="120"/>
      <c r="L23" s="116"/>
      <c r="M23" s="116"/>
      <c r="N23" s="116"/>
      <c r="O23" s="155"/>
      <c r="P23" s="142"/>
      <c r="Q23" s="142"/>
      <c r="R23" s="192"/>
      <c r="S23" s="165"/>
      <c r="T23" s="168"/>
      <c r="U23" s="843"/>
      <c r="V23" s="844"/>
      <c r="W23" s="184"/>
      <c r="X23" s="181"/>
      <c r="Y23" s="181"/>
      <c r="AD23" s="185"/>
      <c r="AE23" s="185"/>
      <c r="AF23" s="191"/>
      <c r="AG23" s="191"/>
      <c r="AH23" s="214"/>
      <c r="AI23" s="213"/>
      <c r="AK23" s="181"/>
      <c r="AL23" s="181"/>
      <c r="AM23" s="138"/>
    </row>
    <row r="24" spans="1:39" ht="89.25" customHeight="1">
      <c r="A24" s="120"/>
      <c r="B24" s="162"/>
      <c r="C24" s="258"/>
      <c r="D24" s="258"/>
      <c r="E24" s="258"/>
      <c r="F24" s="120"/>
      <c r="G24" s="116"/>
      <c r="H24" s="116"/>
      <c r="I24" s="250"/>
      <c r="J24" s="165"/>
      <c r="K24" s="120"/>
      <c r="L24" s="117"/>
      <c r="M24" s="117"/>
      <c r="N24" s="116"/>
      <c r="O24" s="150"/>
      <c r="P24" s="142"/>
      <c r="Q24" s="142"/>
      <c r="R24" s="192"/>
      <c r="S24" s="165"/>
      <c r="T24" s="168"/>
      <c r="U24" s="843"/>
      <c r="V24" s="844"/>
      <c r="W24" s="184"/>
      <c r="X24" s="181"/>
      <c r="Y24" s="181"/>
      <c r="AD24" s="185"/>
      <c r="AE24" s="185"/>
      <c r="AF24" s="146"/>
      <c r="AG24" s="146"/>
      <c r="AH24" s="214"/>
      <c r="AI24" s="213"/>
    </row>
    <row r="25" spans="1:39" ht="89.25" customHeight="1">
      <c r="A25" s="120"/>
      <c r="B25" s="162"/>
      <c r="C25" s="248"/>
      <c r="D25" s="248"/>
      <c r="E25" s="248"/>
      <c r="F25" s="156"/>
      <c r="G25" s="116"/>
      <c r="H25" s="116"/>
      <c r="I25" s="250"/>
      <c r="J25" s="165"/>
      <c r="K25" s="120"/>
      <c r="L25" s="117"/>
      <c r="M25" s="117"/>
      <c r="N25" s="116"/>
      <c r="O25" s="155"/>
      <c r="P25" s="142"/>
      <c r="Q25" s="142"/>
      <c r="R25" s="192"/>
      <c r="S25" s="165"/>
      <c r="T25" s="168"/>
      <c r="U25" s="843"/>
      <c r="V25" s="844"/>
      <c r="W25" s="184"/>
      <c r="X25" s="181"/>
      <c r="Y25" s="181"/>
      <c r="AD25" s="185"/>
      <c r="AE25" s="185"/>
      <c r="AF25" s="146"/>
      <c r="AG25" s="146"/>
      <c r="AH25" s="214"/>
      <c r="AI25" s="213"/>
    </row>
    <row r="26" spans="1:39" ht="89.25" customHeight="1">
      <c r="A26" s="120"/>
      <c r="B26" s="162"/>
      <c r="C26" s="261"/>
      <c r="D26" s="261"/>
      <c r="E26" s="259"/>
      <c r="F26" s="146"/>
      <c r="G26" s="147"/>
      <c r="H26" s="147"/>
      <c r="I26" s="250"/>
      <c r="J26" s="165"/>
      <c r="K26" s="120"/>
      <c r="L26" s="117"/>
      <c r="M26" s="117"/>
      <c r="N26" s="116"/>
      <c r="O26" s="151"/>
      <c r="P26" s="193"/>
      <c r="Q26" s="193"/>
      <c r="R26" s="194"/>
      <c r="S26" s="165"/>
      <c r="T26" s="168"/>
      <c r="U26" s="843"/>
      <c r="V26" s="844"/>
      <c r="W26" s="184"/>
      <c r="X26" s="181"/>
      <c r="Y26" s="181"/>
      <c r="AD26" s="185"/>
      <c r="AE26" s="185"/>
      <c r="AF26" s="146"/>
      <c r="AG26" s="146"/>
      <c r="AH26" s="214"/>
      <c r="AI26" s="213"/>
    </row>
    <row r="27" spans="1:39" ht="89.25" customHeight="1">
      <c r="A27" s="120"/>
      <c r="B27" s="162"/>
      <c r="C27" s="247"/>
      <c r="D27" s="229"/>
      <c r="E27" s="237"/>
      <c r="F27" s="156"/>
      <c r="G27" s="142"/>
      <c r="H27" s="259"/>
      <c r="I27" s="259"/>
      <c r="J27" s="197"/>
      <c r="K27" s="120"/>
      <c r="L27" s="117"/>
      <c r="M27" s="117"/>
      <c r="N27" s="116"/>
      <c r="O27" s="173"/>
      <c r="P27" s="211"/>
      <c r="Q27" s="843"/>
      <c r="R27" s="844"/>
      <c r="S27" s="165"/>
      <c r="T27" s="168"/>
      <c r="U27" s="845"/>
      <c r="V27" s="846"/>
      <c r="W27" s="184"/>
      <c r="X27" s="181"/>
      <c r="Y27" s="181"/>
      <c r="AD27" s="185"/>
      <c r="AE27" s="185"/>
      <c r="AF27" s="146"/>
      <c r="AG27" s="146"/>
      <c r="AH27" s="214"/>
      <c r="AI27" s="213"/>
    </row>
    <row r="28" spans="1:39" ht="87.75" customHeight="1">
      <c r="A28" s="120"/>
      <c r="B28" s="162"/>
      <c r="C28" s="132"/>
      <c r="D28" s="140"/>
      <c r="E28" s="140"/>
      <c r="F28" s="120"/>
      <c r="G28" s="142"/>
      <c r="H28" s="208"/>
      <c r="I28" s="208"/>
      <c r="J28" s="165"/>
      <c r="K28" s="120"/>
      <c r="L28" s="117"/>
      <c r="M28" s="117"/>
      <c r="N28" s="116" t="s">
        <v>56</v>
      </c>
      <c r="O28" s="174"/>
      <c r="P28" s="212"/>
      <c r="Q28" s="843"/>
      <c r="R28" s="844"/>
      <c r="S28" s="165"/>
      <c r="T28" s="168"/>
      <c r="U28" s="845"/>
      <c r="V28" s="846"/>
      <c r="W28" s="186"/>
      <c r="X28" s="181"/>
      <c r="Y28" s="181"/>
      <c r="AD28" s="185"/>
      <c r="AE28" s="185"/>
      <c r="AF28" s="146"/>
      <c r="AG28" s="146"/>
      <c r="AH28" s="214"/>
      <c r="AI28" s="213"/>
    </row>
    <row r="29" spans="1:39" ht="87.75" customHeight="1">
      <c r="A29" s="120"/>
      <c r="B29" s="162"/>
      <c r="C29" s="132"/>
      <c r="D29" s="132"/>
      <c r="E29" s="132"/>
      <c r="F29" s="128"/>
      <c r="G29" s="148"/>
      <c r="H29" s="190"/>
      <c r="I29" s="145"/>
      <c r="J29" s="165"/>
      <c r="K29" s="120"/>
      <c r="L29" s="135"/>
      <c r="M29" s="135"/>
      <c r="N29" s="136"/>
      <c r="O29" s="175"/>
      <c r="P29" s="133"/>
      <c r="Q29" s="133"/>
      <c r="R29" s="133"/>
      <c r="S29" s="165"/>
      <c r="T29" s="168"/>
      <c r="U29" s="845"/>
      <c r="V29" s="846"/>
      <c r="W29" s="184"/>
      <c r="X29" s="181"/>
      <c r="Y29" s="181"/>
      <c r="AD29" s="839"/>
      <c r="AE29" s="839"/>
      <c r="AF29" s="146"/>
      <c r="AG29" s="146"/>
      <c r="AH29" s="214"/>
      <c r="AI29" s="213"/>
    </row>
    <row r="30" spans="1:39" ht="87.75" customHeight="1">
      <c r="A30" s="120"/>
      <c r="B30" s="162"/>
      <c r="C30" s="113"/>
      <c r="D30" s="129"/>
      <c r="E30" s="129"/>
      <c r="F30" s="176"/>
      <c r="G30" s="113"/>
      <c r="H30" s="113"/>
      <c r="I30" s="113"/>
      <c r="J30" s="165"/>
      <c r="K30" s="120"/>
      <c r="L30" s="129"/>
      <c r="M30" s="129"/>
      <c r="N30" s="129"/>
      <c r="O30" s="120"/>
      <c r="P30" s="134"/>
      <c r="Q30" s="134"/>
      <c r="R30" s="134"/>
      <c r="S30" s="165"/>
      <c r="T30" s="168"/>
      <c r="U30" s="148"/>
      <c r="V30" s="182"/>
      <c r="W30" s="137"/>
      <c r="X30" s="181"/>
      <c r="Y30" s="181"/>
      <c r="AD30" s="839"/>
      <c r="AE30" s="839"/>
      <c r="AF30" s="146"/>
      <c r="AG30" s="146"/>
      <c r="AH30" s="214"/>
      <c r="AI30" s="213"/>
    </row>
    <row r="31" spans="1:39" ht="36" customHeight="1">
      <c r="B31" s="840" t="s">
        <v>17</v>
      </c>
      <c r="C31" s="840"/>
      <c r="D31" s="840"/>
      <c r="E31" s="840"/>
      <c r="F31" s="840"/>
      <c r="G31" s="840"/>
      <c r="H31" s="840"/>
      <c r="I31" s="840"/>
      <c r="J31" s="841"/>
      <c r="K31" s="842" t="s">
        <v>8</v>
      </c>
      <c r="L31" s="840"/>
      <c r="M31" s="840"/>
      <c r="N31" s="840"/>
      <c r="O31" s="840"/>
      <c r="P31" s="840"/>
      <c r="Q31" s="840"/>
      <c r="R31" s="840"/>
      <c r="S31" s="841"/>
      <c r="T31" s="178"/>
      <c r="U31" s="179"/>
      <c r="V31" s="179"/>
      <c r="W31" s="179"/>
      <c r="X31" s="179"/>
      <c r="Y31" s="179"/>
    </row>
    <row r="32" spans="1:39" ht="24.75" customHeight="1"/>
    <row r="33" ht="87.75" customHeight="1"/>
    <row r="34" ht="87.75" customHeight="1"/>
    <row r="35" ht="87.75" customHeight="1"/>
    <row r="36" ht="87.75" customHeight="1"/>
    <row r="37" ht="87.75" customHeight="1"/>
    <row r="38" ht="87.75" customHeight="1"/>
    <row r="39" ht="87.75" customHeight="1"/>
    <row r="40" ht="87.75" customHeight="1"/>
    <row r="41" ht="87.75" customHeight="1"/>
    <row r="42" ht="87.75" customHeight="1"/>
    <row r="43" ht="87.75" customHeight="1"/>
    <row r="44" ht="87.75" customHeight="1"/>
    <row r="45" ht="87.75" customHeight="1"/>
    <row r="46" ht="87.75" customHeight="1"/>
    <row r="47" ht="87.75" customHeight="1"/>
    <row r="48" ht="87.75" customHeight="1"/>
    <row r="49" ht="87.75" customHeight="1"/>
    <row r="50" ht="87.75" customHeight="1"/>
    <row r="51" ht="87.75" customHeight="1"/>
  </sheetData>
  <mergeCells count="32">
    <mergeCell ref="U6:W6"/>
    <mergeCell ref="B1:Y1"/>
    <mergeCell ref="B2:J2"/>
    <mergeCell ref="K2:S2"/>
    <mergeCell ref="T2:Y2"/>
    <mergeCell ref="U4:W4"/>
    <mergeCell ref="AD6:AE6"/>
    <mergeCell ref="AG6:AH6"/>
    <mergeCell ref="AD7:AE7"/>
    <mergeCell ref="AG7:AH7"/>
    <mergeCell ref="AD8:AE8"/>
    <mergeCell ref="AG8:AH8"/>
    <mergeCell ref="AD9:AE9"/>
    <mergeCell ref="AG9:AH9"/>
    <mergeCell ref="AD10:AE10"/>
    <mergeCell ref="AG10:AH10"/>
    <mergeCell ref="AD11:AE11"/>
    <mergeCell ref="AG11:AH11"/>
    <mergeCell ref="AD29:AE29"/>
    <mergeCell ref="AD30:AE30"/>
    <mergeCell ref="B31:J31"/>
    <mergeCell ref="K31:S31"/>
    <mergeCell ref="U22:V22"/>
    <mergeCell ref="U23:V23"/>
    <mergeCell ref="U24:V24"/>
    <mergeCell ref="U25:V25"/>
    <mergeCell ref="U26:V26"/>
    <mergeCell ref="Q27:R27"/>
    <mergeCell ref="U27:V27"/>
    <mergeCell ref="Q28:R28"/>
    <mergeCell ref="U28:V28"/>
    <mergeCell ref="U29:V29"/>
  </mergeCells>
  <phoneticPr fontId="35" type="noConversion"/>
  <printOptions horizontalCentered="1" verticalCentered="1"/>
  <pageMargins left="0.23597222566604614" right="0.23597222566604614" top="0.74750000238418579" bottom="0.74750000238418579" header="0.31486111879348755" footer="0.31486111879348755"/>
  <pageSetup paperSize="8" scale="30" orientation="portrait" r:id="rId1"/>
  <colBreaks count="3" manualBreakCount="3">
    <brk id="24" max="16383" man="1"/>
    <brk id="25" max="16383" man="1"/>
    <brk id="27" max="16383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B0F0"/>
    <pageSetUpPr fitToPage="1"/>
  </sheetPr>
  <dimension ref="AO1:CK97"/>
  <sheetViews>
    <sheetView showGridLines="0" view="pageBreakPreview" topLeftCell="AR20" zoomScale="25" zoomScaleNormal="10" zoomScaleSheetLayoutView="25" workbookViewId="0">
      <selection activeCell="BL29" sqref="BL29:BL31"/>
    </sheetView>
  </sheetViews>
  <sheetFormatPr defaultColWidth="26.125" defaultRowHeight="186" customHeight="1"/>
  <cols>
    <col min="1" max="40" width="26.125" style="81"/>
    <col min="41" max="41" width="22.625" style="81" customWidth="1"/>
    <col min="42" max="48" width="35.75" style="81" customWidth="1"/>
    <col min="49" max="49" width="35.75" style="274" customWidth="1"/>
    <col min="50" max="59" width="35.75" style="81" customWidth="1"/>
    <col min="60" max="68" width="42.625" style="81" customWidth="1"/>
    <col min="69" max="76" width="42.625" style="278" customWidth="1"/>
    <col min="77" max="16384" width="26.125" style="81"/>
  </cols>
  <sheetData>
    <row r="1" spans="41:79" ht="186" customHeight="1" thickBot="1">
      <c r="AO1" s="273"/>
      <c r="AP1" s="273"/>
      <c r="AQ1" s="273"/>
      <c r="AR1" s="273"/>
      <c r="AS1" s="273"/>
      <c r="AT1" s="273"/>
      <c r="AU1" s="273"/>
      <c r="AV1" s="269"/>
      <c r="AX1" s="270"/>
      <c r="AY1" s="270"/>
      <c r="AZ1" s="270"/>
      <c r="BA1" s="270"/>
      <c r="BB1" s="270"/>
      <c r="BC1" s="270"/>
      <c r="BD1" s="270"/>
      <c r="BE1" s="270"/>
      <c r="BF1" s="974" t="s">
        <v>45</v>
      </c>
      <c r="BG1" s="270"/>
      <c r="BH1" s="270"/>
      <c r="BI1" s="271" t="s">
        <v>46</v>
      </c>
      <c r="BJ1" s="270"/>
      <c r="BK1" s="270"/>
      <c r="BL1" s="270"/>
      <c r="BM1" s="270"/>
    </row>
    <row r="2" spans="41:79" ht="186" customHeight="1" thickBot="1">
      <c r="AO2" s="273"/>
      <c r="AP2" s="273"/>
      <c r="AQ2" s="273"/>
      <c r="AR2" s="273"/>
      <c r="AS2" s="273"/>
      <c r="AT2" s="273"/>
      <c r="AU2" s="273"/>
      <c r="AV2" s="269"/>
      <c r="AX2" s="270"/>
      <c r="AY2" s="270"/>
      <c r="AZ2" s="270"/>
      <c r="BA2" s="270"/>
      <c r="BB2" s="270"/>
      <c r="BC2" s="270"/>
      <c r="BD2" s="270"/>
      <c r="BE2" s="270"/>
      <c r="BF2" s="974"/>
      <c r="BG2" s="270"/>
      <c r="BH2" s="270"/>
      <c r="BI2" s="271" t="s">
        <v>46</v>
      </c>
      <c r="BJ2" s="270"/>
      <c r="BK2" s="270"/>
      <c r="BL2" s="270"/>
      <c r="BM2" s="270"/>
      <c r="BO2" s="271" t="s">
        <v>47</v>
      </c>
      <c r="BP2" s="271" t="s">
        <v>47</v>
      </c>
      <c r="BQ2" s="391"/>
      <c r="BR2" s="391"/>
      <c r="BS2" s="391"/>
      <c r="BT2" s="391"/>
    </row>
    <row r="3" spans="41:79" ht="186" customHeight="1" thickBot="1">
      <c r="AO3" s="273"/>
      <c r="AP3" s="273"/>
      <c r="AQ3" s="273"/>
      <c r="AR3" s="273"/>
      <c r="AS3" s="273"/>
      <c r="AT3" s="273"/>
      <c r="AU3" s="273"/>
      <c r="AV3" s="269"/>
      <c r="AX3" s="82"/>
      <c r="BI3" s="271" t="s">
        <v>46</v>
      </c>
    </row>
    <row r="4" spans="41:79" ht="186" customHeight="1" thickBot="1">
      <c r="AO4" s="273"/>
      <c r="AP4" s="273"/>
      <c r="AQ4" s="273"/>
      <c r="AR4" s="273"/>
      <c r="AS4" s="273"/>
      <c r="AT4" s="273"/>
      <c r="AU4" s="273"/>
      <c r="AV4" s="269"/>
      <c r="BU4" s="387"/>
      <c r="BV4" s="387"/>
      <c r="BW4" s="387"/>
      <c r="BX4" s="387"/>
    </row>
    <row r="5" spans="41:79" ht="186" customHeight="1" thickBot="1">
      <c r="AO5" s="273"/>
      <c r="AP5" s="273"/>
      <c r="AQ5" s="273"/>
      <c r="AR5" s="273"/>
      <c r="AS5" s="273"/>
      <c r="AT5" s="273"/>
      <c r="AU5" s="273"/>
      <c r="AV5" s="269"/>
      <c r="BF5" s="277"/>
      <c r="BG5" s="278"/>
      <c r="BH5" s="278"/>
      <c r="BR5" s="858" t="s">
        <v>286</v>
      </c>
      <c r="BS5" s="859"/>
      <c r="BT5" s="860"/>
      <c r="BU5" s="387"/>
      <c r="BV5" s="387"/>
      <c r="BW5" s="387"/>
      <c r="BX5" s="387"/>
    </row>
    <row r="6" spans="41:79" ht="186" customHeight="1" thickBot="1">
      <c r="AO6" s="273"/>
      <c r="AP6" s="273"/>
      <c r="AQ6" s="273"/>
      <c r="AR6" s="273"/>
      <c r="AS6" s="273"/>
      <c r="AT6" s="273"/>
      <c r="AU6" s="273"/>
      <c r="AV6" s="269"/>
      <c r="AX6" s="273"/>
      <c r="AY6" s="273"/>
      <c r="AZ6" s="273"/>
      <c r="BA6" s="273"/>
      <c r="BB6" s="273"/>
      <c r="BC6" s="273"/>
      <c r="BD6" s="273"/>
      <c r="BE6" s="273"/>
      <c r="BF6" s="273"/>
      <c r="BG6" s="273"/>
      <c r="BH6" s="273"/>
      <c r="BI6" s="273"/>
      <c r="BJ6" s="273"/>
      <c r="BK6" s="273"/>
      <c r="BL6" s="273"/>
      <c r="BM6" s="273"/>
      <c r="BN6" s="273"/>
      <c r="BO6" s="273"/>
      <c r="BP6" s="395"/>
      <c r="BQ6" s="396"/>
      <c r="BR6" s="404"/>
      <c r="BS6" s="861" t="s">
        <v>285</v>
      </c>
      <c r="BT6" s="862"/>
      <c r="BU6" s="387"/>
      <c r="BV6" s="387"/>
    </row>
    <row r="7" spans="41:79" ht="186" customHeight="1" thickBot="1">
      <c r="AO7" s="273"/>
      <c r="AP7" s="273"/>
      <c r="AQ7" s="273"/>
      <c r="AR7" s="273"/>
      <c r="AS7" s="273"/>
      <c r="AT7" s="273"/>
      <c r="AU7" s="273"/>
      <c r="AV7" s="269"/>
      <c r="AX7" s="273"/>
      <c r="AY7" s="273"/>
      <c r="AZ7" s="273"/>
      <c r="BA7" s="273"/>
      <c r="BB7" s="273"/>
      <c r="BC7" s="273"/>
      <c r="BD7" s="273"/>
      <c r="BE7" s="273"/>
      <c r="BF7" s="273"/>
      <c r="BG7" s="273"/>
      <c r="BH7" s="273"/>
      <c r="BI7" s="273"/>
      <c r="BJ7" s="273"/>
      <c r="BK7" s="273"/>
      <c r="BL7" s="273"/>
      <c r="BM7" s="273"/>
      <c r="BN7" s="406" t="s">
        <v>355</v>
      </c>
      <c r="BO7" s="405" t="s">
        <v>345</v>
      </c>
      <c r="BP7" s="399" t="s">
        <v>335</v>
      </c>
      <c r="BQ7" s="400" t="s">
        <v>334</v>
      </c>
      <c r="BR7" s="397"/>
      <c r="BS7" s="861" t="s">
        <v>284</v>
      </c>
      <c r="BT7" s="862"/>
      <c r="BU7" s="387"/>
      <c r="BV7" s="387"/>
    </row>
    <row r="8" spans="41:79" s="83" customFormat="1" ht="186" customHeight="1" thickBot="1">
      <c r="AO8" s="273"/>
      <c r="AP8" s="273"/>
      <c r="AQ8" s="273"/>
      <c r="AR8" s="273"/>
      <c r="AS8" s="273"/>
      <c r="AT8" s="273"/>
      <c r="AU8" s="273"/>
      <c r="AV8" s="269"/>
      <c r="AW8" s="274"/>
      <c r="AX8" s="273"/>
      <c r="AY8" s="273"/>
      <c r="AZ8" s="273"/>
      <c r="BA8" s="273"/>
      <c r="BB8" s="273"/>
      <c r="BC8" s="273"/>
      <c r="BD8" s="273"/>
      <c r="BE8" s="273"/>
      <c r="BF8" s="273"/>
      <c r="BG8" s="273"/>
      <c r="BH8" s="273"/>
      <c r="BI8" s="273"/>
      <c r="BJ8" s="273"/>
      <c r="BK8" s="273"/>
      <c r="BL8" s="273"/>
      <c r="BM8" s="273"/>
      <c r="BN8" s="273"/>
      <c r="BO8" s="273"/>
      <c r="BP8" s="273"/>
      <c r="BQ8" s="387"/>
      <c r="BR8" s="398"/>
      <c r="BS8" s="861" t="s">
        <v>283</v>
      </c>
      <c r="BT8" s="862"/>
      <c r="BU8" s="387"/>
      <c r="BV8" s="387"/>
      <c r="BW8" s="278"/>
      <c r="BX8" s="278"/>
      <c r="BY8" s="81"/>
      <c r="BZ8" s="81"/>
      <c r="CA8" s="81"/>
    </row>
    <row r="9" spans="41:79" ht="186" customHeight="1" thickBot="1">
      <c r="AO9" s="273"/>
      <c r="AP9" s="273"/>
      <c r="AQ9" s="273"/>
      <c r="AR9" s="279"/>
      <c r="AS9" s="273"/>
      <c r="AT9" s="273"/>
      <c r="AU9" s="273"/>
      <c r="AV9" s="280"/>
      <c r="AX9" s="273"/>
      <c r="AY9" s="273"/>
      <c r="AZ9" s="273"/>
      <c r="BA9" s="273"/>
      <c r="BB9" s="273"/>
      <c r="BC9" s="273"/>
      <c r="BD9" s="273"/>
      <c r="BE9" s="273"/>
      <c r="BF9" s="273"/>
      <c r="BG9" s="273"/>
      <c r="BH9" s="273"/>
      <c r="BI9" s="273"/>
      <c r="BJ9" s="273"/>
      <c r="BK9" s="273"/>
      <c r="BL9" s="273"/>
      <c r="BM9" s="273"/>
      <c r="BN9" s="273"/>
      <c r="BO9" s="273"/>
      <c r="BP9" s="273"/>
      <c r="BQ9" s="387"/>
      <c r="BR9" s="387"/>
      <c r="BS9" s="387"/>
      <c r="BT9" s="387"/>
      <c r="BU9" s="387"/>
      <c r="BV9" s="387"/>
    </row>
    <row r="10" spans="41:79" ht="186" customHeight="1" thickBot="1">
      <c r="AO10" s="273"/>
      <c r="AP10" s="874" t="s">
        <v>48</v>
      </c>
      <c r="AQ10" s="875"/>
      <c r="AR10" s="875"/>
      <c r="AS10" s="875"/>
      <c r="AT10" s="875"/>
      <c r="AU10" s="875"/>
      <c r="AV10" s="875"/>
      <c r="AW10" s="876"/>
      <c r="AX10" s="273"/>
      <c r="AY10" s="401" t="s">
        <v>49</v>
      </c>
      <c r="AZ10" s="402"/>
      <c r="BA10" s="402"/>
      <c r="BB10" s="402"/>
      <c r="BC10" s="402"/>
      <c r="BD10" s="402"/>
      <c r="BE10" s="402"/>
      <c r="BF10" s="403"/>
      <c r="BG10" s="273"/>
      <c r="BH10" s="874" t="s">
        <v>50</v>
      </c>
      <c r="BI10" s="875"/>
      <c r="BJ10" s="875"/>
      <c r="BK10" s="875"/>
      <c r="BL10" s="875"/>
      <c r="BM10" s="875"/>
      <c r="BN10" s="875"/>
      <c r="BO10" s="876"/>
      <c r="BP10" s="273"/>
      <c r="BQ10" s="871" t="s">
        <v>51</v>
      </c>
      <c r="BR10" s="872"/>
      <c r="BS10" s="872"/>
      <c r="BT10" s="872"/>
      <c r="BU10" s="872"/>
      <c r="BV10" s="872"/>
      <c r="BW10" s="872"/>
      <c r="BX10" s="873"/>
    </row>
    <row r="11" spans="41:79" ht="186" customHeight="1">
      <c r="AO11" s="273"/>
      <c r="AP11" s="282"/>
      <c r="AQ11" s="283"/>
      <c r="AR11" s="283"/>
      <c r="AS11" s="284"/>
      <c r="AT11" s="284"/>
      <c r="AU11" s="285"/>
      <c r="AV11" s="284"/>
      <c r="AW11" s="286"/>
      <c r="AX11" s="292"/>
      <c r="AY11" s="282"/>
      <c r="AZ11" s="283"/>
      <c r="BA11" s="283"/>
      <c r="BB11" s="284"/>
      <c r="BC11" s="284"/>
      <c r="BD11" s="285"/>
      <c r="BE11" s="284"/>
      <c r="BF11" s="286"/>
      <c r="BG11" s="287"/>
      <c r="BH11" s="890"/>
      <c r="BI11" s="890"/>
      <c r="BJ11" s="890"/>
      <c r="BK11" s="890"/>
      <c r="BL11" s="890"/>
      <c r="BM11" s="890"/>
      <c r="BN11" s="890"/>
      <c r="BO11" s="890"/>
      <c r="BP11" s="273"/>
      <c r="BQ11" s="977" t="s">
        <v>216</v>
      </c>
      <c r="BR11" s="977" t="s">
        <v>240</v>
      </c>
      <c r="BS11" s="890"/>
      <c r="BT11" s="890"/>
      <c r="BU11" s="890"/>
      <c r="BV11" s="890"/>
      <c r="BW11" s="890"/>
      <c r="BX11" s="890"/>
      <c r="BY11" s="273"/>
    </row>
    <row r="12" spans="41:79" ht="186" customHeight="1">
      <c r="AO12" s="273"/>
      <c r="AP12" s="289"/>
      <c r="AQ12" s="273"/>
      <c r="AR12" s="273"/>
      <c r="AS12" s="280"/>
      <c r="AT12" s="280"/>
      <c r="AU12" s="301"/>
      <c r="AV12" s="280"/>
      <c r="AW12" s="296"/>
      <c r="AX12" s="273"/>
      <c r="AY12" s="289"/>
      <c r="AZ12" s="273"/>
      <c r="BA12" s="273"/>
      <c r="BB12" s="280"/>
      <c r="BC12" s="280"/>
      <c r="BD12" s="301"/>
      <c r="BE12" s="280"/>
      <c r="BF12" s="296"/>
      <c r="BG12" s="273"/>
      <c r="BH12" s="869"/>
      <c r="BI12" s="869"/>
      <c r="BJ12" s="869"/>
      <c r="BK12" s="869"/>
      <c r="BL12" s="869"/>
      <c r="BM12" s="869"/>
      <c r="BN12" s="869"/>
      <c r="BO12" s="869"/>
      <c r="BP12" s="273"/>
      <c r="BQ12" s="978"/>
      <c r="BR12" s="978"/>
      <c r="BS12" s="869"/>
      <c r="BT12" s="869"/>
      <c r="BU12" s="869"/>
      <c r="BV12" s="869"/>
      <c r="BW12" s="869"/>
      <c r="BX12" s="869"/>
      <c r="BY12" s="273"/>
    </row>
    <row r="13" spans="41:79" ht="186" customHeight="1" thickBot="1">
      <c r="AO13" s="273"/>
      <c r="AP13" s="289"/>
      <c r="AQ13" s="273"/>
      <c r="AR13" s="273"/>
      <c r="AS13" s="280"/>
      <c r="AT13" s="280"/>
      <c r="AU13" s="301"/>
      <c r="AV13" s="280"/>
      <c r="AW13" s="296"/>
      <c r="AX13" s="273"/>
      <c r="AY13" s="289"/>
      <c r="AZ13" s="273"/>
      <c r="BA13" s="273"/>
      <c r="BB13" s="280"/>
      <c r="BC13" s="280"/>
      <c r="BD13" s="301"/>
      <c r="BE13" s="280"/>
      <c r="BF13" s="296"/>
      <c r="BG13" s="273"/>
      <c r="BH13" s="870"/>
      <c r="BI13" s="870"/>
      <c r="BJ13" s="870"/>
      <c r="BK13" s="870"/>
      <c r="BL13" s="870"/>
      <c r="BM13" s="870"/>
      <c r="BN13" s="870"/>
      <c r="BO13" s="870"/>
      <c r="BP13" s="273"/>
      <c r="BQ13" s="979"/>
      <c r="BR13" s="979"/>
      <c r="BS13" s="870"/>
      <c r="BT13" s="870"/>
      <c r="BU13" s="870"/>
      <c r="BV13" s="870"/>
      <c r="BW13" s="870"/>
      <c r="BX13" s="870"/>
      <c r="BY13" s="273"/>
    </row>
    <row r="14" spans="41:79" ht="186" customHeight="1">
      <c r="AO14" s="273"/>
      <c r="AP14" s="289"/>
      <c r="AQ14" s="273"/>
      <c r="AR14" s="273"/>
      <c r="AS14" s="280"/>
      <c r="AT14" s="280"/>
      <c r="AU14" s="301"/>
      <c r="AV14" s="280"/>
      <c r="AW14" s="296"/>
      <c r="AX14" s="273"/>
      <c r="AY14" s="289"/>
      <c r="AZ14" s="273"/>
      <c r="BA14" s="273"/>
      <c r="BB14" s="280"/>
      <c r="BC14" s="280"/>
      <c r="BD14" s="301"/>
      <c r="BE14" s="280"/>
      <c r="BF14" s="296"/>
      <c r="BG14" s="273"/>
      <c r="BH14" s="869"/>
      <c r="BI14" s="869"/>
      <c r="BJ14" s="869"/>
      <c r="BK14" s="869"/>
      <c r="BL14" s="869"/>
      <c r="BM14" s="869"/>
      <c r="BN14" s="869"/>
      <c r="BO14" s="869"/>
      <c r="BP14" s="273"/>
      <c r="BQ14" s="981" t="s">
        <v>215</v>
      </c>
      <c r="BR14" s="981" t="s">
        <v>239</v>
      </c>
      <c r="BS14" s="869"/>
      <c r="BT14" s="869"/>
      <c r="BU14" s="869"/>
      <c r="BV14" s="869"/>
      <c r="BW14" s="869"/>
      <c r="BX14" s="869"/>
      <c r="BY14" s="273"/>
    </row>
    <row r="15" spans="41:79" ht="186" customHeight="1">
      <c r="AO15" s="273"/>
      <c r="AP15" s="289"/>
      <c r="AQ15" s="273"/>
      <c r="AR15" s="273"/>
      <c r="AS15" s="280"/>
      <c r="AT15" s="280"/>
      <c r="AU15" s="290"/>
      <c r="AW15" s="291"/>
      <c r="AX15" s="273"/>
      <c r="AY15" s="289"/>
      <c r="AZ15" s="273"/>
      <c r="BA15" s="273"/>
      <c r="BB15" s="280"/>
      <c r="BC15" s="280"/>
      <c r="BD15" s="290"/>
      <c r="BF15" s="291"/>
      <c r="BG15" s="273"/>
      <c r="BH15" s="869"/>
      <c r="BI15" s="869"/>
      <c r="BJ15" s="869"/>
      <c r="BK15" s="869"/>
      <c r="BL15" s="869"/>
      <c r="BM15" s="869"/>
      <c r="BN15" s="869"/>
      <c r="BO15" s="869"/>
      <c r="BP15" s="273"/>
      <c r="BQ15" s="978"/>
      <c r="BR15" s="978"/>
      <c r="BS15" s="869"/>
      <c r="BT15" s="869"/>
      <c r="BU15" s="869"/>
      <c r="BV15" s="869"/>
      <c r="BW15" s="869"/>
      <c r="BX15" s="869"/>
      <c r="BY15" s="273"/>
    </row>
    <row r="16" spans="41:79" ht="186" customHeight="1" thickBot="1">
      <c r="AO16" s="288"/>
      <c r="AP16" s="294"/>
      <c r="AQ16" s="288"/>
      <c r="AR16" s="272"/>
      <c r="AS16" s="280"/>
      <c r="AT16" s="280"/>
      <c r="AU16" s="290"/>
      <c r="AV16" s="295"/>
      <c r="AW16" s="296"/>
      <c r="AX16" s="288"/>
      <c r="AY16" s="294"/>
      <c r="AZ16" s="288"/>
      <c r="BA16" s="272"/>
      <c r="BB16" s="280"/>
      <c r="BC16" s="280"/>
      <c r="BD16" s="290"/>
      <c r="BE16" s="295"/>
      <c r="BF16" s="296"/>
      <c r="BG16" s="288"/>
      <c r="BH16" s="870"/>
      <c r="BI16" s="870"/>
      <c r="BJ16" s="870"/>
      <c r="BK16" s="870"/>
      <c r="BL16" s="870"/>
      <c r="BM16" s="870"/>
      <c r="BN16" s="870"/>
      <c r="BO16" s="870"/>
      <c r="BP16" s="273"/>
      <c r="BQ16" s="979"/>
      <c r="BR16" s="979"/>
      <c r="BS16" s="870"/>
      <c r="BT16" s="870"/>
      <c r="BU16" s="870"/>
      <c r="BV16" s="870"/>
      <c r="BW16" s="870"/>
      <c r="BX16" s="870"/>
      <c r="BY16" s="273"/>
    </row>
    <row r="17" spans="41:77" ht="186" customHeight="1">
      <c r="AO17" s="288"/>
      <c r="AP17" s="294"/>
      <c r="AQ17" s="288"/>
      <c r="AR17" s="272"/>
      <c r="AS17" s="280"/>
      <c r="AT17" s="280"/>
      <c r="AU17" s="280"/>
      <c r="AV17" s="295"/>
      <c r="AW17" s="297"/>
      <c r="AX17" s="288"/>
      <c r="AY17" s="294"/>
      <c r="AZ17" s="288"/>
      <c r="BA17" s="272"/>
      <c r="BB17" s="280"/>
      <c r="BC17" s="280"/>
      <c r="BD17" s="280"/>
      <c r="BE17" s="295"/>
      <c r="BF17" s="297"/>
      <c r="BG17" s="288"/>
      <c r="BH17" s="890"/>
      <c r="BI17" s="890"/>
      <c r="BJ17" s="890"/>
      <c r="BK17" s="890"/>
      <c r="BL17" s="890"/>
      <c r="BM17" s="890"/>
      <c r="BN17" s="890"/>
      <c r="BO17" s="890"/>
      <c r="BP17" s="273"/>
      <c r="BQ17" s="977" t="s">
        <v>214</v>
      </c>
      <c r="BR17" s="977" t="s">
        <v>231</v>
      </c>
      <c r="BS17" s="890"/>
      <c r="BT17" s="890"/>
      <c r="BU17" s="890"/>
      <c r="BV17" s="890"/>
      <c r="BW17" s="890"/>
      <c r="BX17" s="890"/>
      <c r="BY17" s="273"/>
    </row>
    <row r="18" spans="41:77" ht="186" customHeight="1">
      <c r="AO18" s="288"/>
      <c r="AP18" s="294"/>
      <c r="AQ18" s="288"/>
      <c r="AU18" s="280"/>
      <c r="AV18" s="280"/>
      <c r="AW18" s="297"/>
      <c r="AX18" s="288"/>
      <c r="AY18" s="294"/>
      <c r="AZ18" s="288"/>
      <c r="BD18" s="280"/>
      <c r="BE18" s="280"/>
      <c r="BF18" s="297"/>
      <c r="BG18" s="288"/>
      <c r="BH18" s="869"/>
      <c r="BI18" s="869"/>
      <c r="BJ18" s="869"/>
      <c r="BK18" s="869"/>
      <c r="BL18" s="869"/>
      <c r="BM18" s="869"/>
      <c r="BN18" s="869"/>
      <c r="BO18" s="869"/>
      <c r="BP18" s="273"/>
      <c r="BQ18" s="978"/>
      <c r="BR18" s="978"/>
      <c r="BS18" s="869"/>
      <c r="BT18" s="869"/>
      <c r="BU18" s="869"/>
      <c r="BV18" s="869"/>
      <c r="BW18" s="869"/>
      <c r="BX18" s="869"/>
      <c r="BY18" s="273"/>
    </row>
    <row r="19" spans="41:77" ht="186" customHeight="1" thickBot="1">
      <c r="AO19" s="288"/>
      <c r="AP19" s="294"/>
      <c r="AQ19" s="288"/>
      <c r="AU19" s="280"/>
      <c r="AV19" s="298"/>
      <c r="AW19" s="299"/>
      <c r="AX19" s="288"/>
      <c r="AY19" s="294"/>
      <c r="AZ19" s="288"/>
      <c r="BD19" s="280"/>
      <c r="BE19" s="298"/>
      <c r="BF19" s="299"/>
      <c r="BG19" s="288"/>
      <c r="BH19" s="870"/>
      <c r="BI19" s="870"/>
      <c r="BJ19" s="870"/>
      <c r="BK19" s="870"/>
      <c r="BL19" s="870"/>
      <c r="BM19" s="870"/>
      <c r="BN19" s="870"/>
      <c r="BO19" s="870"/>
      <c r="BP19" s="273"/>
      <c r="BQ19" s="979"/>
      <c r="BR19" s="979"/>
      <c r="BS19" s="870"/>
      <c r="BT19" s="870"/>
      <c r="BU19" s="870"/>
      <c r="BV19" s="870"/>
      <c r="BW19" s="870"/>
      <c r="BX19" s="870"/>
      <c r="BY19" s="273"/>
    </row>
    <row r="20" spans="41:77" ht="186" customHeight="1">
      <c r="AO20" s="288"/>
      <c r="AP20" s="300"/>
      <c r="AQ20" s="301"/>
      <c r="AR20" s="302"/>
      <c r="AS20" s="303"/>
      <c r="AT20" s="304"/>
      <c r="AU20" s="303"/>
      <c r="AV20" s="305"/>
      <c r="AW20" s="299"/>
      <c r="AX20" s="301"/>
      <c r="AY20" s="300"/>
      <c r="AZ20" s="301"/>
      <c r="BA20" s="302"/>
      <c r="BB20" s="303"/>
      <c r="BC20" s="304"/>
      <c r="BD20" s="303"/>
      <c r="BE20" s="305"/>
      <c r="BF20" s="299"/>
      <c r="BG20" s="301"/>
      <c r="BH20" s="908" t="s">
        <v>103</v>
      </c>
      <c r="BI20" s="909" t="s">
        <v>143</v>
      </c>
      <c r="BJ20" s="899"/>
      <c r="BK20" s="911"/>
      <c r="BL20" s="899"/>
      <c r="BM20" s="909" t="s">
        <v>145</v>
      </c>
      <c r="BN20" s="866" t="s">
        <v>164</v>
      </c>
      <c r="BO20" s="887" t="s">
        <v>160</v>
      </c>
      <c r="BP20" s="273"/>
      <c r="BQ20" s="922" t="s">
        <v>213</v>
      </c>
      <c r="BR20" s="922" t="s">
        <v>230</v>
      </c>
      <c r="BS20" s="890"/>
      <c r="BT20" s="890"/>
      <c r="BU20" s="890"/>
      <c r="BV20" s="866" t="s">
        <v>325</v>
      </c>
      <c r="BW20" s="863" t="s">
        <v>281</v>
      </c>
      <c r="BX20" s="863" t="s">
        <v>270</v>
      </c>
      <c r="BY20" s="273"/>
    </row>
    <row r="21" spans="41:77" ht="186" customHeight="1">
      <c r="AO21" s="288"/>
      <c r="AP21" s="300"/>
      <c r="AQ21" s="301"/>
      <c r="AR21" s="302"/>
      <c r="AS21" s="303"/>
      <c r="AT21" s="306"/>
      <c r="AU21" s="306"/>
      <c r="AV21" s="305"/>
      <c r="AW21" s="296"/>
      <c r="AX21" s="301"/>
      <c r="AY21" s="300"/>
      <c r="AZ21" s="301"/>
      <c r="BA21" s="302"/>
      <c r="BB21" s="303"/>
      <c r="BC21" s="306"/>
      <c r="BD21" s="306"/>
      <c r="BE21" s="305"/>
      <c r="BF21" s="296"/>
      <c r="BG21" s="301"/>
      <c r="BH21" s="903"/>
      <c r="BI21" s="897"/>
      <c r="BJ21" s="900"/>
      <c r="BK21" s="912"/>
      <c r="BL21" s="900"/>
      <c r="BM21" s="895"/>
      <c r="BN21" s="867"/>
      <c r="BO21" s="888"/>
      <c r="BP21" s="273"/>
      <c r="BQ21" s="923"/>
      <c r="BR21" s="923"/>
      <c r="BS21" s="869"/>
      <c r="BT21" s="869"/>
      <c r="BU21" s="869"/>
      <c r="BV21" s="869"/>
      <c r="BW21" s="929"/>
      <c r="BX21" s="929"/>
      <c r="BY21" s="273"/>
    </row>
    <row r="22" spans="41:77" ht="186" customHeight="1" thickBot="1">
      <c r="AO22" s="281"/>
      <c r="AP22" s="300"/>
      <c r="AQ22" s="307"/>
      <c r="AU22" s="308"/>
      <c r="AV22" s="275"/>
      <c r="AW22" s="309"/>
      <c r="AX22" s="301"/>
      <c r="AY22" s="300"/>
      <c r="AZ22" s="307"/>
      <c r="BD22" s="308"/>
      <c r="BE22" s="275"/>
      <c r="BF22" s="309"/>
      <c r="BG22" s="307"/>
      <c r="BH22" s="904"/>
      <c r="BI22" s="910"/>
      <c r="BJ22" s="901"/>
      <c r="BK22" s="913"/>
      <c r="BL22" s="901"/>
      <c r="BM22" s="914"/>
      <c r="BN22" s="868"/>
      <c r="BO22" s="889"/>
      <c r="BP22" s="273"/>
      <c r="BQ22" s="924"/>
      <c r="BR22" s="924"/>
      <c r="BS22" s="870"/>
      <c r="BT22" s="870"/>
      <c r="BU22" s="870"/>
      <c r="BV22" s="870"/>
      <c r="BW22" s="930"/>
      <c r="BX22" s="930"/>
      <c r="BY22" s="273"/>
    </row>
    <row r="23" spans="41:77" ht="186" customHeight="1">
      <c r="AO23" s="310"/>
      <c r="AP23" s="300"/>
      <c r="AQ23" s="311"/>
      <c r="AU23" s="308"/>
      <c r="AV23" s="275"/>
      <c r="AW23" s="309"/>
      <c r="AX23" s="301"/>
      <c r="AY23" s="300"/>
      <c r="AZ23" s="311"/>
      <c r="BD23" s="308"/>
      <c r="BE23" s="275"/>
      <c r="BF23" s="309"/>
      <c r="BG23" s="311"/>
      <c r="BH23" s="905" t="s">
        <v>101</v>
      </c>
      <c r="BI23" s="902"/>
      <c r="BJ23" s="884"/>
      <c r="BK23" s="899"/>
      <c r="BL23" s="894" t="s">
        <v>144</v>
      </c>
      <c r="BM23" s="891" t="s">
        <v>154</v>
      </c>
      <c r="BN23" s="894" t="s">
        <v>155</v>
      </c>
      <c r="BO23" s="891" t="s">
        <v>156</v>
      </c>
      <c r="BP23" s="273"/>
      <c r="BQ23" s="922" t="s">
        <v>219</v>
      </c>
      <c r="BR23" s="922" t="s">
        <v>229</v>
      </c>
      <c r="BS23" s="890"/>
      <c r="BT23" s="890"/>
      <c r="BU23" s="863" t="s">
        <v>294</v>
      </c>
      <c r="BV23" s="863" t="s">
        <v>282</v>
      </c>
      <c r="BW23" s="922" t="s">
        <v>271</v>
      </c>
      <c r="BX23" s="922" t="s">
        <v>329</v>
      </c>
      <c r="BY23" s="273"/>
    </row>
    <row r="24" spans="41:77" ht="186" customHeight="1">
      <c r="AO24" s="310"/>
      <c r="AP24" s="300"/>
      <c r="AQ24" s="303"/>
      <c r="AR24" s="303"/>
      <c r="AS24" s="303"/>
      <c r="AT24" s="312"/>
      <c r="AU24" s="308"/>
      <c r="AV24" s="305"/>
      <c r="AW24" s="313"/>
      <c r="AX24" s="301"/>
      <c r="AY24" s="300"/>
      <c r="AZ24" s="303"/>
      <c r="BA24" s="303"/>
      <c r="BB24" s="303"/>
      <c r="BC24" s="312"/>
      <c r="BD24" s="308"/>
      <c r="BE24" s="305"/>
      <c r="BF24" s="313"/>
      <c r="BG24" s="303"/>
      <c r="BH24" s="906"/>
      <c r="BI24" s="903"/>
      <c r="BJ24" s="885"/>
      <c r="BK24" s="900"/>
      <c r="BL24" s="897"/>
      <c r="BM24" s="892"/>
      <c r="BN24" s="895"/>
      <c r="BO24" s="892"/>
      <c r="BP24" s="273"/>
      <c r="BQ24" s="923"/>
      <c r="BR24" s="923"/>
      <c r="BS24" s="869"/>
      <c r="BT24" s="869"/>
      <c r="BU24" s="929"/>
      <c r="BV24" s="929"/>
      <c r="BW24" s="923"/>
      <c r="BX24" s="923"/>
      <c r="BY24" s="273"/>
    </row>
    <row r="25" spans="41:77" ht="186" customHeight="1" thickBot="1">
      <c r="AO25" s="310"/>
      <c r="AP25" s="300"/>
      <c r="AQ25" s="301"/>
      <c r="AR25" s="301"/>
      <c r="AS25" s="301"/>
      <c r="AT25" s="301"/>
      <c r="AU25" s="301"/>
      <c r="AV25" s="301"/>
      <c r="AW25" s="314"/>
      <c r="AX25" s="301"/>
      <c r="AY25" s="300"/>
      <c r="AZ25" s="301"/>
      <c r="BA25" s="301"/>
      <c r="BB25" s="301"/>
      <c r="BC25" s="301"/>
      <c r="BD25" s="301"/>
      <c r="BE25" s="301"/>
      <c r="BF25" s="314"/>
      <c r="BG25" s="301"/>
      <c r="BH25" s="907"/>
      <c r="BI25" s="904"/>
      <c r="BJ25" s="886"/>
      <c r="BK25" s="901"/>
      <c r="BL25" s="898"/>
      <c r="BM25" s="893"/>
      <c r="BN25" s="896"/>
      <c r="BO25" s="893"/>
      <c r="BP25" s="273"/>
      <c r="BQ25" s="924"/>
      <c r="BR25" s="924"/>
      <c r="BS25" s="870"/>
      <c r="BT25" s="870"/>
      <c r="BU25" s="930"/>
      <c r="BV25" s="930"/>
      <c r="BW25" s="924"/>
      <c r="BX25" s="924"/>
      <c r="BY25" s="273"/>
    </row>
    <row r="26" spans="41:77" ht="186" customHeight="1">
      <c r="AO26" s="288"/>
      <c r="AP26" s="300"/>
      <c r="AQ26" s="301"/>
      <c r="AR26" s="301"/>
      <c r="AS26" s="301"/>
      <c r="AT26" s="301"/>
      <c r="AU26" s="301"/>
      <c r="AV26" s="301"/>
      <c r="AW26" s="314"/>
      <c r="AX26" s="301"/>
      <c r="AY26" s="300"/>
      <c r="AZ26" s="301"/>
      <c r="BA26" s="301"/>
      <c r="BB26" s="301"/>
      <c r="BC26" s="301"/>
      <c r="BD26" s="301"/>
      <c r="BE26" s="301"/>
      <c r="BF26" s="314"/>
      <c r="BG26" s="301"/>
      <c r="BH26" s="867" t="s">
        <v>108</v>
      </c>
      <c r="BI26" s="869"/>
      <c r="BJ26" s="869"/>
      <c r="BK26" s="867"/>
      <c r="BL26" s="927" t="s">
        <v>125</v>
      </c>
      <c r="BM26" s="867" t="s">
        <v>102</v>
      </c>
      <c r="BN26" s="869"/>
      <c r="BO26" s="867" t="s">
        <v>95</v>
      </c>
      <c r="BP26" s="273"/>
      <c r="BQ26" s="976" t="s">
        <v>212</v>
      </c>
      <c r="BR26" s="919" t="s">
        <v>228</v>
      </c>
      <c r="BS26" s="890"/>
      <c r="BT26" s="890"/>
      <c r="BU26" s="922" t="s">
        <v>272</v>
      </c>
      <c r="BV26" s="922" t="s">
        <v>233</v>
      </c>
      <c r="BW26" s="922" t="s">
        <v>211</v>
      </c>
      <c r="BX26" s="922" t="s">
        <v>209</v>
      </c>
      <c r="BY26" s="273"/>
    </row>
    <row r="27" spans="41:77" ht="186" customHeight="1">
      <c r="AO27" s="288"/>
      <c r="AP27" s="300"/>
      <c r="AQ27" s="301"/>
      <c r="AR27" s="301"/>
      <c r="AS27" s="301"/>
      <c r="AT27" s="301"/>
      <c r="AU27" s="301"/>
      <c r="AV27" s="301"/>
      <c r="AW27" s="314"/>
      <c r="AX27" s="301"/>
      <c r="AY27" s="300"/>
      <c r="AZ27" s="301"/>
      <c r="BA27" s="301"/>
      <c r="BB27" s="301"/>
      <c r="BC27" s="301"/>
      <c r="BD27" s="301"/>
      <c r="BE27" s="301"/>
      <c r="BF27" s="314"/>
      <c r="BG27" s="301"/>
      <c r="BH27" s="869"/>
      <c r="BI27" s="869"/>
      <c r="BJ27" s="869"/>
      <c r="BK27" s="869"/>
      <c r="BL27" s="882"/>
      <c r="BM27" s="869"/>
      <c r="BN27" s="869"/>
      <c r="BO27" s="867"/>
      <c r="BP27" s="273"/>
      <c r="BQ27" s="923"/>
      <c r="BR27" s="920"/>
      <c r="BS27" s="869"/>
      <c r="BT27" s="869"/>
      <c r="BU27" s="923"/>
      <c r="BV27" s="923"/>
      <c r="BW27" s="923"/>
      <c r="BX27" s="923"/>
      <c r="BY27" s="273"/>
    </row>
    <row r="28" spans="41:77" ht="186" customHeight="1" thickBot="1">
      <c r="AO28" s="288"/>
      <c r="AP28" s="300"/>
      <c r="AQ28" s="301"/>
      <c r="AR28" s="301"/>
      <c r="AS28" s="301"/>
      <c r="AT28" s="301"/>
      <c r="AU28" s="301"/>
      <c r="AV28" s="301"/>
      <c r="AW28" s="314"/>
      <c r="AX28" s="301"/>
      <c r="AY28" s="300"/>
      <c r="AZ28" s="301"/>
      <c r="BA28" s="301"/>
      <c r="BB28" s="301"/>
      <c r="BC28" s="301"/>
      <c r="BD28" s="301"/>
      <c r="BE28" s="301"/>
      <c r="BF28" s="314"/>
      <c r="BG28" s="301"/>
      <c r="BH28" s="870"/>
      <c r="BI28" s="870"/>
      <c r="BJ28" s="870"/>
      <c r="BK28" s="870"/>
      <c r="BL28" s="883"/>
      <c r="BM28" s="870"/>
      <c r="BN28" s="870"/>
      <c r="BO28" s="868"/>
      <c r="BP28" s="273"/>
      <c r="BQ28" s="924"/>
      <c r="BR28" s="921"/>
      <c r="BS28" s="870"/>
      <c r="BT28" s="870"/>
      <c r="BU28" s="924"/>
      <c r="BV28" s="924"/>
      <c r="BW28" s="924"/>
      <c r="BX28" s="924"/>
      <c r="BY28" s="273"/>
    </row>
    <row r="29" spans="41:77" ht="186" customHeight="1">
      <c r="AO29" s="288"/>
      <c r="AP29" s="300"/>
      <c r="AQ29" s="301"/>
      <c r="AR29" s="301"/>
      <c r="AS29" s="301"/>
      <c r="AT29" s="301"/>
      <c r="AU29" s="301"/>
      <c r="AV29" s="301"/>
      <c r="AW29" s="314"/>
      <c r="AX29" s="301"/>
      <c r="AY29" s="300"/>
      <c r="AZ29" s="301"/>
      <c r="BA29" s="301"/>
      <c r="BB29" s="301"/>
      <c r="BC29" s="301"/>
      <c r="BD29" s="301"/>
      <c r="BE29" s="301"/>
      <c r="BF29" s="314"/>
      <c r="BG29" s="301"/>
      <c r="BH29" s="866" t="s">
        <v>85</v>
      </c>
      <c r="BI29" s="890"/>
      <c r="BJ29" s="890"/>
      <c r="BK29" s="866"/>
      <c r="BL29" s="881" t="s">
        <v>126</v>
      </c>
      <c r="BM29" s="881" t="s">
        <v>124</v>
      </c>
      <c r="BN29" s="866" t="s">
        <v>109</v>
      </c>
      <c r="BO29" s="866" t="s">
        <v>93</v>
      </c>
      <c r="BP29" s="273"/>
      <c r="BQ29" s="919" t="s">
        <v>208</v>
      </c>
      <c r="BR29" s="919" t="s">
        <v>227</v>
      </c>
      <c r="BS29" s="890"/>
      <c r="BT29" s="890"/>
      <c r="BU29" s="919" t="s">
        <v>273</v>
      </c>
      <c r="BV29" s="919" t="s">
        <v>232</v>
      </c>
      <c r="BW29" s="977" t="s">
        <v>210</v>
      </c>
      <c r="BX29" s="977" t="s">
        <v>203</v>
      </c>
      <c r="BY29" s="273"/>
    </row>
    <row r="30" spans="41:77" ht="186" customHeight="1">
      <c r="AO30" s="316"/>
      <c r="AP30" s="300"/>
      <c r="AQ30" s="301"/>
      <c r="AR30" s="301"/>
      <c r="AS30" s="301"/>
      <c r="AT30" s="301"/>
      <c r="AU30" s="301"/>
      <c r="AV30" s="301"/>
      <c r="AW30" s="314"/>
      <c r="AX30" s="301"/>
      <c r="AY30" s="300"/>
      <c r="AZ30" s="301"/>
      <c r="BA30" s="301"/>
      <c r="BB30" s="301"/>
      <c r="BC30" s="301"/>
      <c r="BD30" s="301"/>
      <c r="BE30" s="301"/>
      <c r="BF30" s="314"/>
      <c r="BG30" s="301"/>
      <c r="BH30" s="869"/>
      <c r="BI30" s="869"/>
      <c r="BJ30" s="869"/>
      <c r="BK30" s="869"/>
      <c r="BL30" s="882"/>
      <c r="BM30" s="882"/>
      <c r="BN30" s="867"/>
      <c r="BO30" s="867"/>
      <c r="BP30" s="273"/>
      <c r="BQ30" s="920"/>
      <c r="BR30" s="920"/>
      <c r="BS30" s="869"/>
      <c r="BT30" s="869"/>
      <c r="BU30" s="920"/>
      <c r="BV30" s="920"/>
      <c r="BW30" s="978"/>
      <c r="BX30" s="978"/>
      <c r="BY30" s="273"/>
    </row>
    <row r="31" spans="41:77" ht="186" customHeight="1" thickBot="1">
      <c r="AO31" s="316"/>
      <c r="AP31" s="300"/>
      <c r="AQ31" s="301"/>
      <c r="AR31" s="301"/>
      <c r="AS31" s="301"/>
      <c r="AT31" s="301"/>
      <c r="AU31" s="301"/>
      <c r="AV31" s="301"/>
      <c r="AW31" s="314"/>
      <c r="AX31" s="301"/>
      <c r="AY31" s="300"/>
      <c r="AZ31" s="301"/>
      <c r="BA31" s="301"/>
      <c r="BB31" s="301"/>
      <c r="BC31" s="301"/>
      <c r="BD31" s="301"/>
      <c r="BE31" s="301"/>
      <c r="BF31" s="314"/>
      <c r="BG31" s="301"/>
      <c r="BH31" s="870"/>
      <c r="BI31" s="870"/>
      <c r="BJ31" s="870"/>
      <c r="BK31" s="870"/>
      <c r="BL31" s="883"/>
      <c r="BM31" s="883"/>
      <c r="BN31" s="868"/>
      <c r="BO31" s="868"/>
      <c r="BP31" s="273"/>
      <c r="BQ31" s="921"/>
      <c r="BR31" s="921"/>
      <c r="BS31" s="870"/>
      <c r="BT31" s="870"/>
      <c r="BU31" s="921"/>
      <c r="BV31" s="921"/>
      <c r="BW31" s="979"/>
      <c r="BX31" s="979"/>
      <c r="BY31" s="273"/>
    </row>
    <row r="32" spans="41:77" ht="186" customHeight="1">
      <c r="AO32" s="316"/>
      <c r="AP32" s="300"/>
      <c r="AQ32" s="301"/>
      <c r="AR32" s="301"/>
      <c r="AS32" s="301"/>
      <c r="AT32" s="301"/>
      <c r="AU32" s="301"/>
      <c r="AV32" s="301"/>
      <c r="AW32" s="314"/>
      <c r="AX32" s="301"/>
      <c r="AY32" s="300"/>
      <c r="AZ32" s="301"/>
      <c r="BA32" s="301"/>
      <c r="BB32" s="301"/>
      <c r="BC32" s="301"/>
      <c r="BD32" s="301"/>
      <c r="BE32" s="301"/>
      <c r="BF32" s="314"/>
      <c r="BG32" s="301"/>
      <c r="BH32" s="866" t="s">
        <v>110</v>
      </c>
      <c r="BI32" s="890"/>
      <c r="BJ32" s="890"/>
      <c r="BK32" s="866"/>
      <c r="BL32" s="881" t="s">
        <v>127</v>
      </c>
      <c r="BM32" s="866" t="s">
        <v>120</v>
      </c>
      <c r="BN32" s="866" t="s">
        <v>104</v>
      </c>
      <c r="BO32" s="866" t="s">
        <v>92</v>
      </c>
      <c r="BP32" s="273"/>
      <c r="BQ32" s="919" t="s">
        <v>207</v>
      </c>
      <c r="BR32" s="977" t="s">
        <v>226</v>
      </c>
      <c r="BS32" s="890"/>
      <c r="BT32" s="890"/>
      <c r="BU32" s="919" t="s">
        <v>274</v>
      </c>
      <c r="BV32" s="919" t="s">
        <v>223</v>
      </c>
      <c r="BW32" s="919" t="s">
        <v>205</v>
      </c>
      <c r="BX32" s="919" t="s">
        <v>204</v>
      </c>
      <c r="BY32" s="273"/>
    </row>
    <row r="33" spans="41:79" ht="186" customHeight="1">
      <c r="AO33" s="288"/>
      <c r="AP33" s="973"/>
      <c r="AQ33" s="350"/>
      <c r="AR33" s="350"/>
      <c r="AS33" s="350"/>
      <c r="AT33" s="350"/>
      <c r="AU33" s="350"/>
      <c r="AV33" s="350"/>
      <c r="AW33" s="314"/>
      <c r="AX33" s="301"/>
      <c r="AY33" s="300"/>
      <c r="AZ33" s="301"/>
      <c r="BA33" s="301"/>
      <c r="BB33" s="301"/>
      <c r="BC33" s="301"/>
      <c r="BD33" s="301"/>
      <c r="BE33" s="301"/>
      <c r="BF33" s="314"/>
      <c r="BG33" s="301"/>
      <c r="BH33" s="869"/>
      <c r="BI33" s="869"/>
      <c r="BJ33" s="869"/>
      <c r="BK33" s="869"/>
      <c r="BL33" s="882"/>
      <c r="BM33" s="869"/>
      <c r="BN33" s="867"/>
      <c r="BO33" s="867"/>
      <c r="BP33" s="273"/>
      <c r="BQ33" s="920"/>
      <c r="BR33" s="978"/>
      <c r="BS33" s="869"/>
      <c r="BT33" s="869"/>
      <c r="BU33" s="920"/>
      <c r="BV33" s="920"/>
      <c r="BW33" s="920"/>
      <c r="BX33" s="920"/>
      <c r="BY33" s="273"/>
    </row>
    <row r="34" spans="41:79" ht="186" customHeight="1" thickBot="1">
      <c r="AO34" s="276"/>
      <c r="AP34" s="973"/>
      <c r="AQ34" s="350"/>
      <c r="AR34" s="350"/>
      <c r="AS34" s="350"/>
      <c r="AT34" s="350"/>
      <c r="AU34" s="350"/>
      <c r="AV34" s="350"/>
      <c r="AW34" s="314"/>
      <c r="AX34" s="301"/>
      <c r="AY34" s="300"/>
      <c r="AZ34" s="301"/>
      <c r="BA34" s="301"/>
      <c r="BB34" s="301"/>
      <c r="BC34" s="301"/>
      <c r="BD34" s="301"/>
      <c r="BE34" s="301"/>
      <c r="BF34" s="314"/>
      <c r="BG34" s="301"/>
      <c r="BH34" s="870"/>
      <c r="BI34" s="870"/>
      <c r="BJ34" s="870"/>
      <c r="BK34" s="870"/>
      <c r="BL34" s="883"/>
      <c r="BM34" s="870"/>
      <c r="BN34" s="868"/>
      <c r="BO34" s="868"/>
      <c r="BP34" s="273"/>
      <c r="BQ34" s="921"/>
      <c r="BR34" s="979"/>
      <c r="BS34" s="870"/>
      <c r="BT34" s="870"/>
      <c r="BU34" s="921"/>
      <c r="BV34" s="921"/>
      <c r="BW34" s="921"/>
      <c r="BX34" s="921"/>
      <c r="BY34" s="273"/>
    </row>
    <row r="35" spans="41:79" ht="186" customHeight="1">
      <c r="AP35" s="973"/>
      <c r="AQ35" s="350"/>
      <c r="AR35" s="350"/>
      <c r="AS35" s="350"/>
      <c r="AT35" s="350"/>
      <c r="AU35" s="350"/>
      <c r="AV35" s="350"/>
      <c r="AW35" s="314"/>
      <c r="AX35" s="301"/>
      <c r="AY35" s="300"/>
      <c r="AZ35" s="301"/>
      <c r="BA35" s="301"/>
      <c r="BB35" s="301"/>
      <c r="BC35" s="301"/>
      <c r="BD35" s="301"/>
      <c r="BE35" s="301"/>
      <c r="BF35" s="314"/>
      <c r="BG35" s="301"/>
      <c r="BH35" s="877" t="s">
        <v>114</v>
      </c>
      <c r="BI35" s="880"/>
      <c r="BJ35" s="880"/>
      <c r="BK35" s="877" t="s">
        <v>360</v>
      </c>
      <c r="BL35" s="881" t="s">
        <v>128</v>
      </c>
      <c r="BM35" s="877"/>
      <c r="BN35" s="877" t="s">
        <v>100</v>
      </c>
      <c r="BO35" s="877" t="s">
        <v>86</v>
      </c>
      <c r="BP35" s="395"/>
      <c r="BQ35" s="922" t="s">
        <v>202</v>
      </c>
      <c r="BR35" s="922" t="s">
        <v>225</v>
      </c>
      <c r="BS35" s="890"/>
      <c r="BT35" s="890"/>
      <c r="BU35" s="977" t="s">
        <v>267</v>
      </c>
      <c r="BV35" s="977" t="s">
        <v>222</v>
      </c>
      <c r="BW35" s="977" t="s">
        <v>206</v>
      </c>
      <c r="BX35" s="977" t="s">
        <v>193</v>
      </c>
      <c r="BY35" s="273"/>
    </row>
    <row r="36" spans="41:79" ht="186" customHeight="1">
      <c r="AP36" s="973"/>
      <c r="AQ36" s="350"/>
      <c r="AR36" s="350"/>
      <c r="AS36" s="350"/>
      <c r="AT36" s="350"/>
      <c r="AU36" s="350"/>
      <c r="AV36" s="350"/>
      <c r="AW36" s="314"/>
      <c r="AX36" s="301"/>
      <c r="AY36" s="300"/>
      <c r="AZ36" s="301"/>
      <c r="BA36" s="301"/>
      <c r="BB36" s="301"/>
      <c r="BC36" s="301"/>
      <c r="BD36" s="301"/>
      <c r="BE36" s="301"/>
      <c r="BF36" s="314"/>
      <c r="BG36" s="301"/>
      <c r="BH36" s="878"/>
      <c r="BI36" s="878"/>
      <c r="BJ36" s="878"/>
      <c r="BK36" s="878"/>
      <c r="BL36" s="882"/>
      <c r="BM36" s="878"/>
      <c r="BN36" s="931"/>
      <c r="BO36" s="931"/>
      <c r="BP36" s="395"/>
      <c r="BQ36" s="923"/>
      <c r="BR36" s="923"/>
      <c r="BS36" s="869"/>
      <c r="BT36" s="869"/>
      <c r="BU36" s="978"/>
      <c r="BV36" s="978"/>
      <c r="BW36" s="978"/>
      <c r="BX36" s="978"/>
      <c r="BY36" s="273"/>
    </row>
    <row r="37" spans="41:79" ht="186" customHeight="1" thickBot="1">
      <c r="AP37" s="973"/>
      <c r="AQ37" s="350"/>
      <c r="AR37" s="350"/>
      <c r="AS37" s="350"/>
      <c r="AT37" s="350"/>
      <c r="AU37" s="350"/>
      <c r="AV37" s="350"/>
      <c r="AW37" s="314"/>
      <c r="AX37" s="301"/>
      <c r="AY37" s="300"/>
      <c r="AZ37" s="301"/>
      <c r="BA37" s="301"/>
      <c r="BB37" s="301"/>
      <c r="BC37" s="301"/>
      <c r="BD37" s="301"/>
      <c r="BE37" s="301"/>
      <c r="BF37" s="314"/>
      <c r="BG37" s="301"/>
      <c r="BH37" s="879"/>
      <c r="BI37" s="879"/>
      <c r="BJ37" s="879"/>
      <c r="BK37" s="879"/>
      <c r="BL37" s="883"/>
      <c r="BM37" s="879"/>
      <c r="BN37" s="932"/>
      <c r="BO37" s="932"/>
      <c r="BP37" s="395"/>
      <c r="BQ37" s="924"/>
      <c r="BR37" s="924"/>
      <c r="BS37" s="870"/>
      <c r="BT37" s="870"/>
      <c r="BU37" s="979"/>
      <c r="BV37" s="979"/>
      <c r="BW37" s="979"/>
      <c r="BX37" s="979"/>
      <c r="BY37" s="273"/>
    </row>
    <row r="38" spans="41:79" ht="186" customHeight="1">
      <c r="AP38" s="973"/>
      <c r="AQ38" s="350"/>
      <c r="AR38" s="350"/>
      <c r="AS38" s="350"/>
      <c r="AT38" s="350"/>
      <c r="AU38" s="350"/>
      <c r="AV38" s="350"/>
      <c r="AW38" s="314"/>
      <c r="AX38" s="301"/>
      <c r="AY38" s="300"/>
      <c r="AZ38" s="301"/>
      <c r="BA38" s="301"/>
      <c r="BB38" s="301"/>
      <c r="BC38" s="301"/>
      <c r="BD38" s="301"/>
      <c r="BE38" s="301"/>
      <c r="BF38" s="314"/>
      <c r="BG38" s="301"/>
      <c r="BH38" s="877" t="s">
        <v>78</v>
      </c>
      <c r="BI38" s="880"/>
      <c r="BJ38" s="880"/>
      <c r="BK38" s="877" t="s">
        <v>356</v>
      </c>
      <c r="BL38" s="881" t="s">
        <v>129</v>
      </c>
      <c r="BM38" s="877" t="s">
        <v>107</v>
      </c>
      <c r="BN38" s="881" t="s">
        <v>301</v>
      </c>
      <c r="BO38" s="877" t="s">
        <v>91</v>
      </c>
      <c r="BP38" s="395"/>
      <c r="BQ38" s="922" t="s">
        <v>201</v>
      </c>
      <c r="BR38" s="980" t="s">
        <v>224</v>
      </c>
      <c r="BS38" s="890"/>
      <c r="BT38" s="890"/>
      <c r="BU38" s="977" t="s">
        <v>265</v>
      </c>
      <c r="BV38" s="977" t="s">
        <v>221</v>
      </c>
      <c r="BW38" s="866"/>
      <c r="BX38" s="977" t="s">
        <v>194</v>
      </c>
      <c r="BY38" s="273"/>
    </row>
    <row r="39" spans="41:79" ht="186" customHeight="1">
      <c r="AO39" s="321"/>
      <c r="AP39" s="360"/>
      <c r="AQ39" s="355"/>
      <c r="AR39" s="355"/>
      <c r="AS39" s="355"/>
      <c r="AT39" s="355"/>
      <c r="AU39" s="355"/>
      <c r="AV39" s="355"/>
      <c r="AW39" s="314"/>
      <c r="AX39" s="301"/>
      <c r="AY39" s="300"/>
      <c r="AZ39" s="301"/>
      <c r="BA39" s="301"/>
      <c r="BB39" s="301"/>
      <c r="BC39" s="301"/>
      <c r="BD39" s="301"/>
      <c r="BE39" s="301"/>
      <c r="BF39" s="314"/>
      <c r="BG39" s="301"/>
      <c r="BH39" s="878"/>
      <c r="BI39" s="878"/>
      <c r="BJ39" s="878"/>
      <c r="BK39" s="878"/>
      <c r="BL39" s="882"/>
      <c r="BM39" s="931"/>
      <c r="BN39" s="927"/>
      <c r="BO39" s="931"/>
      <c r="BP39" s="395"/>
      <c r="BQ39" s="923"/>
      <c r="BR39" s="923"/>
      <c r="BS39" s="869"/>
      <c r="BT39" s="869"/>
      <c r="BU39" s="978"/>
      <c r="BV39" s="978"/>
      <c r="BW39" s="869"/>
      <c r="BX39" s="978"/>
      <c r="BY39" s="273"/>
    </row>
    <row r="40" spans="41:79" ht="186" customHeight="1" thickBot="1">
      <c r="AO40" s="322"/>
      <c r="AP40" s="973"/>
      <c r="AQ40" s="350"/>
      <c r="AR40" s="350"/>
      <c r="AS40" s="350"/>
      <c r="AT40" s="350"/>
      <c r="AU40" s="350"/>
      <c r="AV40" s="350"/>
      <c r="AW40" s="314"/>
      <c r="AX40" s="301"/>
      <c r="AY40" s="300"/>
      <c r="AZ40" s="301"/>
      <c r="BA40" s="301"/>
      <c r="BB40" s="301"/>
      <c r="BC40" s="301"/>
      <c r="BD40" s="301"/>
      <c r="BE40" s="301"/>
      <c r="BF40" s="314"/>
      <c r="BG40" s="301"/>
      <c r="BH40" s="879"/>
      <c r="BI40" s="879"/>
      <c r="BJ40" s="879"/>
      <c r="BK40" s="879"/>
      <c r="BL40" s="883"/>
      <c r="BM40" s="932"/>
      <c r="BN40" s="928"/>
      <c r="BO40" s="932"/>
      <c r="BP40" s="395"/>
      <c r="BQ40" s="924"/>
      <c r="BR40" s="924"/>
      <c r="BS40" s="870"/>
      <c r="BT40" s="870"/>
      <c r="BU40" s="979"/>
      <c r="BV40" s="979"/>
      <c r="BW40" s="870"/>
      <c r="BX40" s="979"/>
      <c r="BY40" s="273"/>
    </row>
    <row r="41" spans="41:79" ht="186" customHeight="1">
      <c r="AO41" s="322"/>
      <c r="AP41" s="973"/>
      <c r="AQ41" s="350"/>
      <c r="AR41" s="350"/>
      <c r="AS41" s="350"/>
      <c r="AT41" s="350"/>
      <c r="AU41" s="350"/>
      <c r="AV41" s="350"/>
      <c r="AW41" s="314"/>
      <c r="AX41" s="301"/>
      <c r="AY41" s="300"/>
      <c r="AZ41" s="301"/>
      <c r="BA41" s="301"/>
      <c r="BB41" s="301"/>
      <c r="BC41" s="301"/>
      <c r="BD41" s="301"/>
      <c r="BE41" s="301"/>
      <c r="BF41" s="314"/>
      <c r="BG41" s="301"/>
      <c r="BH41" s="877" t="s">
        <v>122</v>
      </c>
      <c r="BI41" s="880"/>
      <c r="BJ41" s="917"/>
      <c r="BK41" s="877" t="s">
        <v>350</v>
      </c>
      <c r="BL41" s="881" t="s">
        <v>130</v>
      </c>
      <c r="BM41" s="877" t="s">
        <v>250</v>
      </c>
      <c r="BN41" s="881" t="s">
        <v>153</v>
      </c>
      <c r="BO41" s="881" t="s">
        <v>148</v>
      </c>
      <c r="BP41" s="395"/>
      <c r="BQ41" s="922" t="s">
        <v>199</v>
      </c>
      <c r="BR41" s="922" t="s">
        <v>220</v>
      </c>
      <c r="BS41" s="890"/>
      <c r="BT41" s="890"/>
      <c r="BU41" s="977" t="s">
        <v>259</v>
      </c>
      <c r="BV41" s="977" t="s">
        <v>218</v>
      </c>
      <c r="BW41" s="977" t="s">
        <v>191</v>
      </c>
      <c r="BX41" s="977" t="s">
        <v>183</v>
      </c>
      <c r="BY41" s="273"/>
    </row>
    <row r="42" spans="41:79" ht="186" customHeight="1">
      <c r="AO42" s="322"/>
      <c r="AP42" s="973"/>
      <c r="AQ42" s="975"/>
      <c r="AR42" s="975"/>
      <c r="AS42" s="975"/>
      <c r="AT42" s="975"/>
      <c r="AU42" s="975"/>
      <c r="AV42" s="975"/>
      <c r="AW42" s="314"/>
      <c r="AX42" s="301"/>
      <c r="AY42" s="300"/>
      <c r="AZ42" s="301"/>
      <c r="BA42" s="301"/>
      <c r="BB42" s="301"/>
      <c r="BC42" s="301"/>
      <c r="BD42" s="301"/>
      <c r="BE42" s="301"/>
      <c r="BF42" s="314"/>
      <c r="BG42" s="301"/>
      <c r="BH42" s="878"/>
      <c r="BI42" s="878"/>
      <c r="BJ42" s="878"/>
      <c r="BK42" s="878"/>
      <c r="BL42" s="882"/>
      <c r="BM42" s="931"/>
      <c r="BN42" s="882"/>
      <c r="BO42" s="882"/>
      <c r="BP42" s="395"/>
      <c r="BQ42" s="923"/>
      <c r="BR42" s="923"/>
      <c r="BS42" s="869"/>
      <c r="BT42" s="869"/>
      <c r="BU42" s="978"/>
      <c r="BV42" s="978"/>
      <c r="BW42" s="978"/>
      <c r="BX42" s="978"/>
      <c r="BY42" s="273"/>
    </row>
    <row r="43" spans="41:79" ht="186" customHeight="1" thickBot="1">
      <c r="AO43" s="322"/>
      <c r="AP43" s="973"/>
      <c r="AQ43" s="975"/>
      <c r="AR43" s="975"/>
      <c r="AS43" s="975"/>
      <c r="AT43" s="975"/>
      <c r="AU43" s="975"/>
      <c r="AV43" s="975"/>
      <c r="AW43" s="314"/>
      <c r="AX43" s="301"/>
      <c r="AY43" s="300"/>
      <c r="AZ43" s="301"/>
      <c r="BA43" s="301"/>
      <c r="BB43" s="301"/>
      <c r="BC43" s="301"/>
      <c r="BD43" s="301"/>
      <c r="BE43" s="301"/>
      <c r="BF43" s="314"/>
      <c r="BG43" s="301"/>
      <c r="BH43" s="879"/>
      <c r="BI43" s="879"/>
      <c r="BJ43" s="879"/>
      <c r="BK43" s="879"/>
      <c r="BL43" s="883"/>
      <c r="BM43" s="932"/>
      <c r="BN43" s="883"/>
      <c r="BO43" s="883"/>
      <c r="BP43" s="395"/>
      <c r="BQ43" s="924"/>
      <c r="BR43" s="924"/>
      <c r="BS43" s="870"/>
      <c r="BT43" s="870"/>
      <c r="BU43" s="979"/>
      <c r="BV43" s="979"/>
      <c r="BW43" s="979"/>
      <c r="BX43" s="979"/>
      <c r="BY43" s="273"/>
    </row>
    <row r="44" spans="41:79" ht="186" customHeight="1">
      <c r="AO44" s="322"/>
      <c r="AP44" s="973"/>
      <c r="AQ44" s="975"/>
      <c r="AR44" s="975"/>
      <c r="AS44" s="975"/>
      <c r="AT44" s="975"/>
      <c r="AU44" s="975"/>
      <c r="AV44" s="975"/>
      <c r="AW44" s="314"/>
      <c r="AX44" s="301"/>
      <c r="AY44" s="300"/>
      <c r="AZ44" s="301"/>
      <c r="BA44" s="301"/>
      <c r="BB44" s="301"/>
      <c r="BC44" s="301"/>
      <c r="BD44" s="301"/>
      <c r="BE44" s="301"/>
      <c r="BF44" s="314"/>
      <c r="BG44" s="301"/>
      <c r="BH44" s="881" t="s">
        <v>89</v>
      </c>
      <c r="BI44" s="880"/>
      <c r="BJ44" s="877"/>
      <c r="BK44" s="881" t="s">
        <v>142</v>
      </c>
      <c r="BL44" s="881" t="s">
        <v>159</v>
      </c>
      <c r="BM44" s="877" t="s">
        <v>137</v>
      </c>
      <c r="BN44" s="881" t="s">
        <v>136</v>
      </c>
      <c r="BO44" s="881" t="s">
        <v>146</v>
      </c>
      <c r="BP44" s="395"/>
      <c r="BQ44" s="922" t="s">
        <v>200</v>
      </c>
      <c r="BR44" s="922" t="s">
        <v>331</v>
      </c>
      <c r="BS44" s="890"/>
      <c r="BT44" s="890"/>
      <c r="BU44" s="977" t="s">
        <v>251</v>
      </c>
      <c r="BV44" s="977" t="s">
        <v>217</v>
      </c>
      <c r="BW44" s="977" t="s">
        <v>184</v>
      </c>
      <c r="BX44" s="977" t="s">
        <v>182</v>
      </c>
      <c r="BY44" s="273"/>
    </row>
    <row r="45" spans="41:79" ht="186" customHeight="1">
      <c r="AO45" s="322"/>
      <c r="AP45" s="973"/>
      <c r="AQ45" s="975"/>
      <c r="AR45" s="975"/>
      <c r="AS45" s="975"/>
      <c r="AT45" s="975"/>
      <c r="AU45" s="975"/>
      <c r="AV45" s="975"/>
      <c r="AW45" s="314"/>
      <c r="AX45" s="301"/>
      <c r="AY45" s="300"/>
      <c r="AZ45" s="301"/>
      <c r="BA45" s="301"/>
      <c r="BB45" s="301"/>
      <c r="BC45" s="301"/>
      <c r="BD45" s="301"/>
      <c r="BE45" s="301"/>
      <c r="BF45" s="314"/>
      <c r="BG45" s="301"/>
      <c r="BH45" s="882"/>
      <c r="BI45" s="878"/>
      <c r="BJ45" s="878"/>
      <c r="BK45" s="882"/>
      <c r="BL45" s="882"/>
      <c r="BM45" s="931"/>
      <c r="BN45" s="927"/>
      <c r="BO45" s="927"/>
      <c r="BP45" s="395"/>
      <c r="BQ45" s="923"/>
      <c r="BR45" s="923"/>
      <c r="BS45" s="869"/>
      <c r="BT45" s="869"/>
      <c r="BU45" s="978"/>
      <c r="BV45" s="978"/>
      <c r="BW45" s="978"/>
      <c r="BX45" s="978"/>
      <c r="BY45" s="273"/>
    </row>
    <row r="46" spans="41:79" s="84" customFormat="1" ht="186" customHeight="1" thickBot="1">
      <c r="AO46" s="322"/>
      <c r="AP46" s="360"/>
      <c r="AQ46" s="355"/>
      <c r="AR46" s="355"/>
      <c r="AS46" s="355"/>
      <c r="AT46" s="355"/>
      <c r="AU46" s="355"/>
      <c r="AV46" s="355"/>
      <c r="AW46" s="314"/>
      <c r="AX46" s="301"/>
      <c r="AY46" s="300"/>
      <c r="AZ46" s="301"/>
      <c r="BA46" s="301"/>
      <c r="BB46" s="301"/>
      <c r="BC46" s="301"/>
      <c r="BD46" s="301"/>
      <c r="BE46" s="301"/>
      <c r="BF46" s="314"/>
      <c r="BG46" s="301"/>
      <c r="BH46" s="883"/>
      <c r="BI46" s="879"/>
      <c r="BJ46" s="879"/>
      <c r="BK46" s="883"/>
      <c r="BL46" s="883"/>
      <c r="BM46" s="932"/>
      <c r="BN46" s="928"/>
      <c r="BO46" s="928"/>
      <c r="BP46" s="395"/>
      <c r="BQ46" s="924"/>
      <c r="BR46" s="924"/>
      <c r="BS46" s="870"/>
      <c r="BT46" s="870"/>
      <c r="BU46" s="979"/>
      <c r="BV46" s="979"/>
      <c r="BW46" s="979"/>
      <c r="BX46" s="979"/>
      <c r="BY46" s="273"/>
      <c r="BZ46" s="81"/>
      <c r="CA46" s="81"/>
    </row>
    <row r="47" spans="41:79" s="84" customFormat="1" ht="186" customHeight="1">
      <c r="AO47" s="322"/>
      <c r="AP47" s="360"/>
      <c r="AQ47" s="355"/>
      <c r="AR47" s="355"/>
      <c r="AS47" s="355"/>
      <c r="AT47" s="355"/>
      <c r="AU47" s="355"/>
      <c r="AV47" s="355"/>
      <c r="AW47" s="314"/>
      <c r="AX47" s="301"/>
      <c r="AY47" s="300"/>
      <c r="AZ47" s="301"/>
      <c r="BA47" s="301"/>
      <c r="BB47" s="301"/>
      <c r="BC47" s="301"/>
      <c r="BD47" s="301"/>
      <c r="BE47" s="301"/>
      <c r="BF47" s="314"/>
      <c r="BG47" s="301"/>
      <c r="BH47" s="881" t="s">
        <v>96</v>
      </c>
      <c r="BI47" s="880"/>
      <c r="BJ47" s="880"/>
      <c r="BK47" s="877" t="s">
        <v>167</v>
      </c>
      <c r="BL47" s="881" t="s">
        <v>152</v>
      </c>
      <c r="BM47" s="881" t="s">
        <v>151</v>
      </c>
      <c r="BN47" s="881" t="s">
        <v>147</v>
      </c>
      <c r="BO47" s="881" t="s">
        <v>150</v>
      </c>
      <c r="BP47" s="395"/>
      <c r="BQ47" s="922" t="s">
        <v>198</v>
      </c>
      <c r="BR47" s="922" t="s">
        <v>330</v>
      </c>
      <c r="BS47" s="890"/>
      <c r="BT47" s="890"/>
      <c r="BU47" s="922" t="s">
        <v>252</v>
      </c>
      <c r="BV47" s="922" t="s">
        <v>302</v>
      </c>
      <c r="BW47" s="922" t="s">
        <v>185</v>
      </c>
      <c r="BX47" s="922" t="s">
        <v>303</v>
      </c>
      <c r="BY47" s="273"/>
      <c r="BZ47" s="81"/>
      <c r="CA47" s="81"/>
    </row>
    <row r="48" spans="41:79" s="84" customFormat="1" ht="186" customHeight="1">
      <c r="AO48" s="322"/>
      <c r="AP48" s="360"/>
      <c r="AQ48" s="355"/>
      <c r="AR48" s="355"/>
      <c r="AS48" s="355"/>
      <c r="AT48" s="355"/>
      <c r="AU48" s="355"/>
      <c r="AV48" s="355"/>
      <c r="AW48" s="314"/>
      <c r="AX48" s="301"/>
      <c r="AY48" s="300"/>
      <c r="AZ48" s="301"/>
      <c r="BA48" s="301"/>
      <c r="BB48" s="301"/>
      <c r="BC48" s="301"/>
      <c r="BD48" s="301"/>
      <c r="BE48" s="301"/>
      <c r="BF48" s="314"/>
      <c r="BG48" s="301"/>
      <c r="BH48" s="882"/>
      <c r="BI48" s="878"/>
      <c r="BJ48" s="878"/>
      <c r="BK48" s="878"/>
      <c r="BL48" s="882"/>
      <c r="BM48" s="927"/>
      <c r="BN48" s="927"/>
      <c r="BO48" s="882"/>
      <c r="BP48" s="395"/>
      <c r="BQ48" s="923"/>
      <c r="BR48" s="923"/>
      <c r="BS48" s="869"/>
      <c r="BT48" s="869"/>
      <c r="BU48" s="923"/>
      <c r="BV48" s="923"/>
      <c r="BW48" s="923"/>
      <c r="BX48" s="923"/>
      <c r="BY48" s="273"/>
      <c r="BZ48" s="81"/>
      <c r="CA48" s="81"/>
    </row>
    <row r="49" spans="41:79" s="84" customFormat="1" ht="186" customHeight="1" thickBot="1">
      <c r="AO49" s="322"/>
      <c r="AP49" s="377"/>
      <c r="AQ49" s="378"/>
      <c r="AR49" s="378"/>
      <c r="AS49" s="378"/>
      <c r="AT49" s="378"/>
      <c r="AU49" s="378"/>
      <c r="AV49" s="378"/>
      <c r="AW49" s="379"/>
      <c r="AX49" s="301"/>
      <c r="AY49" s="300"/>
      <c r="AZ49" s="301"/>
      <c r="BA49" s="301"/>
      <c r="BB49" s="301"/>
      <c r="BC49" s="301"/>
      <c r="BD49" s="301"/>
      <c r="BE49" s="301"/>
      <c r="BF49" s="314"/>
      <c r="BG49" s="301"/>
      <c r="BH49" s="883"/>
      <c r="BI49" s="879"/>
      <c r="BJ49" s="879"/>
      <c r="BK49" s="879"/>
      <c r="BL49" s="883"/>
      <c r="BM49" s="928"/>
      <c r="BN49" s="928"/>
      <c r="BO49" s="883"/>
      <c r="BP49" s="395"/>
      <c r="BQ49" s="924"/>
      <c r="BR49" s="924"/>
      <c r="BS49" s="870"/>
      <c r="BT49" s="870"/>
      <c r="BU49" s="924"/>
      <c r="BV49" s="924"/>
      <c r="BW49" s="924"/>
      <c r="BX49" s="924"/>
      <c r="BY49" s="273"/>
      <c r="BZ49" s="81"/>
      <c r="CA49" s="81"/>
    </row>
    <row r="50" spans="41:79" s="84" customFormat="1" ht="186" customHeight="1" thickBot="1">
      <c r="AO50" s="324"/>
      <c r="AP50" s="301"/>
      <c r="AQ50" s="301"/>
      <c r="AR50" s="301"/>
      <c r="AS50" s="301"/>
      <c r="AT50" s="301"/>
      <c r="AU50" s="301"/>
      <c r="AV50" s="301"/>
      <c r="AW50" s="301"/>
      <c r="AX50" s="301"/>
      <c r="AY50" s="325"/>
      <c r="AZ50" s="325"/>
      <c r="BA50" s="325"/>
      <c r="BB50" s="325"/>
      <c r="BC50" s="325"/>
      <c r="BD50" s="325"/>
      <c r="BE50" s="325"/>
      <c r="BF50" s="325"/>
      <c r="BG50" s="301"/>
      <c r="BH50" s="915" t="s">
        <v>322</v>
      </c>
      <c r="BI50" s="915"/>
      <c r="BJ50" s="915"/>
      <c r="BK50" s="915"/>
      <c r="BL50" s="915"/>
      <c r="BM50" s="915"/>
      <c r="BN50" s="915"/>
      <c r="BO50" s="915"/>
      <c r="BP50" s="915"/>
      <c r="BQ50" s="915"/>
      <c r="BR50" s="915"/>
      <c r="BS50" s="915"/>
      <c r="BT50" s="915"/>
      <c r="BU50" s="915"/>
      <c r="BV50" s="915"/>
      <c r="BW50" s="915"/>
      <c r="BX50" s="916"/>
      <c r="BY50" s="273"/>
    </row>
    <row r="51" spans="41:79" s="84" customFormat="1" ht="186" customHeight="1">
      <c r="AO51" s="322"/>
      <c r="AP51" s="380"/>
      <c r="AQ51" s="285"/>
      <c r="AR51" s="285"/>
      <c r="AS51" s="285"/>
      <c r="AT51" s="285"/>
      <c r="AU51" s="285"/>
      <c r="AV51" s="285"/>
      <c r="AW51" s="285"/>
      <c r="AX51" s="381"/>
      <c r="AY51" s="890"/>
      <c r="AZ51" s="890"/>
      <c r="BA51" s="890"/>
      <c r="BB51" s="890"/>
      <c r="BC51" s="890"/>
      <c r="BD51" s="890"/>
      <c r="BE51" s="890"/>
      <c r="BF51" s="866" t="s">
        <v>58</v>
      </c>
      <c r="BG51" s="387"/>
      <c r="BH51" s="877" t="s">
        <v>94</v>
      </c>
      <c r="BI51" s="880"/>
      <c r="BJ51" s="880"/>
      <c r="BK51" s="881" t="s">
        <v>157</v>
      </c>
      <c r="BL51" s="881" t="s">
        <v>131</v>
      </c>
      <c r="BM51" s="866" t="s">
        <v>135</v>
      </c>
      <c r="BN51" s="863" t="s">
        <v>168</v>
      </c>
      <c r="BO51" s="881" t="s">
        <v>79</v>
      </c>
      <c r="BP51" s="395"/>
      <c r="BQ51" s="919" t="s">
        <v>173</v>
      </c>
      <c r="BR51" s="919" t="s">
        <v>186</v>
      </c>
      <c r="BS51" s="866" t="s">
        <v>243</v>
      </c>
      <c r="BT51" s="890"/>
      <c r="BU51" s="866" t="s">
        <v>346</v>
      </c>
      <c r="BV51" s="922" t="s">
        <v>234</v>
      </c>
      <c r="BW51" s="919" t="s">
        <v>169</v>
      </c>
      <c r="BX51" s="919" t="s">
        <v>165</v>
      </c>
      <c r="BY51" s="273"/>
    </row>
    <row r="52" spans="41:79" s="84" customFormat="1" ht="186" customHeight="1">
      <c r="AO52" s="322"/>
      <c r="AP52" s="382"/>
      <c r="AQ52" s="370"/>
      <c r="AR52" s="370"/>
      <c r="AS52" s="370"/>
      <c r="AT52" s="355"/>
      <c r="AU52" s="350"/>
      <c r="AV52" s="375"/>
      <c r="AW52" s="350"/>
      <c r="AX52" s="314"/>
      <c r="AY52" s="869"/>
      <c r="AZ52" s="869"/>
      <c r="BA52" s="869"/>
      <c r="BB52" s="869"/>
      <c r="BC52" s="869"/>
      <c r="BD52" s="869"/>
      <c r="BE52" s="869"/>
      <c r="BF52" s="867"/>
      <c r="BG52" s="387"/>
      <c r="BH52" s="878"/>
      <c r="BI52" s="878"/>
      <c r="BJ52" s="878"/>
      <c r="BK52" s="882"/>
      <c r="BL52" s="882"/>
      <c r="BM52" s="867"/>
      <c r="BN52" s="864"/>
      <c r="BO52" s="882"/>
      <c r="BP52" s="395"/>
      <c r="BQ52" s="920"/>
      <c r="BR52" s="920"/>
      <c r="BS52" s="869"/>
      <c r="BT52" s="869"/>
      <c r="BU52" s="869"/>
      <c r="BV52" s="923"/>
      <c r="BW52" s="920"/>
      <c r="BX52" s="920"/>
      <c r="BY52" s="295"/>
    </row>
    <row r="53" spans="41:79" s="84" customFormat="1" ht="186" customHeight="1" thickBot="1">
      <c r="AO53" s="322"/>
      <c r="AP53" s="383"/>
      <c r="AQ53" s="375"/>
      <c r="AR53" s="375"/>
      <c r="AS53" s="375"/>
      <c r="AT53" s="355"/>
      <c r="AU53" s="374"/>
      <c r="AV53" s="376"/>
      <c r="AW53" s="374"/>
      <c r="AX53" s="314"/>
      <c r="AY53" s="870"/>
      <c r="AZ53" s="870"/>
      <c r="BA53" s="870"/>
      <c r="BB53" s="870"/>
      <c r="BC53" s="870"/>
      <c r="BD53" s="870"/>
      <c r="BE53" s="870"/>
      <c r="BF53" s="868"/>
      <c r="BG53" s="387"/>
      <c r="BH53" s="879"/>
      <c r="BI53" s="879"/>
      <c r="BJ53" s="879"/>
      <c r="BK53" s="883"/>
      <c r="BL53" s="883"/>
      <c r="BM53" s="868"/>
      <c r="BN53" s="865"/>
      <c r="BO53" s="883"/>
      <c r="BP53" s="395"/>
      <c r="BQ53" s="921"/>
      <c r="BR53" s="921"/>
      <c r="BS53" s="870"/>
      <c r="BT53" s="870"/>
      <c r="BU53" s="870"/>
      <c r="BV53" s="924"/>
      <c r="BW53" s="921"/>
      <c r="BX53" s="921"/>
      <c r="BY53" s="275"/>
    </row>
    <row r="54" spans="41:79" s="84" customFormat="1" ht="186" customHeight="1">
      <c r="AO54" s="320"/>
      <c r="AP54" s="383"/>
      <c r="AQ54" s="375"/>
      <c r="AR54" s="375"/>
      <c r="AS54" s="375"/>
      <c r="AT54" s="355"/>
      <c r="AU54" s="350"/>
      <c r="AV54" s="350"/>
      <c r="AW54" s="350"/>
      <c r="AX54" s="314"/>
      <c r="AY54" s="890"/>
      <c r="AZ54" s="890"/>
      <c r="BA54" s="890"/>
      <c r="BB54" s="890"/>
      <c r="BC54" s="890"/>
      <c r="BD54" s="890"/>
      <c r="BE54" s="890"/>
      <c r="BF54" s="866" t="s">
        <v>57</v>
      </c>
      <c r="BG54" s="387"/>
      <c r="BH54" s="877" t="s">
        <v>84</v>
      </c>
      <c r="BI54" s="880"/>
      <c r="BJ54" s="880"/>
      <c r="BK54" s="881" t="s">
        <v>158</v>
      </c>
      <c r="BL54" s="881" t="s">
        <v>132</v>
      </c>
      <c r="BM54" s="863" t="s">
        <v>90</v>
      </c>
      <c r="BN54" s="863" t="s">
        <v>97</v>
      </c>
      <c r="BO54" s="877" t="s">
        <v>162</v>
      </c>
      <c r="BP54" s="395"/>
      <c r="BQ54" s="919" t="s">
        <v>174</v>
      </c>
      <c r="BR54" s="919" t="s">
        <v>187</v>
      </c>
      <c r="BS54" s="919" t="s">
        <v>242</v>
      </c>
      <c r="BT54" s="890"/>
      <c r="BU54" s="866" t="s">
        <v>328</v>
      </c>
      <c r="BV54" s="922" t="s">
        <v>235</v>
      </c>
      <c r="BW54" s="919" t="s">
        <v>178</v>
      </c>
      <c r="BX54" s="919" t="s">
        <v>166</v>
      </c>
      <c r="BY54" s="275"/>
    </row>
    <row r="55" spans="41:79" s="84" customFormat="1" ht="186" customHeight="1">
      <c r="AP55" s="383"/>
      <c r="AQ55" s="375"/>
      <c r="AR55" s="375"/>
      <c r="AS55" s="375"/>
      <c r="AT55" s="355"/>
      <c r="AU55" s="374"/>
      <c r="AV55" s="374"/>
      <c r="AW55" s="374"/>
      <c r="AX55" s="314"/>
      <c r="AY55" s="869"/>
      <c r="AZ55" s="869"/>
      <c r="BA55" s="869"/>
      <c r="BB55" s="869"/>
      <c r="BC55" s="869"/>
      <c r="BD55" s="869"/>
      <c r="BE55" s="869"/>
      <c r="BF55" s="869"/>
      <c r="BG55" s="387"/>
      <c r="BH55" s="878"/>
      <c r="BI55" s="878"/>
      <c r="BJ55" s="878"/>
      <c r="BK55" s="882"/>
      <c r="BL55" s="882"/>
      <c r="BM55" s="929"/>
      <c r="BN55" s="864"/>
      <c r="BO55" s="878"/>
      <c r="BP55" s="395"/>
      <c r="BQ55" s="920"/>
      <c r="BR55" s="920"/>
      <c r="BS55" s="920"/>
      <c r="BT55" s="869"/>
      <c r="BU55" s="869"/>
      <c r="BV55" s="923"/>
      <c r="BW55" s="920"/>
      <c r="BX55" s="920"/>
      <c r="BY55" s="295"/>
    </row>
    <row r="56" spans="41:79" s="84" customFormat="1" ht="186" customHeight="1" thickBot="1">
      <c r="AO56" s="326"/>
      <c r="AP56" s="383"/>
      <c r="AQ56" s="375"/>
      <c r="AR56" s="375"/>
      <c r="AS56" s="375"/>
      <c r="AT56" s="355"/>
      <c r="AU56" s="350"/>
      <c r="AV56" s="350"/>
      <c r="AW56" s="350"/>
      <c r="AX56" s="314"/>
      <c r="AY56" s="870"/>
      <c r="AZ56" s="870"/>
      <c r="BA56" s="870"/>
      <c r="BB56" s="870"/>
      <c r="BC56" s="870"/>
      <c r="BD56" s="870"/>
      <c r="BE56" s="870"/>
      <c r="BF56" s="870"/>
      <c r="BG56" s="387"/>
      <c r="BH56" s="879"/>
      <c r="BI56" s="879"/>
      <c r="BJ56" s="879"/>
      <c r="BK56" s="883"/>
      <c r="BL56" s="883"/>
      <c r="BM56" s="930"/>
      <c r="BN56" s="865"/>
      <c r="BO56" s="879"/>
      <c r="BP56" s="395"/>
      <c r="BQ56" s="921"/>
      <c r="BR56" s="921"/>
      <c r="BS56" s="921"/>
      <c r="BT56" s="870"/>
      <c r="BU56" s="870"/>
      <c r="BV56" s="924"/>
      <c r="BW56" s="921"/>
      <c r="BX56" s="921"/>
      <c r="BY56" s="295"/>
    </row>
    <row r="57" spans="41:79" s="84" customFormat="1" ht="186" customHeight="1">
      <c r="AO57" s="326"/>
      <c r="AP57" s="383"/>
      <c r="AQ57" s="375"/>
      <c r="AR57" s="375"/>
      <c r="AS57" s="375"/>
      <c r="AT57" s="355"/>
      <c r="AU57" s="374"/>
      <c r="AV57" s="374"/>
      <c r="AW57" s="350"/>
      <c r="AX57" s="314"/>
      <c r="AY57" s="890"/>
      <c r="AZ57" s="890"/>
      <c r="BA57" s="890"/>
      <c r="BB57" s="890"/>
      <c r="BC57" s="890"/>
      <c r="BD57" s="890"/>
      <c r="BE57" s="890"/>
      <c r="BF57" s="866" t="s">
        <v>77</v>
      </c>
      <c r="BG57" s="387"/>
      <c r="BH57" s="877" t="s">
        <v>105</v>
      </c>
      <c r="BI57" s="880"/>
      <c r="BJ57" s="880"/>
      <c r="BK57" s="881" t="s">
        <v>343</v>
      </c>
      <c r="BL57" s="881" t="s">
        <v>133</v>
      </c>
      <c r="BM57" s="863" t="s">
        <v>117</v>
      </c>
      <c r="BN57" s="863" t="s">
        <v>111</v>
      </c>
      <c r="BO57" s="863" t="s">
        <v>163</v>
      </c>
      <c r="BP57" s="395"/>
      <c r="BQ57" s="919" t="s">
        <v>170</v>
      </c>
      <c r="BR57" s="919" t="s">
        <v>188</v>
      </c>
      <c r="BS57" s="919" t="s">
        <v>241</v>
      </c>
      <c r="BT57" s="890"/>
      <c r="BU57" s="866" t="s">
        <v>324</v>
      </c>
      <c r="BV57" s="863" t="s">
        <v>295</v>
      </c>
      <c r="BW57" s="866" t="s">
        <v>312</v>
      </c>
      <c r="BX57" s="890"/>
      <c r="BY57" s="295"/>
    </row>
    <row r="58" spans="41:79" s="84" customFormat="1" ht="186" customHeight="1">
      <c r="AO58" s="326"/>
      <c r="AP58" s="383"/>
      <c r="AQ58" s="375"/>
      <c r="AR58" s="375"/>
      <c r="AS58" s="375"/>
      <c r="AT58" s="355"/>
      <c r="AU58" s="350"/>
      <c r="AV58" s="375"/>
      <c r="AW58" s="350"/>
      <c r="AX58" s="314"/>
      <c r="AY58" s="869"/>
      <c r="AZ58" s="869"/>
      <c r="BA58" s="869"/>
      <c r="BB58" s="869"/>
      <c r="BC58" s="869"/>
      <c r="BD58" s="869"/>
      <c r="BE58" s="869"/>
      <c r="BF58" s="869"/>
      <c r="BG58" s="387"/>
      <c r="BH58" s="931"/>
      <c r="BI58" s="878"/>
      <c r="BJ58" s="878"/>
      <c r="BK58" s="882"/>
      <c r="BL58" s="882"/>
      <c r="BM58" s="929"/>
      <c r="BN58" s="864"/>
      <c r="BO58" s="864"/>
      <c r="BP58" s="395"/>
      <c r="BQ58" s="920"/>
      <c r="BR58" s="920"/>
      <c r="BS58" s="920"/>
      <c r="BT58" s="869"/>
      <c r="BU58" s="869"/>
      <c r="BV58" s="929"/>
      <c r="BW58" s="869"/>
      <c r="BX58" s="869"/>
      <c r="BY58" s="295"/>
    </row>
    <row r="59" spans="41:79" s="84" customFormat="1" ht="186" customHeight="1" thickBot="1">
      <c r="AO59" s="308"/>
      <c r="AP59" s="383"/>
      <c r="AQ59" s="375"/>
      <c r="AR59" s="375"/>
      <c r="AS59" s="375"/>
      <c r="AT59" s="355"/>
      <c r="AU59" s="374"/>
      <c r="AV59" s="376"/>
      <c r="AW59" s="374"/>
      <c r="AX59" s="314"/>
      <c r="AY59" s="870"/>
      <c r="AZ59" s="870"/>
      <c r="BA59" s="870"/>
      <c r="BB59" s="870"/>
      <c r="BC59" s="870"/>
      <c r="BD59" s="870"/>
      <c r="BE59" s="870"/>
      <c r="BF59" s="870"/>
      <c r="BG59" s="387"/>
      <c r="BH59" s="932"/>
      <c r="BI59" s="879"/>
      <c r="BJ59" s="879"/>
      <c r="BK59" s="883"/>
      <c r="BL59" s="883"/>
      <c r="BM59" s="930"/>
      <c r="BN59" s="865"/>
      <c r="BO59" s="865"/>
      <c r="BP59" s="395"/>
      <c r="BQ59" s="921"/>
      <c r="BR59" s="921"/>
      <c r="BS59" s="921"/>
      <c r="BT59" s="870"/>
      <c r="BU59" s="870"/>
      <c r="BV59" s="930"/>
      <c r="BW59" s="870"/>
      <c r="BX59" s="870"/>
      <c r="BY59" s="295"/>
    </row>
    <row r="60" spans="41:79" ht="186" customHeight="1">
      <c r="AO60" s="308"/>
      <c r="AP60" s="383"/>
      <c r="AQ60" s="375"/>
      <c r="AR60" s="375"/>
      <c r="AS60" s="375"/>
      <c r="AT60" s="355"/>
      <c r="AU60" s="375"/>
      <c r="AV60" s="350"/>
      <c r="AW60" s="350"/>
      <c r="AX60" s="314"/>
      <c r="AY60" s="890"/>
      <c r="AZ60" s="890"/>
      <c r="BA60" s="890"/>
      <c r="BB60" s="890"/>
      <c r="BC60" s="890"/>
      <c r="BD60" s="890"/>
      <c r="BE60" s="890"/>
      <c r="BF60" s="890"/>
      <c r="BG60" s="387"/>
      <c r="BH60" s="877" t="s">
        <v>87</v>
      </c>
      <c r="BI60" s="877"/>
      <c r="BJ60" s="880"/>
      <c r="BK60" s="881" t="s">
        <v>161</v>
      </c>
      <c r="BL60" s="866" t="s">
        <v>134</v>
      </c>
      <c r="BM60" s="866" t="s">
        <v>123</v>
      </c>
      <c r="BN60" s="863" t="s">
        <v>149</v>
      </c>
      <c r="BO60" s="863" t="s">
        <v>82</v>
      </c>
      <c r="BP60" s="395"/>
      <c r="BQ60" s="919" t="s">
        <v>171</v>
      </c>
      <c r="BR60" s="919" t="s">
        <v>189</v>
      </c>
      <c r="BS60" s="919" t="s">
        <v>253</v>
      </c>
      <c r="BT60" s="890"/>
      <c r="BU60" s="922" t="s">
        <v>319</v>
      </c>
      <c r="BV60" s="919" t="s">
        <v>311</v>
      </c>
      <c r="BW60" s="919" t="s">
        <v>290</v>
      </c>
      <c r="BX60" s="890"/>
      <c r="BY60" s="295"/>
      <c r="BZ60" s="84"/>
      <c r="CA60" s="84"/>
    </row>
    <row r="61" spans="41:79" ht="186" customHeight="1">
      <c r="AO61" s="308"/>
      <c r="AP61" s="357"/>
      <c r="AQ61" s="358"/>
      <c r="AR61" s="359"/>
      <c r="AS61" s="375"/>
      <c r="AT61" s="355"/>
      <c r="AU61" s="376"/>
      <c r="AV61" s="374"/>
      <c r="AW61" s="374"/>
      <c r="AX61" s="314"/>
      <c r="AY61" s="869"/>
      <c r="AZ61" s="869"/>
      <c r="BA61" s="869"/>
      <c r="BB61" s="869"/>
      <c r="BC61" s="869"/>
      <c r="BD61" s="869"/>
      <c r="BE61" s="869"/>
      <c r="BF61" s="869"/>
      <c r="BG61" s="387"/>
      <c r="BH61" s="931"/>
      <c r="BI61" s="931"/>
      <c r="BJ61" s="878"/>
      <c r="BK61" s="927"/>
      <c r="BL61" s="867"/>
      <c r="BM61" s="867"/>
      <c r="BN61" s="864"/>
      <c r="BO61" s="864"/>
      <c r="BP61" s="395"/>
      <c r="BQ61" s="925"/>
      <c r="BR61" s="925"/>
      <c r="BS61" s="925"/>
      <c r="BT61" s="869"/>
      <c r="BU61" s="923"/>
      <c r="BV61" s="920"/>
      <c r="BW61" s="920"/>
      <c r="BX61" s="869"/>
      <c r="BY61" s="918"/>
      <c r="BZ61" s="84"/>
      <c r="CA61" s="84"/>
    </row>
    <row r="62" spans="41:79" ht="186" customHeight="1" thickBot="1">
      <c r="AP62" s="317"/>
      <c r="AQ62" s="318"/>
      <c r="AR62" s="359"/>
      <c r="AS62" s="375"/>
      <c r="AT62" s="355"/>
      <c r="AU62" s="375"/>
      <c r="AV62" s="375"/>
      <c r="AW62" s="350"/>
      <c r="AX62" s="314"/>
      <c r="AY62" s="870"/>
      <c r="AZ62" s="870"/>
      <c r="BA62" s="870"/>
      <c r="BB62" s="870"/>
      <c r="BC62" s="870"/>
      <c r="BD62" s="870"/>
      <c r="BE62" s="870"/>
      <c r="BF62" s="870"/>
      <c r="BG62" s="387"/>
      <c r="BH62" s="932"/>
      <c r="BI62" s="932"/>
      <c r="BJ62" s="879"/>
      <c r="BK62" s="928"/>
      <c r="BL62" s="868"/>
      <c r="BM62" s="868"/>
      <c r="BN62" s="865"/>
      <c r="BO62" s="865"/>
      <c r="BP62" s="395"/>
      <c r="BQ62" s="926"/>
      <c r="BR62" s="926"/>
      <c r="BS62" s="926"/>
      <c r="BT62" s="870"/>
      <c r="BU62" s="924"/>
      <c r="BV62" s="921"/>
      <c r="BW62" s="921"/>
      <c r="BX62" s="870"/>
      <c r="BY62" s="918"/>
    </row>
    <row r="63" spans="41:79" ht="186" customHeight="1">
      <c r="AP63" s="360"/>
      <c r="AQ63" s="355"/>
      <c r="AR63" s="355"/>
      <c r="AS63" s="355"/>
      <c r="AT63" s="355"/>
      <c r="AU63" s="376"/>
      <c r="AV63" s="376"/>
      <c r="AW63" s="350"/>
      <c r="AX63" s="314"/>
      <c r="AY63" s="890"/>
      <c r="AZ63" s="890"/>
      <c r="BA63" s="890"/>
      <c r="BB63" s="890"/>
      <c r="BC63" s="890"/>
      <c r="BD63" s="890"/>
      <c r="BE63" s="890"/>
      <c r="BF63" s="922" t="s">
        <v>244</v>
      </c>
      <c r="BG63" s="387"/>
      <c r="BH63" s="933" t="s">
        <v>106</v>
      </c>
      <c r="BI63" s="880"/>
      <c r="BJ63" s="880"/>
      <c r="BK63" s="877" t="s">
        <v>280</v>
      </c>
      <c r="BL63" s="881" t="s">
        <v>248</v>
      </c>
      <c r="BM63" s="881" t="s">
        <v>249</v>
      </c>
      <c r="BN63" s="863" t="s">
        <v>81</v>
      </c>
      <c r="BO63" s="863" t="s">
        <v>83</v>
      </c>
      <c r="BP63" s="395"/>
      <c r="BQ63" s="919" t="s">
        <v>172</v>
      </c>
      <c r="BR63" s="919" t="s">
        <v>190</v>
      </c>
      <c r="BS63" s="919" t="s">
        <v>254</v>
      </c>
      <c r="BT63" s="890"/>
      <c r="BU63" s="863" t="s">
        <v>323</v>
      </c>
      <c r="BV63" s="919" t="s">
        <v>236</v>
      </c>
      <c r="BW63" s="919" t="s">
        <v>179</v>
      </c>
      <c r="BX63" s="919" t="s">
        <v>180</v>
      </c>
      <c r="BY63" s="972"/>
    </row>
    <row r="64" spans="41:79" ht="186" customHeight="1">
      <c r="AP64" s="360"/>
      <c r="AQ64" s="355"/>
      <c r="AR64" s="355"/>
      <c r="AS64" s="355"/>
      <c r="AT64" s="355"/>
      <c r="AU64" s="350"/>
      <c r="AV64" s="375"/>
      <c r="AW64" s="350"/>
      <c r="AX64" s="314"/>
      <c r="AY64" s="869"/>
      <c r="AZ64" s="869"/>
      <c r="BA64" s="869"/>
      <c r="BB64" s="869"/>
      <c r="BC64" s="869"/>
      <c r="BD64" s="869"/>
      <c r="BE64" s="869"/>
      <c r="BF64" s="923"/>
      <c r="BG64" s="387"/>
      <c r="BH64" s="934"/>
      <c r="BI64" s="878"/>
      <c r="BJ64" s="878"/>
      <c r="BK64" s="878"/>
      <c r="BL64" s="882"/>
      <c r="BM64" s="882"/>
      <c r="BN64" s="864"/>
      <c r="BO64" s="929"/>
      <c r="BP64" s="395"/>
      <c r="BQ64" s="920"/>
      <c r="BR64" s="920"/>
      <c r="BS64" s="920"/>
      <c r="BT64" s="869"/>
      <c r="BU64" s="929"/>
      <c r="BV64" s="920"/>
      <c r="BW64" s="920"/>
      <c r="BX64" s="920"/>
      <c r="BY64" s="972"/>
    </row>
    <row r="65" spans="41:89" ht="186" customHeight="1" thickBot="1">
      <c r="AO65" s="319"/>
      <c r="AP65" s="360"/>
      <c r="AQ65" s="355"/>
      <c r="AR65" s="355"/>
      <c r="AS65" s="355"/>
      <c r="AT65" s="355"/>
      <c r="AU65" s="350"/>
      <c r="AV65" s="376"/>
      <c r="AW65" s="374"/>
      <c r="AX65" s="314"/>
      <c r="AY65" s="870"/>
      <c r="AZ65" s="870"/>
      <c r="BA65" s="870"/>
      <c r="BB65" s="870"/>
      <c r="BC65" s="870"/>
      <c r="BD65" s="870"/>
      <c r="BE65" s="870"/>
      <c r="BF65" s="924"/>
      <c r="BG65" s="387"/>
      <c r="BH65" s="935"/>
      <c r="BI65" s="879"/>
      <c r="BJ65" s="879"/>
      <c r="BK65" s="879"/>
      <c r="BL65" s="883"/>
      <c r="BM65" s="883"/>
      <c r="BN65" s="865"/>
      <c r="BO65" s="930"/>
      <c r="BP65" s="395"/>
      <c r="BQ65" s="921"/>
      <c r="BR65" s="921"/>
      <c r="BS65" s="921"/>
      <c r="BT65" s="870"/>
      <c r="BU65" s="930"/>
      <c r="BV65" s="921"/>
      <c r="BW65" s="921"/>
      <c r="BX65" s="921"/>
      <c r="BY65" s="327"/>
    </row>
    <row r="66" spans="41:89" ht="186" customHeight="1">
      <c r="AO66" s="319"/>
      <c r="AP66" s="360"/>
      <c r="AQ66" s="355"/>
      <c r="AR66" s="355"/>
      <c r="AS66" s="355"/>
      <c r="AT66" s="355"/>
      <c r="AU66" s="350"/>
      <c r="AV66" s="350"/>
      <c r="AW66" s="350"/>
      <c r="AX66" s="314"/>
      <c r="AY66" s="890"/>
      <c r="AZ66" s="890"/>
      <c r="BA66" s="890"/>
      <c r="BB66" s="890"/>
      <c r="BC66" s="890"/>
      <c r="BD66" s="890"/>
      <c r="BE66" s="890"/>
      <c r="BF66" s="922" t="s">
        <v>246</v>
      </c>
      <c r="BG66" s="387"/>
      <c r="BH66" s="877" t="s">
        <v>98</v>
      </c>
      <c r="BI66" s="880"/>
      <c r="BJ66" s="880"/>
      <c r="BK66" s="863" t="s">
        <v>279</v>
      </c>
      <c r="BL66" s="881" t="s">
        <v>138</v>
      </c>
      <c r="BM66" s="863" t="s">
        <v>263</v>
      </c>
      <c r="BN66" s="863" t="s">
        <v>115</v>
      </c>
      <c r="BO66" s="863" t="s">
        <v>116</v>
      </c>
      <c r="BP66" s="395"/>
      <c r="BQ66" s="919" t="s">
        <v>175</v>
      </c>
      <c r="BR66" s="919" t="s">
        <v>196</v>
      </c>
      <c r="BS66" s="919" t="s">
        <v>255</v>
      </c>
      <c r="BT66" s="890"/>
      <c r="BU66" s="866" t="s">
        <v>321</v>
      </c>
      <c r="BV66" s="919" t="s">
        <v>237</v>
      </c>
      <c r="BW66" s="919" t="s">
        <v>192</v>
      </c>
      <c r="BX66" s="919" t="s">
        <v>181</v>
      </c>
    </row>
    <row r="67" spans="41:89" ht="186" customHeight="1">
      <c r="AP67" s="360"/>
      <c r="AQ67" s="355"/>
      <c r="AR67" s="355"/>
      <c r="AS67" s="355"/>
      <c r="AT67" s="355"/>
      <c r="AU67" s="374"/>
      <c r="AV67" s="374"/>
      <c r="AW67" s="374"/>
      <c r="AX67" s="314"/>
      <c r="AY67" s="869"/>
      <c r="AZ67" s="869"/>
      <c r="BA67" s="869"/>
      <c r="BB67" s="869"/>
      <c r="BC67" s="869"/>
      <c r="BD67" s="869"/>
      <c r="BE67" s="869"/>
      <c r="BF67" s="923"/>
      <c r="BG67" s="387"/>
      <c r="BH67" s="931"/>
      <c r="BI67" s="878"/>
      <c r="BJ67" s="878"/>
      <c r="BK67" s="864"/>
      <c r="BL67" s="882"/>
      <c r="BM67" s="929"/>
      <c r="BN67" s="929"/>
      <c r="BO67" s="929"/>
      <c r="BP67" s="395"/>
      <c r="BQ67" s="920"/>
      <c r="BR67" s="920"/>
      <c r="BS67" s="920"/>
      <c r="BT67" s="869"/>
      <c r="BU67" s="869"/>
      <c r="BV67" s="920"/>
      <c r="BW67" s="920"/>
      <c r="BX67" s="920"/>
      <c r="CB67" s="84"/>
      <c r="CC67" s="84"/>
      <c r="CD67" s="84"/>
      <c r="CE67" s="84"/>
      <c r="CF67" s="84"/>
      <c r="CG67" s="84"/>
      <c r="CH67" s="84"/>
      <c r="CI67" s="84"/>
      <c r="CJ67" s="84"/>
      <c r="CK67" s="84"/>
    </row>
    <row r="68" spans="41:89" ht="186" customHeight="1" thickBot="1">
      <c r="AP68" s="360"/>
      <c r="AQ68" s="355"/>
      <c r="AR68" s="355"/>
      <c r="AS68" s="355"/>
      <c r="AT68" s="355"/>
      <c r="AU68" s="350"/>
      <c r="AV68" s="350"/>
      <c r="AW68" s="350"/>
      <c r="AX68" s="314"/>
      <c r="AY68" s="870"/>
      <c r="AZ68" s="870"/>
      <c r="BA68" s="870"/>
      <c r="BB68" s="870"/>
      <c r="BC68" s="870"/>
      <c r="BD68" s="870"/>
      <c r="BE68" s="870"/>
      <c r="BF68" s="924"/>
      <c r="BG68" s="387"/>
      <c r="BH68" s="932"/>
      <c r="BI68" s="879"/>
      <c r="BJ68" s="879"/>
      <c r="BK68" s="865"/>
      <c r="BL68" s="883"/>
      <c r="BM68" s="930"/>
      <c r="BN68" s="930"/>
      <c r="BO68" s="930"/>
      <c r="BP68" s="395"/>
      <c r="BQ68" s="921"/>
      <c r="BR68" s="921"/>
      <c r="BS68" s="921"/>
      <c r="BT68" s="870"/>
      <c r="BU68" s="870"/>
      <c r="BV68" s="921"/>
      <c r="BW68" s="921"/>
      <c r="BX68" s="921"/>
      <c r="BY68" s="329"/>
    </row>
    <row r="69" spans="41:89" ht="186" customHeight="1">
      <c r="AP69" s="360"/>
      <c r="AQ69" s="355"/>
      <c r="AR69" s="355"/>
      <c r="AS69" s="355"/>
      <c r="AT69" s="355"/>
      <c r="AU69" s="374"/>
      <c r="AV69" s="374"/>
      <c r="AW69" s="374"/>
      <c r="AX69" s="314"/>
      <c r="AY69" s="890"/>
      <c r="AZ69" s="890"/>
      <c r="BA69" s="890"/>
      <c r="BB69" s="890"/>
      <c r="BC69" s="890"/>
      <c r="BD69" s="890"/>
      <c r="BE69" s="890"/>
      <c r="BF69" s="922" t="s">
        <v>245</v>
      </c>
      <c r="BG69" s="387"/>
      <c r="BH69" s="933" t="s">
        <v>113</v>
      </c>
      <c r="BI69" s="880"/>
      <c r="BJ69" s="880"/>
      <c r="BK69" s="863" t="s">
        <v>278</v>
      </c>
      <c r="BL69" s="866"/>
      <c r="BM69" s="863" t="s">
        <v>357</v>
      </c>
      <c r="BN69" s="863" t="s">
        <v>358</v>
      </c>
      <c r="BO69" s="863" t="s">
        <v>359</v>
      </c>
      <c r="BP69" s="395"/>
      <c r="BQ69" s="919" t="s">
        <v>176</v>
      </c>
      <c r="BR69" s="919" t="s">
        <v>195</v>
      </c>
      <c r="BS69" s="919" t="s">
        <v>256</v>
      </c>
      <c r="BT69" s="890"/>
      <c r="BU69" s="866" t="s">
        <v>317</v>
      </c>
      <c r="BV69" s="919" t="s">
        <v>238</v>
      </c>
      <c r="BW69" s="919" t="s">
        <v>260</v>
      </c>
      <c r="BX69" s="919" t="s">
        <v>262</v>
      </c>
      <c r="BY69" s="293"/>
      <c r="BZ69" s="84"/>
      <c r="CA69" s="84"/>
    </row>
    <row r="70" spans="41:89" ht="186" customHeight="1">
      <c r="AP70" s="360"/>
      <c r="AQ70" s="355"/>
      <c r="AR70" s="355"/>
      <c r="AS70" s="355"/>
      <c r="AT70" s="355"/>
      <c r="AU70" s="361"/>
      <c r="AV70" s="356"/>
      <c r="AW70" s="350"/>
      <c r="AX70" s="314"/>
      <c r="AY70" s="869"/>
      <c r="AZ70" s="869"/>
      <c r="BA70" s="869"/>
      <c r="BB70" s="869"/>
      <c r="BC70" s="869"/>
      <c r="BD70" s="869"/>
      <c r="BE70" s="869"/>
      <c r="BF70" s="923"/>
      <c r="BG70" s="387"/>
      <c r="BH70" s="934"/>
      <c r="BI70" s="878"/>
      <c r="BJ70" s="878"/>
      <c r="BK70" s="929"/>
      <c r="BL70" s="869"/>
      <c r="BM70" s="929"/>
      <c r="BN70" s="929"/>
      <c r="BO70" s="929"/>
      <c r="BP70" s="395"/>
      <c r="BQ70" s="920"/>
      <c r="BR70" s="920"/>
      <c r="BS70" s="920"/>
      <c r="BT70" s="869"/>
      <c r="BU70" s="869"/>
      <c r="BV70" s="920"/>
      <c r="BW70" s="920"/>
      <c r="BX70" s="920"/>
      <c r="BY70" s="331"/>
    </row>
    <row r="71" spans="41:89" ht="186" customHeight="1" thickBot="1">
      <c r="AP71" s="362"/>
      <c r="AQ71" s="350"/>
      <c r="AR71" s="359"/>
      <c r="AS71" s="363"/>
      <c r="AT71" s="363"/>
      <c r="AU71" s="364"/>
      <c r="AV71" s="356"/>
      <c r="AW71" s="374"/>
      <c r="AX71" s="296"/>
      <c r="AY71" s="870"/>
      <c r="AZ71" s="870"/>
      <c r="BA71" s="870"/>
      <c r="BB71" s="870"/>
      <c r="BC71" s="870"/>
      <c r="BD71" s="870"/>
      <c r="BE71" s="870"/>
      <c r="BF71" s="924"/>
      <c r="BG71" s="330"/>
      <c r="BH71" s="935"/>
      <c r="BI71" s="879"/>
      <c r="BJ71" s="879"/>
      <c r="BK71" s="930"/>
      <c r="BL71" s="870"/>
      <c r="BM71" s="930"/>
      <c r="BN71" s="930"/>
      <c r="BO71" s="930"/>
      <c r="BP71" s="395"/>
      <c r="BQ71" s="921"/>
      <c r="BR71" s="921"/>
      <c r="BS71" s="921"/>
      <c r="BT71" s="870"/>
      <c r="BU71" s="870"/>
      <c r="BV71" s="921"/>
      <c r="BW71" s="921"/>
      <c r="BX71" s="921"/>
      <c r="BY71" s="332"/>
    </row>
    <row r="72" spans="41:89" ht="186" customHeight="1">
      <c r="AP72" s="362"/>
      <c r="AQ72" s="365"/>
      <c r="AR72" s="970"/>
      <c r="AS72" s="970"/>
      <c r="AT72" s="970"/>
      <c r="AU72" s="365"/>
      <c r="AV72" s="365"/>
      <c r="AW72" s="365"/>
      <c r="AX72" s="296"/>
      <c r="AY72" s="890"/>
      <c r="AZ72" s="890"/>
      <c r="BA72" s="890"/>
      <c r="BB72" s="890"/>
      <c r="BC72" s="890"/>
      <c r="BD72" s="890"/>
      <c r="BE72" s="890"/>
      <c r="BF72" s="922" t="s">
        <v>247</v>
      </c>
      <c r="BG72" s="278"/>
      <c r="BH72" s="933" t="s">
        <v>268</v>
      </c>
      <c r="BI72" s="877" t="s">
        <v>353</v>
      </c>
      <c r="BJ72" s="880"/>
      <c r="BK72" s="863" t="s">
        <v>277</v>
      </c>
      <c r="BL72" s="866"/>
      <c r="BM72" s="863" t="s">
        <v>333</v>
      </c>
      <c r="BN72" s="863" t="s">
        <v>266</v>
      </c>
      <c r="BO72" s="863" t="s">
        <v>264</v>
      </c>
      <c r="BP72" s="395"/>
      <c r="BQ72" s="919" t="s">
        <v>177</v>
      </c>
      <c r="BR72" s="919" t="s">
        <v>197</v>
      </c>
      <c r="BS72" s="919" t="s">
        <v>257</v>
      </c>
      <c r="BT72" s="890"/>
      <c r="BU72" s="922" t="s">
        <v>314</v>
      </c>
      <c r="BV72" s="919" t="s">
        <v>261</v>
      </c>
      <c r="BW72" s="919" t="s">
        <v>258</v>
      </c>
      <c r="BX72" s="919" t="s">
        <v>332</v>
      </c>
      <c r="BY72" s="298"/>
    </row>
    <row r="73" spans="41:89" ht="186" customHeight="1">
      <c r="AO73" s="330"/>
      <c r="AP73" s="366"/>
      <c r="AQ73" s="361"/>
      <c r="AR73" s="365"/>
      <c r="AS73" s="365"/>
      <c r="AT73" s="318"/>
      <c r="AU73" s="350"/>
      <c r="AV73" s="367"/>
      <c r="AW73" s="371"/>
      <c r="AX73" s="384"/>
      <c r="AY73" s="869"/>
      <c r="AZ73" s="869"/>
      <c r="BA73" s="869"/>
      <c r="BB73" s="869"/>
      <c r="BC73" s="869"/>
      <c r="BD73" s="869"/>
      <c r="BE73" s="869"/>
      <c r="BF73" s="923"/>
      <c r="BG73" s="330"/>
      <c r="BH73" s="934"/>
      <c r="BI73" s="878"/>
      <c r="BJ73" s="878"/>
      <c r="BK73" s="929"/>
      <c r="BL73" s="869"/>
      <c r="BM73" s="929"/>
      <c r="BN73" s="929"/>
      <c r="BO73" s="929"/>
      <c r="BP73" s="395"/>
      <c r="BQ73" s="920"/>
      <c r="BR73" s="920"/>
      <c r="BS73" s="920"/>
      <c r="BT73" s="869"/>
      <c r="BU73" s="982"/>
      <c r="BV73" s="920"/>
      <c r="BW73" s="920"/>
      <c r="BX73" s="920"/>
      <c r="BY73" s="298"/>
    </row>
    <row r="74" spans="41:89" ht="186" customHeight="1" thickBot="1">
      <c r="AO74" s="330"/>
      <c r="AP74" s="366"/>
      <c r="AQ74" s="361"/>
      <c r="AR74" s="318"/>
      <c r="AS74" s="318"/>
      <c r="AT74" s="318"/>
      <c r="AU74" s="350"/>
      <c r="AV74" s="367"/>
      <c r="AW74" s="372"/>
      <c r="AX74" s="384"/>
      <c r="AY74" s="870"/>
      <c r="AZ74" s="870"/>
      <c r="BA74" s="870"/>
      <c r="BB74" s="870"/>
      <c r="BC74" s="870"/>
      <c r="BD74" s="870"/>
      <c r="BE74" s="870"/>
      <c r="BF74" s="924"/>
      <c r="BG74" s="330"/>
      <c r="BH74" s="935"/>
      <c r="BI74" s="879"/>
      <c r="BJ74" s="879"/>
      <c r="BK74" s="930"/>
      <c r="BL74" s="870"/>
      <c r="BM74" s="930"/>
      <c r="BN74" s="930"/>
      <c r="BO74" s="930"/>
      <c r="BP74" s="395"/>
      <c r="BQ74" s="920"/>
      <c r="BR74" s="920"/>
      <c r="BS74" s="920"/>
      <c r="BT74" s="869"/>
      <c r="BU74" s="983"/>
      <c r="BV74" s="920"/>
      <c r="BW74" s="920"/>
      <c r="BX74" s="920"/>
      <c r="BY74" s="333"/>
    </row>
    <row r="75" spans="41:89" ht="186" customHeight="1">
      <c r="AO75" s="330"/>
      <c r="AP75" s="971"/>
      <c r="AQ75" s="361"/>
      <c r="AR75" s="318"/>
      <c r="AS75" s="318"/>
      <c r="AT75" s="318"/>
      <c r="AU75" s="365"/>
      <c r="AV75" s="367"/>
      <c r="AW75" s="373"/>
      <c r="AX75" s="384"/>
      <c r="AY75" s="890"/>
      <c r="AZ75" s="890"/>
      <c r="BA75" s="890"/>
      <c r="BB75" s="890"/>
      <c r="BC75" s="890"/>
      <c r="BD75" s="890"/>
      <c r="BE75" s="890"/>
      <c r="BF75" s="890"/>
      <c r="BG75" s="330"/>
      <c r="BH75" s="877" t="s">
        <v>269</v>
      </c>
      <c r="BI75" s="877" t="s">
        <v>354</v>
      </c>
      <c r="BJ75" s="880"/>
      <c r="BK75" s="863" t="s">
        <v>276</v>
      </c>
      <c r="BL75" s="881" t="s">
        <v>140</v>
      </c>
      <c r="BM75" s="866" t="s">
        <v>118</v>
      </c>
      <c r="BN75" s="863" t="s">
        <v>112</v>
      </c>
      <c r="BO75" s="863" t="s">
        <v>80</v>
      </c>
      <c r="BP75" s="395"/>
      <c r="BQ75" s="866"/>
      <c r="BR75" s="922" t="s">
        <v>304</v>
      </c>
      <c r="BS75" s="977" t="s">
        <v>307</v>
      </c>
      <c r="BT75" s="890"/>
      <c r="BU75" s="863" t="s">
        <v>342</v>
      </c>
      <c r="BV75" s="977" t="s">
        <v>291</v>
      </c>
      <c r="BW75" s="977" t="s">
        <v>292</v>
      </c>
      <c r="BX75" s="977" t="s">
        <v>293</v>
      </c>
      <c r="BY75" s="333"/>
    </row>
    <row r="76" spans="41:89" ht="186" customHeight="1">
      <c r="AO76" s="330"/>
      <c r="AP76" s="971"/>
      <c r="AQ76" s="361"/>
      <c r="AR76" s="365"/>
      <c r="AS76" s="365"/>
      <c r="AT76" s="359"/>
      <c r="AU76" s="365"/>
      <c r="AV76" s="367"/>
      <c r="AW76" s="373"/>
      <c r="AX76" s="384"/>
      <c r="AY76" s="869"/>
      <c r="AZ76" s="869"/>
      <c r="BA76" s="869"/>
      <c r="BB76" s="869"/>
      <c r="BC76" s="869"/>
      <c r="BD76" s="869"/>
      <c r="BE76" s="869"/>
      <c r="BF76" s="869"/>
      <c r="BG76" s="330"/>
      <c r="BH76" s="878"/>
      <c r="BI76" s="878"/>
      <c r="BJ76" s="878"/>
      <c r="BK76" s="929"/>
      <c r="BL76" s="882"/>
      <c r="BM76" s="869"/>
      <c r="BN76" s="929"/>
      <c r="BO76" s="929"/>
      <c r="BP76" s="395"/>
      <c r="BQ76" s="869"/>
      <c r="BR76" s="923"/>
      <c r="BS76" s="978"/>
      <c r="BT76" s="869"/>
      <c r="BU76" s="929"/>
      <c r="BV76" s="978"/>
      <c r="BW76" s="978"/>
      <c r="BX76" s="978"/>
      <c r="BY76" s="333"/>
    </row>
    <row r="77" spans="41:89" ht="186" customHeight="1" thickBot="1">
      <c r="AO77" s="330"/>
      <c r="AP77" s="389"/>
      <c r="AQ77" s="361"/>
      <c r="AR77" s="365"/>
      <c r="AS77" s="365"/>
      <c r="AT77" s="359"/>
      <c r="AU77" s="365"/>
      <c r="AV77" s="367"/>
      <c r="AW77" s="373"/>
      <c r="AX77" s="384"/>
      <c r="AY77" s="870"/>
      <c r="AZ77" s="870"/>
      <c r="BA77" s="870"/>
      <c r="BB77" s="870"/>
      <c r="BC77" s="870"/>
      <c r="BD77" s="870"/>
      <c r="BE77" s="870"/>
      <c r="BF77" s="870"/>
      <c r="BG77" s="330"/>
      <c r="BH77" s="879"/>
      <c r="BI77" s="879"/>
      <c r="BJ77" s="879"/>
      <c r="BK77" s="930"/>
      <c r="BL77" s="883"/>
      <c r="BM77" s="870"/>
      <c r="BN77" s="930"/>
      <c r="BO77" s="930"/>
      <c r="BP77" s="395"/>
      <c r="BQ77" s="870"/>
      <c r="BR77" s="924"/>
      <c r="BS77" s="979"/>
      <c r="BT77" s="870"/>
      <c r="BU77" s="930"/>
      <c r="BV77" s="979"/>
      <c r="BW77" s="979"/>
      <c r="BX77" s="979"/>
      <c r="BY77" s="333"/>
    </row>
    <row r="78" spans="41:89" ht="186" customHeight="1">
      <c r="AO78" s="330"/>
      <c r="AP78" s="389"/>
      <c r="AQ78" s="361"/>
      <c r="AR78" s="365"/>
      <c r="AS78" s="365"/>
      <c r="AT78" s="359"/>
      <c r="AU78" s="365"/>
      <c r="AV78" s="367"/>
      <c r="AW78" s="373"/>
      <c r="AX78" s="384"/>
      <c r="AY78" s="890"/>
      <c r="AZ78" s="890"/>
      <c r="BA78" s="890"/>
      <c r="BB78" s="890"/>
      <c r="BC78" s="890"/>
      <c r="BD78" s="890"/>
      <c r="BE78" s="890"/>
      <c r="BF78" s="890"/>
      <c r="BG78" s="330"/>
      <c r="BH78" s="881" t="s">
        <v>139</v>
      </c>
      <c r="BI78" s="881" t="s">
        <v>119</v>
      </c>
      <c r="BJ78" s="880"/>
      <c r="BK78" s="863" t="s">
        <v>275</v>
      </c>
      <c r="BL78" s="881" t="s">
        <v>141</v>
      </c>
      <c r="BM78" s="866"/>
      <c r="BN78" s="863" t="s">
        <v>99</v>
      </c>
      <c r="BO78" s="877" t="s">
        <v>88</v>
      </c>
      <c r="BP78" s="395"/>
      <c r="BQ78" s="922" t="s">
        <v>299</v>
      </c>
      <c r="BR78" s="922" t="s">
        <v>305</v>
      </c>
      <c r="BS78" s="922" t="s">
        <v>306</v>
      </c>
      <c r="BT78" s="890"/>
      <c r="BU78" s="863" t="s">
        <v>313</v>
      </c>
      <c r="BV78" s="863" t="s">
        <v>308</v>
      </c>
      <c r="BW78" s="977" t="s">
        <v>300</v>
      </c>
      <c r="BX78" s="977" t="s">
        <v>296</v>
      </c>
      <c r="BY78" s="333"/>
    </row>
    <row r="79" spans="41:89" ht="186" customHeight="1">
      <c r="AO79" s="293"/>
      <c r="AP79" s="368"/>
      <c r="AQ79" s="356"/>
      <c r="AR79" s="356"/>
      <c r="AS79" s="369"/>
      <c r="AT79" s="369"/>
      <c r="AU79" s="369"/>
      <c r="AV79" s="367"/>
      <c r="AW79" s="372"/>
      <c r="AX79" s="385"/>
      <c r="AY79" s="869"/>
      <c r="AZ79" s="869"/>
      <c r="BA79" s="869"/>
      <c r="BB79" s="869"/>
      <c r="BC79" s="869"/>
      <c r="BD79" s="869"/>
      <c r="BE79" s="869"/>
      <c r="BF79" s="869"/>
      <c r="BG79" s="388"/>
      <c r="BH79" s="882"/>
      <c r="BI79" s="882"/>
      <c r="BJ79" s="878"/>
      <c r="BK79" s="929"/>
      <c r="BL79" s="882"/>
      <c r="BM79" s="869"/>
      <c r="BN79" s="929"/>
      <c r="BO79" s="878"/>
      <c r="BP79" s="395"/>
      <c r="BQ79" s="923"/>
      <c r="BR79" s="923"/>
      <c r="BS79" s="923"/>
      <c r="BT79" s="869"/>
      <c r="BU79" s="929"/>
      <c r="BV79" s="929"/>
      <c r="BW79" s="978"/>
      <c r="BX79" s="978"/>
      <c r="BY79" s="333"/>
    </row>
    <row r="80" spans="41:89" ht="186" customHeight="1" thickBot="1">
      <c r="AO80" s="293"/>
      <c r="AP80" s="368"/>
      <c r="AQ80" s="356"/>
      <c r="AR80" s="356"/>
      <c r="AS80" s="369"/>
      <c r="AT80" s="369"/>
      <c r="AU80" s="369"/>
      <c r="AV80" s="367"/>
      <c r="AW80" s="372"/>
      <c r="AX80" s="385"/>
      <c r="AY80" s="870"/>
      <c r="AZ80" s="870"/>
      <c r="BA80" s="870"/>
      <c r="BB80" s="870"/>
      <c r="BC80" s="870"/>
      <c r="BD80" s="870"/>
      <c r="BE80" s="870"/>
      <c r="BF80" s="870"/>
      <c r="BG80" s="388"/>
      <c r="BH80" s="883"/>
      <c r="BI80" s="883"/>
      <c r="BJ80" s="879"/>
      <c r="BK80" s="930"/>
      <c r="BL80" s="883"/>
      <c r="BM80" s="870"/>
      <c r="BN80" s="930"/>
      <c r="BO80" s="879"/>
      <c r="BP80" s="395"/>
      <c r="BQ80" s="924"/>
      <c r="BR80" s="924"/>
      <c r="BS80" s="924"/>
      <c r="BT80" s="870"/>
      <c r="BU80" s="930"/>
      <c r="BV80" s="930"/>
      <c r="BW80" s="979"/>
      <c r="BX80" s="979"/>
      <c r="BY80" s="333"/>
    </row>
    <row r="81" spans="41:77" ht="186" customHeight="1">
      <c r="AO81" s="293"/>
      <c r="AP81" s="368"/>
      <c r="AQ81" s="356"/>
      <c r="AR81" s="356"/>
      <c r="AS81" s="369"/>
      <c r="AT81" s="369"/>
      <c r="AU81" s="369"/>
      <c r="AV81" s="367"/>
      <c r="AW81" s="372"/>
      <c r="AX81" s="385"/>
      <c r="AY81" s="890"/>
      <c r="AZ81" s="890"/>
      <c r="BA81" s="890"/>
      <c r="BB81" s="890"/>
      <c r="BC81" s="890"/>
      <c r="BD81" s="890"/>
      <c r="BE81" s="890"/>
      <c r="BF81" s="890"/>
      <c r="BG81" s="388"/>
      <c r="BH81" s="880"/>
      <c r="BI81" s="881" t="s">
        <v>318</v>
      </c>
      <c r="BJ81" s="880"/>
      <c r="BK81" s="863" t="s">
        <v>289</v>
      </c>
      <c r="BL81" s="863" t="s">
        <v>288</v>
      </c>
      <c r="BM81" s="881" t="s">
        <v>121</v>
      </c>
      <c r="BN81" s="877"/>
      <c r="BO81" s="877" t="s">
        <v>287</v>
      </c>
      <c r="BP81" s="395"/>
      <c r="BQ81" s="877" t="s">
        <v>326</v>
      </c>
      <c r="BR81" s="866" t="s">
        <v>336</v>
      </c>
      <c r="BS81" s="866" t="s">
        <v>340</v>
      </c>
      <c r="BT81" s="890"/>
      <c r="BU81" s="866" t="s">
        <v>337</v>
      </c>
      <c r="BV81" s="863" t="s">
        <v>309</v>
      </c>
      <c r="BW81" s="922" t="s">
        <v>310</v>
      </c>
      <c r="BX81" s="922" t="s">
        <v>297</v>
      </c>
      <c r="BY81" s="333"/>
    </row>
    <row r="82" spans="41:77" ht="186" customHeight="1">
      <c r="AO82" s="293"/>
      <c r="AP82" s="368"/>
      <c r="AQ82" s="356"/>
      <c r="AR82" s="356"/>
      <c r="AS82" s="369"/>
      <c r="AT82" s="369"/>
      <c r="AU82" s="369"/>
      <c r="AV82" s="367"/>
      <c r="AW82" s="372"/>
      <c r="AX82" s="385"/>
      <c r="AY82" s="869"/>
      <c r="AZ82" s="869"/>
      <c r="BA82" s="869"/>
      <c r="BB82" s="869"/>
      <c r="BC82" s="869"/>
      <c r="BD82" s="869"/>
      <c r="BE82" s="869"/>
      <c r="BF82" s="869"/>
      <c r="BG82" s="388"/>
      <c r="BH82" s="878"/>
      <c r="BI82" s="882"/>
      <c r="BJ82" s="878"/>
      <c r="BK82" s="929"/>
      <c r="BL82" s="929"/>
      <c r="BM82" s="882"/>
      <c r="BN82" s="878"/>
      <c r="BO82" s="931"/>
      <c r="BP82" s="395"/>
      <c r="BQ82" s="878"/>
      <c r="BR82" s="869"/>
      <c r="BS82" s="869"/>
      <c r="BT82" s="869"/>
      <c r="BU82" s="869"/>
      <c r="BV82" s="929"/>
      <c r="BW82" s="923"/>
      <c r="BX82" s="923"/>
      <c r="BY82" s="333"/>
    </row>
    <row r="83" spans="41:77" ht="186" customHeight="1" thickBot="1">
      <c r="AO83" s="293"/>
      <c r="AP83" s="368"/>
      <c r="AQ83" s="356"/>
      <c r="AR83" s="356"/>
      <c r="AS83" s="369"/>
      <c r="AT83" s="369"/>
      <c r="AU83" s="369"/>
      <c r="AV83" s="367"/>
      <c r="AW83" s="372"/>
      <c r="AX83" s="385"/>
      <c r="AY83" s="870"/>
      <c r="AZ83" s="870"/>
      <c r="BA83" s="870"/>
      <c r="BB83" s="870"/>
      <c r="BC83" s="870"/>
      <c r="BD83" s="870"/>
      <c r="BE83" s="870"/>
      <c r="BF83" s="870"/>
      <c r="BG83" s="388"/>
      <c r="BH83" s="879"/>
      <c r="BI83" s="883"/>
      <c r="BJ83" s="879"/>
      <c r="BK83" s="930"/>
      <c r="BL83" s="930"/>
      <c r="BM83" s="883"/>
      <c r="BN83" s="879"/>
      <c r="BO83" s="932"/>
      <c r="BP83" s="395"/>
      <c r="BQ83" s="879"/>
      <c r="BR83" s="870"/>
      <c r="BS83" s="870"/>
      <c r="BT83" s="870"/>
      <c r="BU83" s="870"/>
      <c r="BV83" s="930"/>
      <c r="BW83" s="924"/>
      <c r="BX83" s="924"/>
      <c r="BY83" s="333"/>
    </row>
    <row r="84" spans="41:77" ht="186" customHeight="1" thickBot="1">
      <c r="AP84" s="335"/>
      <c r="AQ84" s="336"/>
      <c r="AR84" s="336"/>
      <c r="AS84" s="337"/>
      <c r="AT84" s="337"/>
      <c r="AU84" s="338"/>
      <c r="AV84" s="338"/>
      <c r="AW84" s="339"/>
      <c r="AX84" s="386"/>
      <c r="AY84" s="336"/>
      <c r="AZ84" s="336"/>
      <c r="BA84" s="336"/>
      <c r="BB84" s="337"/>
      <c r="BC84" s="337"/>
      <c r="BD84" s="338"/>
      <c r="BE84" s="338"/>
      <c r="BF84" s="339"/>
      <c r="BH84" s="335"/>
      <c r="BI84" s="336"/>
      <c r="BJ84" s="336"/>
      <c r="BK84" s="337"/>
      <c r="BL84" s="986" t="s">
        <v>316</v>
      </c>
      <c r="BM84" s="987"/>
      <c r="BN84" s="984" t="s">
        <v>315</v>
      </c>
      <c r="BO84" s="985"/>
      <c r="BP84" s="273"/>
      <c r="BQ84" s="867" t="s">
        <v>327</v>
      </c>
      <c r="BR84" s="867" t="s">
        <v>341</v>
      </c>
      <c r="BS84" s="867" t="s">
        <v>320</v>
      </c>
      <c r="BT84" s="869"/>
      <c r="BU84" s="869"/>
      <c r="BV84" s="867" t="s">
        <v>349</v>
      </c>
      <c r="BW84" s="867" t="s">
        <v>347</v>
      </c>
      <c r="BX84" s="864" t="s">
        <v>298</v>
      </c>
    </row>
    <row r="85" spans="41:77" ht="186" customHeight="1">
      <c r="AO85" s="280"/>
      <c r="AP85" s="280"/>
      <c r="AQ85" s="280"/>
      <c r="AR85" s="280"/>
      <c r="AS85" s="334"/>
      <c r="AT85" s="334"/>
      <c r="AU85" s="280"/>
      <c r="AV85" s="280"/>
      <c r="AW85" s="340"/>
      <c r="AX85" s="936" t="s">
        <v>52</v>
      </c>
      <c r="AY85" s="937"/>
      <c r="AZ85" s="937"/>
      <c r="BA85" s="938"/>
      <c r="BB85" s="341"/>
      <c r="BC85" s="341"/>
      <c r="BD85" s="341"/>
      <c r="BE85" s="341"/>
      <c r="BF85" s="341"/>
      <c r="BG85" s="342"/>
      <c r="BH85" s="342"/>
      <c r="BI85" s="342"/>
      <c r="BJ85" s="342"/>
      <c r="BP85" s="273"/>
      <c r="BQ85" s="869"/>
      <c r="BR85" s="869"/>
      <c r="BS85" s="869"/>
      <c r="BT85" s="869"/>
      <c r="BU85" s="869"/>
      <c r="BV85" s="869"/>
      <c r="BW85" s="869"/>
      <c r="BX85" s="929"/>
    </row>
    <row r="86" spans="41:77" ht="186" customHeight="1" thickBot="1">
      <c r="AO86" s="280"/>
      <c r="AP86" s="280"/>
      <c r="AQ86" s="280"/>
      <c r="AR86" s="280"/>
      <c r="AS86" s="330"/>
      <c r="AT86" s="330"/>
      <c r="AU86" s="330"/>
      <c r="AV86" s="279"/>
      <c r="AW86" s="330"/>
      <c r="AX86" s="936"/>
      <c r="AY86" s="937"/>
      <c r="AZ86" s="937"/>
      <c r="BA86" s="938"/>
      <c r="BB86" s="341"/>
      <c r="BC86" s="341"/>
      <c r="BD86" s="341"/>
      <c r="BE86" s="341"/>
      <c r="BF86" s="341"/>
      <c r="BG86" s="342"/>
      <c r="BH86" s="342"/>
      <c r="BI86" s="343"/>
      <c r="BJ86" s="342"/>
      <c r="BK86" s="344"/>
      <c r="BP86" s="273"/>
      <c r="BQ86" s="870"/>
      <c r="BR86" s="870"/>
      <c r="BS86" s="870"/>
      <c r="BT86" s="870"/>
      <c r="BU86" s="870"/>
      <c r="BV86" s="870"/>
      <c r="BW86" s="870"/>
      <c r="BX86" s="930"/>
    </row>
    <row r="87" spans="41:77" ht="186" customHeight="1" thickBot="1">
      <c r="AO87" s="330"/>
      <c r="AP87" s="330"/>
      <c r="AQ87" s="330"/>
      <c r="AR87" s="330"/>
      <c r="AS87" s="330"/>
      <c r="AT87" s="330"/>
      <c r="AU87" s="330"/>
      <c r="AV87" s="279"/>
      <c r="AW87" s="330"/>
      <c r="AX87" s="939"/>
      <c r="AY87" s="940"/>
      <c r="AZ87" s="940"/>
      <c r="BA87" s="941"/>
      <c r="BB87" s="341"/>
      <c r="BC87" s="341"/>
      <c r="BD87" s="341"/>
      <c r="BE87" s="330"/>
      <c r="BF87" s="330"/>
      <c r="BG87" s="330"/>
      <c r="BH87" s="330"/>
      <c r="BI87" s="942" t="s">
        <v>3</v>
      </c>
      <c r="BJ87" s="943"/>
      <c r="BK87" s="328"/>
      <c r="BL87" s="328"/>
      <c r="BM87" s="328"/>
      <c r="BN87" s="328"/>
      <c r="BO87" s="315"/>
      <c r="BP87" s="273"/>
      <c r="BQ87" s="866" t="s">
        <v>339</v>
      </c>
      <c r="BR87" s="866" t="s">
        <v>338</v>
      </c>
      <c r="BS87" s="866" t="s">
        <v>348</v>
      </c>
      <c r="BT87" s="890"/>
      <c r="BU87" s="890"/>
      <c r="BV87" s="890"/>
      <c r="BW87" s="890"/>
      <c r="BX87" s="866" t="s">
        <v>351</v>
      </c>
    </row>
    <row r="88" spans="41:77" ht="186" customHeight="1" thickBot="1">
      <c r="AO88" s="330"/>
      <c r="AP88" s="323"/>
      <c r="AQ88" s="345"/>
      <c r="AR88" s="330"/>
      <c r="AS88" s="330"/>
      <c r="AT88" s="330"/>
      <c r="AU88" s="330"/>
      <c r="AV88" s="279"/>
      <c r="AW88" s="279"/>
      <c r="AX88" s="948" t="s">
        <v>53</v>
      </c>
      <c r="AY88" s="949"/>
      <c r="AZ88" s="949"/>
      <c r="BA88" s="950"/>
      <c r="BB88" s="341"/>
      <c r="BC88" s="341"/>
      <c r="BD88" s="341"/>
      <c r="BE88" s="330"/>
      <c r="BG88" s="346"/>
      <c r="BH88" s="346"/>
      <c r="BI88" s="944"/>
      <c r="BJ88" s="945"/>
      <c r="BK88" s="328"/>
      <c r="BL88" s="328"/>
      <c r="BM88" s="328"/>
      <c r="BN88" s="328"/>
      <c r="BO88" s="315"/>
      <c r="BP88" s="273"/>
      <c r="BQ88" s="869"/>
      <c r="BR88" s="869"/>
      <c r="BS88" s="869"/>
      <c r="BT88" s="869"/>
      <c r="BU88" s="869"/>
      <c r="BV88" s="869"/>
      <c r="BW88" s="869"/>
      <c r="BX88" s="869"/>
    </row>
    <row r="89" spans="41:77" ht="186" customHeight="1" thickBot="1">
      <c r="AP89" s="951"/>
      <c r="AQ89" s="952"/>
      <c r="AR89" s="330"/>
      <c r="AS89" s="330"/>
      <c r="AT89" s="330"/>
      <c r="AU89" s="330"/>
      <c r="AV89" s="279"/>
      <c r="AW89" s="279"/>
      <c r="AX89" s="936"/>
      <c r="AY89" s="937"/>
      <c r="AZ89" s="937"/>
      <c r="BA89" s="938"/>
      <c r="BB89" s="341"/>
      <c r="BC89" s="341"/>
      <c r="BD89" s="341"/>
      <c r="BE89" s="330"/>
      <c r="BG89" s="346"/>
      <c r="BH89" s="346"/>
      <c r="BI89" s="944"/>
      <c r="BJ89" s="945"/>
      <c r="BK89" s="328"/>
      <c r="BL89" s="347" t="s">
        <v>54</v>
      </c>
      <c r="BM89" s="328"/>
      <c r="BN89" s="328"/>
      <c r="BO89" s="319"/>
      <c r="BP89" s="273"/>
      <c r="BQ89" s="870"/>
      <c r="BR89" s="870"/>
      <c r="BS89" s="870"/>
      <c r="BT89" s="870"/>
      <c r="BU89" s="870"/>
      <c r="BV89" s="870"/>
      <c r="BW89" s="870"/>
      <c r="BX89" s="870"/>
    </row>
    <row r="90" spans="41:77" ht="186" customHeight="1" thickBot="1">
      <c r="AP90" s="951"/>
      <c r="AQ90" s="952"/>
      <c r="AR90" s="330"/>
      <c r="AS90" s="330"/>
      <c r="AT90" s="330"/>
      <c r="AU90" s="330"/>
      <c r="AV90" s="279"/>
      <c r="AW90" s="279"/>
      <c r="AX90" s="939"/>
      <c r="AY90" s="940"/>
      <c r="AZ90" s="940"/>
      <c r="BA90" s="941"/>
      <c r="BB90" s="341"/>
      <c r="BC90" s="341"/>
      <c r="BD90" s="341"/>
      <c r="BE90" s="330"/>
      <c r="BI90" s="946"/>
      <c r="BJ90" s="947"/>
      <c r="BL90" s="278"/>
      <c r="BM90" s="858" t="s">
        <v>286</v>
      </c>
      <c r="BN90" s="859"/>
      <c r="BO90" s="860"/>
      <c r="BP90" s="273"/>
      <c r="BQ90" s="866" t="s">
        <v>352</v>
      </c>
      <c r="BR90" s="866"/>
      <c r="BS90" s="866"/>
      <c r="BT90" s="890"/>
      <c r="BU90" s="890"/>
      <c r="BV90" s="890"/>
      <c r="BW90" s="890"/>
      <c r="BX90" s="890"/>
    </row>
    <row r="91" spans="41:77" ht="186" customHeight="1" thickBot="1">
      <c r="AO91" s="330"/>
      <c r="AP91" s="951"/>
      <c r="AQ91" s="952"/>
      <c r="AR91" s="330"/>
      <c r="AS91" s="330"/>
      <c r="AT91" s="330"/>
      <c r="AU91" s="330"/>
      <c r="AV91" s="279"/>
      <c r="AW91" s="348"/>
      <c r="AX91" s="341"/>
      <c r="AY91" s="341"/>
      <c r="AZ91" s="341"/>
      <c r="BA91" s="341"/>
      <c r="BB91" s="341"/>
      <c r="BC91" s="341"/>
      <c r="BD91" s="341"/>
      <c r="BE91" s="953"/>
      <c r="BK91" s="395"/>
      <c r="BL91" s="396"/>
      <c r="BM91" s="404"/>
      <c r="BN91" s="861" t="s">
        <v>285</v>
      </c>
      <c r="BO91" s="862"/>
      <c r="BP91" s="273"/>
      <c r="BQ91" s="869"/>
      <c r="BR91" s="869"/>
      <c r="BS91" s="869"/>
      <c r="BT91" s="869"/>
      <c r="BU91" s="869"/>
      <c r="BV91" s="869"/>
      <c r="BW91" s="869"/>
      <c r="BX91" s="869"/>
    </row>
    <row r="92" spans="41:77" ht="186" customHeight="1" thickBot="1">
      <c r="AO92" s="330"/>
      <c r="AP92" s="951"/>
      <c r="AQ92" s="952"/>
      <c r="AR92" s="330"/>
      <c r="AS92" s="330"/>
      <c r="AT92" s="330"/>
      <c r="AU92" s="330"/>
      <c r="AV92" s="279"/>
      <c r="AW92" s="348"/>
      <c r="AX92" s="341"/>
      <c r="AY92" s="341"/>
      <c r="AZ92" s="341"/>
      <c r="BA92" s="341"/>
      <c r="BB92" s="341"/>
      <c r="BC92" s="341"/>
      <c r="BD92" s="341"/>
      <c r="BE92" s="953"/>
      <c r="BF92" s="336"/>
      <c r="BG92" s="336"/>
      <c r="BI92" s="406" t="s">
        <v>355</v>
      </c>
      <c r="BJ92" s="405" t="s">
        <v>344</v>
      </c>
      <c r="BK92" s="399" t="s">
        <v>335</v>
      </c>
      <c r="BL92" s="400" t="s">
        <v>334</v>
      </c>
      <c r="BM92" s="397"/>
      <c r="BN92" s="861" t="s">
        <v>284</v>
      </c>
      <c r="BO92" s="862"/>
      <c r="BP92" s="273"/>
      <c r="BQ92" s="870"/>
      <c r="BR92" s="870"/>
      <c r="BS92" s="870"/>
      <c r="BT92" s="870"/>
      <c r="BU92" s="870"/>
      <c r="BV92" s="870"/>
      <c r="BW92" s="870"/>
      <c r="BX92" s="870"/>
    </row>
    <row r="93" spans="41:77" ht="186" customHeight="1" thickBot="1">
      <c r="AO93" s="298"/>
      <c r="AP93" s="298"/>
      <c r="AQ93" s="298"/>
      <c r="AS93" s="953"/>
      <c r="AT93" s="953"/>
      <c r="AU93" s="953"/>
      <c r="AV93" s="953"/>
      <c r="AW93" s="348"/>
      <c r="AX93" s="954" t="s">
        <v>55</v>
      </c>
      <c r="AY93" s="955"/>
      <c r="AZ93" s="955"/>
      <c r="BA93" s="955"/>
      <c r="BB93" s="955"/>
      <c r="BC93" s="956"/>
      <c r="BD93" s="320"/>
      <c r="BE93" s="320"/>
      <c r="BF93" s="960" t="s">
        <v>0</v>
      </c>
      <c r="BG93" s="962" t="s">
        <v>2</v>
      </c>
      <c r="BI93" s="349"/>
      <c r="BJ93" s="349"/>
      <c r="BK93" s="273"/>
      <c r="BL93" s="387"/>
      <c r="BM93" s="398"/>
      <c r="BN93" s="861" t="s">
        <v>283</v>
      </c>
      <c r="BO93" s="862"/>
      <c r="BP93" s="273"/>
      <c r="BQ93" s="394"/>
      <c r="BR93" s="392"/>
      <c r="BS93" s="392"/>
      <c r="BT93" s="392"/>
      <c r="BU93" s="392"/>
      <c r="BV93" s="392"/>
      <c r="BW93" s="392"/>
      <c r="BX93" s="393"/>
    </row>
    <row r="94" spans="41:77" ht="186" customHeight="1" thickBot="1">
      <c r="AS94" s="953"/>
      <c r="AT94" s="953"/>
      <c r="AU94" s="953"/>
      <c r="AV94" s="953"/>
      <c r="AW94" s="351"/>
      <c r="AX94" s="957"/>
      <c r="AY94" s="958"/>
      <c r="AZ94" s="958"/>
      <c r="BA94" s="958"/>
      <c r="BB94" s="958"/>
      <c r="BC94" s="959"/>
      <c r="BD94" s="336"/>
      <c r="BE94" s="336"/>
      <c r="BF94" s="961"/>
      <c r="BG94" s="963"/>
      <c r="BH94" s="336"/>
      <c r="BI94" s="336"/>
      <c r="BJ94" s="336"/>
      <c r="BK94" s="336"/>
      <c r="BL94" s="349"/>
      <c r="BM94" s="336"/>
      <c r="BN94" s="336"/>
      <c r="BO94" s="352"/>
      <c r="BP94" s="273"/>
      <c r="BQ94" s="387"/>
      <c r="BR94" s="387"/>
      <c r="BS94" s="387"/>
      <c r="BT94" s="387"/>
      <c r="BU94" s="387"/>
      <c r="BV94" s="387"/>
      <c r="BW94" s="387"/>
      <c r="BX94" s="387"/>
    </row>
    <row r="95" spans="41:77" ht="186" customHeight="1" thickTop="1">
      <c r="AR95" s="964" t="s">
        <v>22</v>
      </c>
      <c r="AS95" s="965"/>
      <c r="AT95" s="965"/>
      <c r="AU95" s="965"/>
      <c r="AV95" s="966"/>
      <c r="AW95" s="353"/>
      <c r="BL95" s="354"/>
      <c r="BP95" s="273"/>
      <c r="BQ95" s="387"/>
      <c r="BR95" s="387"/>
      <c r="BS95" s="387"/>
      <c r="BT95" s="387"/>
      <c r="BU95" s="387"/>
      <c r="BV95" s="387"/>
      <c r="BW95" s="387"/>
      <c r="BX95" s="387"/>
    </row>
    <row r="96" spans="41:77" ht="186" customHeight="1" thickBot="1">
      <c r="AR96" s="967"/>
      <c r="AS96" s="968"/>
      <c r="AT96" s="968"/>
      <c r="AU96" s="968"/>
      <c r="AV96" s="969"/>
      <c r="BP96" s="273"/>
      <c r="BQ96" s="387"/>
      <c r="BR96" s="387"/>
      <c r="BS96" s="387"/>
      <c r="BT96" s="387"/>
      <c r="BU96" s="387"/>
      <c r="BV96" s="387"/>
      <c r="BW96" s="387"/>
      <c r="BX96" s="387"/>
    </row>
    <row r="97" ht="186" customHeight="1" thickTop="1"/>
  </sheetData>
  <mergeCells count="549">
    <mergeCell ref="BM90:BO90"/>
    <mergeCell ref="BN91:BO91"/>
    <mergeCell ref="BN92:BO92"/>
    <mergeCell ref="BN93:BO93"/>
    <mergeCell ref="BQ81:BQ83"/>
    <mergeCell ref="BR81:BR83"/>
    <mergeCell ref="BS81:BS83"/>
    <mergeCell ref="BT81:BT83"/>
    <mergeCell ref="BU81:BU83"/>
    <mergeCell ref="BT87:BT89"/>
    <mergeCell ref="BU87:BU89"/>
    <mergeCell ref="BQ90:BQ92"/>
    <mergeCell ref="BR90:BR92"/>
    <mergeCell ref="BS90:BS92"/>
    <mergeCell ref="BT90:BT92"/>
    <mergeCell ref="BU90:BU92"/>
    <mergeCell ref="BN84:BO84"/>
    <mergeCell ref="BL84:BM84"/>
    <mergeCell ref="BO81:BO83"/>
    <mergeCell ref="BV81:BV83"/>
    <mergeCell ref="BW81:BW83"/>
    <mergeCell ref="BX81:BX83"/>
    <mergeCell ref="BQ47:BQ49"/>
    <mergeCell ref="BR47:BR49"/>
    <mergeCell ref="BX47:BX49"/>
    <mergeCell ref="BW47:BW49"/>
    <mergeCell ref="BV47:BV49"/>
    <mergeCell ref="BX78:BX80"/>
    <mergeCell ref="BW78:BW80"/>
    <mergeCell ref="BV78:BV80"/>
    <mergeCell ref="BU78:BU80"/>
    <mergeCell ref="BT78:BT80"/>
    <mergeCell ref="BS78:BS80"/>
    <mergeCell ref="BR78:BR80"/>
    <mergeCell ref="BQ78:BQ80"/>
    <mergeCell ref="BQ75:BQ77"/>
    <mergeCell ref="BR75:BR77"/>
    <mergeCell ref="BS75:BS77"/>
    <mergeCell ref="BV75:BV77"/>
    <mergeCell ref="BW75:BW77"/>
    <mergeCell ref="BX75:BX77"/>
    <mergeCell ref="BU69:BU71"/>
    <mergeCell ref="BV69:BV71"/>
    <mergeCell ref="BK29:BK31"/>
    <mergeCell ref="BL29:BL31"/>
    <mergeCell ref="BM29:BM31"/>
    <mergeCell ref="BN29:BN31"/>
    <mergeCell ref="BH32:BH34"/>
    <mergeCell ref="BI32:BI34"/>
    <mergeCell ref="BJ32:BJ34"/>
    <mergeCell ref="BK32:BK34"/>
    <mergeCell ref="BH35:BH37"/>
    <mergeCell ref="BL32:BL34"/>
    <mergeCell ref="BI35:BI37"/>
    <mergeCell ref="BJ35:BJ37"/>
    <mergeCell ref="BK35:BK37"/>
    <mergeCell ref="AY81:AY83"/>
    <mergeCell ref="AZ81:AZ83"/>
    <mergeCell ref="BC75:BC77"/>
    <mergeCell ref="BD75:BD77"/>
    <mergeCell ref="BC78:BC80"/>
    <mergeCell ref="BD78:BD80"/>
    <mergeCell ref="BC81:BC83"/>
    <mergeCell ref="BD81:BD83"/>
    <mergeCell ref="BA75:BA77"/>
    <mergeCell ref="BB75:BB77"/>
    <mergeCell ref="BA78:BA80"/>
    <mergeCell ref="BB78:BB80"/>
    <mergeCell ref="BA81:BA83"/>
    <mergeCell ref="BB81:BB83"/>
    <mergeCell ref="AY75:AY77"/>
    <mergeCell ref="AZ75:AZ77"/>
    <mergeCell ref="AY78:AY80"/>
    <mergeCell ref="AZ78:AZ80"/>
    <mergeCell ref="BM75:BM77"/>
    <mergeCell ref="BL78:BL80"/>
    <mergeCell ref="BM78:BM80"/>
    <mergeCell ref="BL81:BL83"/>
    <mergeCell ref="BM81:BM83"/>
    <mergeCell ref="BE75:BE77"/>
    <mergeCell ref="BF75:BF77"/>
    <mergeCell ref="BE78:BE80"/>
    <mergeCell ref="BF78:BF80"/>
    <mergeCell ref="BE81:BE83"/>
    <mergeCell ref="BF81:BF83"/>
    <mergeCell ref="BJ78:BJ80"/>
    <mergeCell ref="BK78:BK80"/>
    <mergeCell ref="BJ75:BJ77"/>
    <mergeCell ref="BK75:BK77"/>
    <mergeCell ref="BK81:BK83"/>
    <mergeCell ref="BH75:BH77"/>
    <mergeCell ref="BI75:BI77"/>
    <mergeCell ref="BH78:BH80"/>
    <mergeCell ref="BI78:BI80"/>
    <mergeCell ref="BH81:BH83"/>
    <mergeCell ref="BI81:BI83"/>
    <mergeCell ref="BO78:BO80"/>
    <mergeCell ref="BO75:BO77"/>
    <mergeCell ref="BJ81:BJ83"/>
    <mergeCell ref="BT75:BT77"/>
    <mergeCell ref="BU75:BU77"/>
    <mergeCell ref="BH69:BH71"/>
    <mergeCell ref="BI69:BI71"/>
    <mergeCell ref="BJ69:BJ71"/>
    <mergeCell ref="BK69:BK71"/>
    <mergeCell ref="BL69:BL71"/>
    <mergeCell ref="BM69:BM71"/>
    <mergeCell ref="BN69:BN71"/>
    <mergeCell ref="BO69:BO71"/>
    <mergeCell ref="BM72:BM74"/>
    <mergeCell ref="BN72:BN74"/>
    <mergeCell ref="BH72:BH74"/>
    <mergeCell ref="BI72:BI74"/>
    <mergeCell ref="BJ72:BJ74"/>
    <mergeCell ref="BK72:BK74"/>
    <mergeCell ref="BL72:BL74"/>
    <mergeCell ref="BN75:BN77"/>
    <mergeCell ref="BN78:BN80"/>
    <mergeCell ref="BN81:BN83"/>
    <mergeCell ref="BL75:BL77"/>
    <mergeCell ref="BM63:BM65"/>
    <mergeCell ref="BN63:BN65"/>
    <mergeCell ref="BO63:BO65"/>
    <mergeCell ref="BJ63:BJ65"/>
    <mergeCell ref="BO72:BO74"/>
    <mergeCell ref="BI66:BI68"/>
    <mergeCell ref="BK66:BK68"/>
    <mergeCell ref="BL66:BL68"/>
    <mergeCell ref="BM66:BM68"/>
    <mergeCell ref="BN66:BN68"/>
    <mergeCell ref="BO66:BO68"/>
    <mergeCell ref="BJ66:BJ68"/>
    <mergeCell ref="BV90:BV92"/>
    <mergeCell ref="BW90:BW92"/>
    <mergeCell ref="BX90:BX92"/>
    <mergeCell ref="BQ84:BQ86"/>
    <mergeCell ref="BR84:BR86"/>
    <mergeCell ref="BS84:BS86"/>
    <mergeCell ref="BT84:BT86"/>
    <mergeCell ref="BU84:BU86"/>
    <mergeCell ref="BV84:BV86"/>
    <mergeCell ref="BW84:BW86"/>
    <mergeCell ref="BX84:BX86"/>
    <mergeCell ref="BQ87:BQ89"/>
    <mergeCell ref="BR87:BR89"/>
    <mergeCell ref="BS87:BS89"/>
    <mergeCell ref="BV87:BV89"/>
    <mergeCell ref="BW87:BW89"/>
    <mergeCell ref="BX87:BX89"/>
    <mergeCell ref="BW69:BW71"/>
    <mergeCell ref="BX69:BX71"/>
    <mergeCell ref="BQ72:BQ74"/>
    <mergeCell ref="BR72:BR74"/>
    <mergeCell ref="BS72:BS74"/>
    <mergeCell ref="BT72:BT74"/>
    <mergeCell ref="BU72:BU74"/>
    <mergeCell ref="BV72:BV74"/>
    <mergeCell ref="BW72:BW74"/>
    <mergeCell ref="BX72:BX74"/>
    <mergeCell ref="BS69:BS71"/>
    <mergeCell ref="BT69:BT71"/>
    <mergeCell ref="BQ57:BQ59"/>
    <mergeCell ref="BR57:BR59"/>
    <mergeCell ref="BS57:BS59"/>
    <mergeCell ref="BT57:BT59"/>
    <mergeCell ref="BU57:BU59"/>
    <mergeCell ref="BV57:BV59"/>
    <mergeCell ref="BW57:BW59"/>
    <mergeCell ref="BX57:BX59"/>
    <mergeCell ref="BX66:BX68"/>
    <mergeCell ref="BS51:BS53"/>
    <mergeCell ref="BT51:BT53"/>
    <mergeCell ref="BU51:BU53"/>
    <mergeCell ref="BV51:BV53"/>
    <mergeCell ref="BW51:BW53"/>
    <mergeCell ref="BX51:BX53"/>
    <mergeCell ref="BQ54:BQ56"/>
    <mergeCell ref="BR54:BR56"/>
    <mergeCell ref="BS54:BS56"/>
    <mergeCell ref="BT54:BT56"/>
    <mergeCell ref="BU54:BU56"/>
    <mergeCell ref="BV54:BV56"/>
    <mergeCell ref="BW54:BW56"/>
    <mergeCell ref="BX54:BX56"/>
    <mergeCell ref="BQ51:BQ53"/>
    <mergeCell ref="BR51:BR53"/>
    <mergeCell ref="BT47:BT49"/>
    <mergeCell ref="BS47:BS49"/>
    <mergeCell ref="BS44:BS46"/>
    <mergeCell ref="BS38:BS40"/>
    <mergeCell ref="BT38:BT40"/>
    <mergeCell ref="BV38:BV40"/>
    <mergeCell ref="BW38:BW40"/>
    <mergeCell ref="BX38:BX40"/>
    <mergeCell ref="BX41:BX43"/>
    <mergeCell ref="BT44:BT46"/>
    <mergeCell ref="BV44:BV46"/>
    <mergeCell ref="BW44:BW46"/>
    <mergeCell ref="BX44:BX46"/>
    <mergeCell ref="BU41:BU43"/>
    <mergeCell ref="BU44:BU46"/>
    <mergeCell ref="BU38:BU40"/>
    <mergeCell ref="BU47:BU49"/>
    <mergeCell ref="BX32:BX34"/>
    <mergeCell ref="BQ35:BQ37"/>
    <mergeCell ref="BR35:BR37"/>
    <mergeCell ref="BS35:BS37"/>
    <mergeCell ref="BT35:BT37"/>
    <mergeCell ref="BV35:BV37"/>
    <mergeCell ref="BW35:BW37"/>
    <mergeCell ref="BX35:BX37"/>
    <mergeCell ref="BW26:BW28"/>
    <mergeCell ref="BX26:BX28"/>
    <mergeCell ref="BQ29:BQ31"/>
    <mergeCell ref="BR29:BR31"/>
    <mergeCell ref="BS29:BS31"/>
    <mergeCell ref="BT29:BT31"/>
    <mergeCell ref="BV29:BV31"/>
    <mergeCell ref="BW29:BW31"/>
    <mergeCell ref="BX29:BX31"/>
    <mergeCell ref="BU26:BU28"/>
    <mergeCell ref="BU29:BU31"/>
    <mergeCell ref="BU32:BU34"/>
    <mergeCell ref="BU35:BU37"/>
    <mergeCell ref="BS26:BS28"/>
    <mergeCell ref="BT26:BT28"/>
    <mergeCell ref="BV26:BV28"/>
    <mergeCell ref="BX20:BX22"/>
    <mergeCell ref="BQ23:BQ25"/>
    <mergeCell ref="BR23:BR25"/>
    <mergeCell ref="BS23:BS25"/>
    <mergeCell ref="BT23:BT25"/>
    <mergeCell ref="BV23:BV25"/>
    <mergeCell ref="BW23:BW25"/>
    <mergeCell ref="BX23:BX25"/>
    <mergeCell ref="BU20:BU22"/>
    <mergeCell ref="BU23:BU25"/>
    <mergeCell ref="BQ20:BQ22"/>
    <mergeCell ref="BR20:BR22"/>
    <mergeCell ref="BS20:BS22"/>
    <mergeCell ref="BT20:BT22"/>
    <mergeCell ref="BV20:BV22"/>
    <mergeCell ref="BW20:BW22"/>
    <mergeCell ref="BX17:BX19"/>
    <mergeCell ref="BU17:BU19"/>
    <mergeCell ref="BX14:BX16"/>
    <mergeCell ref="BX11:BX13"/>
    <mergeCell ref="BQ14:BQ16"/>
    <mergeCell ref="BQ11:BQ13"/>
    <mergeCell ref="BR11:BR13"/>
    <mergeCell ref="BR14:BR16"/>
    <mergeCell ref="BS11:BS13"/>
    <mergeCell ref="BS14:BS16"/>
    <mergeCell ref="BT11:BT13"/>
    <mergeCell ref="BT14:BT16"/>
    <mergeCell ref="BV11:BV13"/>
    <mergeCell ref="BV14:BV16"/>
    <mergeCell ref="BW11:BW13"/>
    <mergeCell ref="BW14:BW16"/>
    <mergeCell ref="BU11:BU13"/>
    <mergeCell ref="BU14:BU16"/>
    <mergeCell ref="BQ17:BQ19"/>
    <mergeCell ref="BR17:BR19"/>
    <mergeCell ref="BS17:BS19"/>
    <mergeCell ref="BV17:BV19"/>
    <mergeCell ref="BW17:BW19"/>
    <mergeCell ref="BT17:BT19"/>
    <mergeCell ref="BH26:BH28"/>
    <mergeCell ref="BI26:BI28"/>
    <mergeCell ref="BJ26:BJ28"/>
    <mergeCell ref="BQ41:BQ43"/>
    <mergeCell ref="BR41:BR43"/>
    <mergeCell ref="BS41:BS43"/>
    <mergeCell ref="BT41:BT43"/>
    <mergeCell ref="BV41:BV43"/>
    <mergeCell ref="BW41:BW43"/>
    <mergeCell ref="BS32:BS34"/>
    <mergeCell ref="BT32:BT34"/>
    <mergeCell ref="BV32:BV34"/>
    <mergeCell ref="BW32:BW34"/>
    <mergeCell ref="BK26:BK28"/>
    <mergeCell ref="BL26:BL28"/>
    <mergeCell ref="BM26:BM28"/>
    <mergeCell ref="BN26:BN28"/>
    <mergeCell ref="BN35:BN37"/>
    <mergeCell ref="BO29:BO31"/>
    <mergeCell ref="BO35:BO37"/>
    <mergeCell ref="BO32:BO34"/>
    <mergeCell ref="BH29:BH31"/>
    <mergeCell ref="BI29:BI31"/>
    <mergeCell ref="BJ29:BJ31"/>
    <mergeCell ref="BQ26:BQ28"/>
    <mergeCell ref="BR26:BR28"/>
    <mergeCell ref="BQ32:BQ34"/>
    <mergeCell ref="BR32:BR34"/>
    <mergeCell ref="BQ38:BQ40"/>
    <mergeCell ref="BR38:BR40"/>
    <mergeCell ref="BQ44:BQ46"/>
    <mergeCell ref="BR44:BR46"/>
    <mergeCell ref="BM38:BM40"/>
    <mergeCell ref="BN38:BN40"/>
    <mergeCell ref="BO38:BO40"/>
    <mergeCell ref="BM35:BM37"/>
    <mergeCell ref="BM32:BM34"/>
    <mergeCell ref="BN32:BN34"/>
    <mergeCell ref="BO26:BO28"/>
    <mergeCell ref="BM44:BM46"/>
    <mergeCell ref="BN44:BN46"/>
    <mergeCell ref="BO44:BO46"/>
    <mergeCell ref="BN41:BN43"/>
    <mergeCell ref="BO41:BO43"/>
    <mergeCell ref="BM41:BM43"/>
    <mergeCell ref="BK41:BK43"/>
    <mergeCell ref="BL41:BL43"/>
    <mergeCell ref="AP44:AP45"/>
    <mergeCell ref="AQ44:AQ45"/>
    <mergeCell ref="AR44:AR45"/>
    <mergeCell ref="AS44:AS45"/>
    <mergeCell ref="AT44:AT45"/>
    <mergeCell ref="AU44:AU45"/>
    <mergeCell ref="BL44:BL46"/>
    <mergeCell ref="AP35:AP36"/>
    <mergeCell ref="AP33:AP34"/>
    <mergeCell ref="BF1:BF2"/>
    <mergeCell ref="AP10:AW10"/>
    <mergeCell ref="AV44:AV45"/>
    <mergeCell ref="AP37:AP38"/>
    <mergeCell ref="AP42:AP43"/>
    <mergeCell ref="AQ42:AQ43"/>
    <mergeCell ref="AR42:AR43"/>
    <mergeCell ref="AS42:AS43"/>
    <mergeCell ref="AT42:AT43"/>
    <mergeCell ref="AU42:AU43"/>
    <mergeCell ref="AV42:AV43"/>
    <mergeCell ref="AP40:AP41"/>
    <mergeCell ref="AR95:AV96"/>
    <mergeCell ref="AS93:AS94"/>
    <mergeCell ref="AT93:AT94"/>
    <mergeCell ref="AU93:AU94"/>
    <mergeCell ref="AR72:AT72"/>
    <mergeCell ref="AP75:AP76"/>
    <mergeCell ref="BY63:BY64"/>
    <mergeCell ref="BQ63:BQ65"/>
    <mergeCell ref="BR63:BR65"/>
    <mergeCell ref="BS63:BS65"/>
    <mergeCell ref="BT63:BT65"/>
    <mergeCell ref="BU63:BU65"/>
    <mergeCell ref="BV63:BV65"/>
    <mergeCell ref="BW63:BW65"/>
    <mergeCell ref="BX63:BX65"/>
    <mergeCell ref="BQ66:BQ68"/>
    <mergeCell ref="BR66:BR68"/>
    <mergeCell ref="BS66:BS68"/>
    <mergeCell ref="BT66:BT68"/>
    <mergeCell ref="BU66:BU68"/>
    <mergeCell ref="BV66:BV68"/>
    <mergeCell ref="BW66:BW68"/>
    <mergeCell ref="BQ69:BQ71"/>
    <mergeCell ref="BR69:BR71"/>
    <mergeCell ref="AX85:BA87"/>
    <mergeCell ref="BI87:BJ90"/>
    <mergeCell ref="AX88:BA90"/>
    <mergeCell ref="AP89:AQ89"/>
    <mergeCell ref="AP90:AQ90"/>
    <mergeCell ref="AP91:AQ91"/>
    <mergeCell ref="BE91:BE92"/>
    <mergeCell ref="AP92:AQ92"/>
    <mergeCell ref="AV93:AV94"/>
    <mergeCell ref="AX93:BC94"/>
    <mergeCell ref="BF93:BF94"/>
    <mergeCell ref="BG93:BG94"/>
    <mergeCell ref="BB51:BB53"/>
    <mergeCell ref="BC51:BC53"/>
    <mergeCell ref="BD51:BD53"/>
    <mergeCell ref="BE51:BE53"/>
    <mergeCell ref="AY54:AY56"/>
    <mergeCell ref="AZ54:AZ56"/>
    <mergeCell ref="BA54:BA56"/>
    <mergeCell ref="BB54:BB56"/>
    <mergeCell ref="BC54:BC56"/>
    <mergeCell ref="BD54:BD56"/>
    <mergeCell ref="BE54:BE56"/>
    <mergeCell ref="AY51:AY53"/>
    <mergeCell ref="AZ51:AZ53"/>
    <mergeCell ref="BA51:BA53"/>
    <mergeCell ref="BA57:BA59"/>
    <mergeCell ref="BB57:BB59"/>
    <mergeCell ref="BC57:BC59"/>
    <mergeCell ref="BD57:BD59"/>
    <mergeCell ref="BE57:BE59"/>
    <mergeCell ref="AY60:AY62"/>
    <mergeCell ref="AZ60:AZ62"/>
    <mergeCell ref="BA60:BA62"/>
    <mergeCell ref="BB60:BB62"/>
    <mergeCell ref="BC60:BC62"/>
    <mergeCell ref="BD60:BD62"/>
    <mergeCell ref="BE60:BE62"/>
    <mergeCell ref="AY57:AY59"/>
    <mergeCell ref="AZ57:AZ59"/>
    <mergeCell ref="AY63:AY65"/>
    <mergeCell ref="AZ63:AZ65"/>
    <mergeCell ref="BA63:BA65"/>
    <mergeCell ref="BB63:BB65"/>
    <mergeCell ref="BC63:BC65"/>
    <mergeCell ref="BD63:BD65"/>
    <mergeCell ref="BE63:BE65"/>
    <mergeCell ref="AY66:AY68"/>
    <mergeCell ref="AZ66:AZ68"/>
    <mergeCell ref="BA66:BA68"/>
    <mergeCell ref="BB66:BB68"/>
    <mergeCell ref="BC66:BC68"/>
    <mergeCell ref="BD66:BD68"/>
    <mergeCell ref="BE66:BE68"/>
    <mergeCell ref="BF69:BF71"/>
    <mergeCell ref="BF72:BF74"/>
    <mergeCell ref="AY69:AY71"/>
    <mergeCell ref="AZ69:AZ71"/>
    <mergeCell ref="BA69:BA71"/>
    <mergeCell ref="BB69:BB71"/>
    <mergeCell ref="BC69:BC71"/>
    <mergeCell ref="BD69:BD71"/>
    <mergeCell ref="BE69:BE71"/>
    <mergeCell ref="AY72:AY74"/>
    <mergeCell ref="AZ72:AZ74"/>
    <mergeCell ref="BA72:BA74"/>
    <mergeCell ref="BB72:BB74"/>
    <mergeCell ref="BC72:BC74"/>
    <mergeCell ref="BD72:BD74"/>
    <mergeCell ref="BE72:BE74"/>
    <mergeCell ref="BK60:BK62"/>
    <mergeCell ref="BL60:BL62"/>
    <mergeCell ref="BF57:BF59"/>
    <mergeCell ref="BH63:BH65"/>
    <mergeCell ref="BF60:BF62"/>
    <mergeCell ref="BI54:BI56"/>
    <mergeCell ref="BJ54:BJ56"/>
    <mergeCell ref="BK54:BK56"/>
    <mergeCell ref="BL54:BL56"/>
    <mergeCell ref="BF54:BF56"/>
    <mergeCell ref="BK57:BK59"/>
    <mergeCell ref="BL57:BL59"/>
    <mergeCell ref="BI63:BI65"/>
    <mergeCell ref="BK63:BK65"/>
    <mergeCell ref="BL63:BL65"/>
    <mergeCell ref="BH47:BH49"/>
    <mergeCell ref="BJ47:BJ49"/>
    <mergeCell ref="BI47:BI49"/>
    <mergeCell ref="BF63:BF65"/>
    <mergeCell ref="BF66:BF68"/>
    <mergeCell ref="BH66:BH68"/>
    <mergeCell ref="BF51:BF53"/>
    <mergeCell ref="BH60:BH62"/>
    <mergeCell ref="BI60:BI62"/>
    <mergeCell ref="BJ60:BJ62"/>
    <mergeCell ref="BH57:BH59"/>
    <mergeCell ref="BI57:BI59"/>
    <mergeCell ref="BJ57:BJ59"/>
    <mergeCell ref="BM57:BM59"/>
    <mergeCell ref="BI51:BI53"/>
    <mergeCell ref="BJ51:BJ53"/>
    <mergeCell ref="BK51:BK53"/>
    <mergeCell ref="BL51:BL53"/>
    <mergeCell ref="BM51:BM53"/>
    <mergeCell ref="BH54:BH56"/>
    <mergeCell ref="BH51:BH53"/>
    <mergeCell ref="BM54:BM56"/>
    <mergeCell ref="BK47:BK49"/>
    <mergeCell ref="BH50:BX50"/>
    <mergeCell ref="BN54:BN56"/>
    <mergeCell ref="BO54:BO56"/>
    <mergeCell ref="BO51:BO53"/>
    <mergeCell ref="BH41:BH43"/>
    <mergeCell ref="BI41:BI43"/>
    <mergeCell ref="BJ41:BJ43"/>
    <mergeCell ref="BY61:BY62"/>
    <mergeCell ref="BX60:BX62"/>
    <mergeCell ref="BW60:BW62"/>
    <mergeCell ref="BV60:BV62"/>
    <mergeCell ref="BU60:BU62"/>
    <mergeCell ref="BT60:BT62"/>
    <mergeCell ref="BS60:BS62"/>
    <mergeCell ref="BR60:BR62"/>
    <mergeCell ref="BQ60:BQ62"/>
    <mergeCell ref="BN57:BN59"/>
    <mergeCell ref="BO57:BO59"/>
    <mergeCell ref="BN51:BN53"/>
    <mergeCell ref="BO47:BO49"/>
    <mergeCell ref="BN47:BN49"/>
    <mergeCell ref="BM47:BM49"/>
    <mergeCell ref="BL47:BL49"/>
    <mergeCell ref="BH17:BH19"/>
    <mergeCell ref="BI17:BI19"/>
    <mergeCell ref="BJ17:BJ19"/>
    <mergeCell ref="BK17:BK19"/>
    <mergeCell ref="BL17:BL19"/>
    <mergeCell ref="BM17:BM19"/>
    <mergeCell ref="BN11:BN13"/>
    <mergeCell ref="BO11:BO13"/>
    <mergeCell ref="BH14:BH16"/>
    <mergeCell ref="BI14:BI16"/>
    <mergeCell ref="BJ14:BJ16"/>
    <mergeCell ref="BK14:BK16"/>
    <mergeCell ref="BL14:BL16"/>
    <mergeCell ref="BM14:BM16"/>
    <mergeCell ref="BN14:BN16"/>
    <mergeCell ref="BH11:BH13"/>
    <mergeCell ref="BI11:BI13"/>
    <mergeCell ref="BJ11:BJ13"/>
    <mergeCell ref="BK11:BK13"/>
    <mergeCell ref="BL11:BL13"/>
    <mergeCell ref="BM11:BM13"/>
    <mergeCell ref="BO23:BO25"/>
    <mergeCell ref="BN23:BN25"/>
    <mergeCell ref="BM23:BM25"/>
    <mergeCell ref="BL23:BL25"/>
    <mergeCell ref="BK23:BK25"/>
    <mergeCell ref="BI23:BI25"/>
    <mergeCell ref="BH23:BH25"/>
    <mergeCell ref="BH20:BH22"/>
    <mergeCell ref="BI20:BI22"/>
    <mergeCell ref="BJ20:BJ22"/>
    <mergeCell ref="BK20:BK22"/>
    <mergeCell ref="BL20:BL22"/>
    <mergeCell ref="BM20:BM22"/>
    <mergeCell ref="BN20:BN22"/>
    <mergeCell ref="BR5:BT5"/>
    <mergeCell ref="BS6:BT6"/>
    <mergeCell ref="BS7:BT7"/>
    <mergeCell ref="BS8:BT8"/>
    <mergeCell ref="BN60:BN62"/>
    <mergeCell ref="BM60:BM62"/>
    <mergeCell ref="BO60:BO62"/>
    <mergeCell ref="BO14:BO16"/>
    <mergeCell ref="BQ10:BX10"/>
    <mergeCell ref="BH10:BO10"/>
    <mergeCell ref="BH38:BH40"/>
    <mergeCell ref="BI38:BI40"/>
    <mergeCell ref="BJ38:BJ40"/>
    <mergeCell ref="BK38:BK40"/>
    <mergeCell ref="BL38:BL40"/>
    <mergeCell ref="BJ23:BJ25"/>
    <mergeCell ref="BO20:BO22"/>
    <mergeCell ref="BL35:BL37"/>
    <mergeCell ref="BH44:BH46"/>
    <mergeCell ref="BI44:BI46"/>
    <mergeCell ref="BJ44:BJ46"/>
    <mergeCell ref="BK44:BK46"/>
    <mergeCell ref="BN17:BN19"/>
    <mergeCell ref="BO17:BO19"/>
  </mergeCells>
  <phoneticPr fontId="35" type="noConversion"/>
  <printOptions horizontalCentered="1" verticalCentered="1"/>
  <pageMargins left="0.23622047244094491" right="0.23622047244094491" top="0" bottom="0" header="0.31496062992125984" footer="0.31496062992125984"/>
  <pageSetup paperSize="8" scale="10" fitToWidth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  <pageSetUpPr fitToPage="1"/>
  </sheetPr>
  <dimension ref="A1:CH99"/>
  <sheetViews>
    <sheetView showGridLines="0" tabSelected="1" topLeftCell="AY55" zoomScale="10" zoomScaleNormal="10" zoomScaleSheetLayoutView="10" zoomScalePageLayoutView="10" workbookViewId="0">
      <selection activeCell="CH63" sqref="CH63"/>
    </sheetView>
  </sheetViews>
  <sheetFormatPr defaultColWidth="26.125" defaultRowHeight="186" customHeight="1"/>
  <cols>
    <col min="1" max="6" width="28.625" style="412" hidden="1" customWidth="1"/>
    <col min="7" max="7" width="28.625" style="411" hidden="1" customWidth="1"/>
    <col min="8" max="10" width="28.625" style="412" hidden="1" customWidth="1"/>
    <col min="11" max="11" width="28.625" style="411" hidden="1" customWidth="1"/>
    <col min="12" max="13" width="28.625" style="412" hidden="1" customWidth="1"/>
    <col min="14" max="16" width="22.625" style="412" hidden="1" customWidth="1"/>
    <col min="17" max="26" width="30.125" style="412" hidden="1" customWidth="1"/>
    <col min="27" max="27" width="30.125" style="605" customWidth="1"/>
    <col min="28" max="28" width="30.125" style="543" customWidth="1"/>
    <col min="29" max="29" width="29.875" style="412" customWidth="1"/>
    <col min="30" max="30" width="27" style="412" customWidth="1"/>
    <col min="31" max="31" width="29.125" style="412" customWidth="1"/>
    <col min="32" max="32" width="26.75" style="412" customWidth="1"/>
    <col min="33" max="33" width="29.25" style="412" customWidth="1"/>
    <col min="34" max="34" width="32.125" style="412" customWidth="1"/>
    <col min="35" max="36" width="33.125" style="412" customWidth="1"/>
    <col min="37" max="53" width="35.75" style="412" customWidth="1"/>
    <col min="54" max="55" width="37.625" style="427" customWidth="1"/>
    <col min="56" max="56" width="35.75" style="427" customWidth="1"/>
    <col min="57" max="65" width="38.125" style="427" customWidth="1"/>
    <col min="66" max="66" width="35.75" style="427" customWidth="1"/>
    <col min="67" max="74" width="38.125" style="427" customWidth="1"/>
    <col min="75" max="75" width="35.75" style="412" customWidth="1"/>
    <col min="76" max="16384" width="26.125" style="412"/>
  </cols>
  <sheetData>
    <row r="1" spans="1:76" ht="186" customHeight="1" thickBot="1">
      <c r="A1" s="407" t="s">
        <v>361</v>
      </c>
      <c r="B1" s="408"/>
      <c r="C1" s="408"/>
      <c r="D1" s="408"/>
      <c r="E1" s="1141"/>
      <c r="F1" s="1142"/>
      <c r="G1" s="1141"/>
      <c r="H1" s="1145"/>
      <c r="I1" s="1142"/>
      <c r="J1" s="1141"/>
      <c r="K1" s="1145"/>
      <c r="L1" s="1145"/>
      <c r="M1" s="1145"/>
      <c r="N1" s="1145"/>
      <c r="O1" s="1145"/>
      <c r="P1" s="1142"/>
      <c r="Q1" s="409"/>
      <c r="R1" s="1147"/>
      <c r="S1" s="1079"/>
      <c r="T1" s="1148" t="s">
        <v>362</v>
      </c>
      <c r="U1" s="1149"/>
      <c r="V1" s="1149"/>
      <c r="W1" s="1149"/>
      <c r="X1" s="1149"/>
      <c r="Y1" s="1149"/>
      <c r="Z1" s="1149"/>
      <c r="AA1" s="1150"/>
      <c r="AB1" s="410"/>
      <c r="AC1" s="411"/>
      <c r="AI1" s="413"/>
      <c r="AJ1" s="414"/>
      <c r="AK1" s="415"/>
      <c r="AL1" s="416"/>
      <c r="AM1" s="417"/>
      <c r="AN1" s="418"/>
      <c r="AO1" s="419"/>
      <c r="AP1" s="420"/>
      <c r="AQ1" s="420"/>
      <c r="AR1" s="421"/>
      <c r="AS1" s="420"/>
      <c r="AT1" s="422"/>
      <c r="AU1" s="422"/>
      <c r="AV1" s="422"/>
      <c r="AW1" s="422"/>
      <c r="AX1" s="422"/>
      <c r="AY1" s="422"/>
      <c r="AZ1" s="422"/>
      <c r="BA1" s="422"/>
      <c r="BB1" s="1154" t="s">
        <v>45</v>
      </c>
      <c r="BC1" s="423"/>
      <c r="BD1" s="423"/>
      <c r="BE1" s="424"/>
      <c r="BF1" s="425" t="s">
        <v>46</v>
      </c>
      <c r="BG1" s="426"/>
      <c r="BH1" s="423"/>
      <c r="BI1" s="423"/>
      <c r="BJ1" s="424"/>
    </row>
    <row r="2" spans="1:76" ht="186" customHeight="1" thickBot="1">
      <c r="A2" s="428"/>
      <c r="B2" s="429"/>
      <c r="C2" s="429"/>
      <c r="D2" s="429"/>
      <c r="E2" s="1143"/>
      <c r="F2" s="1144"/>
      <c r="G2" s="1143"/>
      <c r="H2" s="1146"/>
      <c r="I2" s="1144"/>
      <c r="J2" s="1143"/>
      <c r="K2" s="1146"/>
      <c r="L2" s="1146"/>
      <c r="M2" s="1146"/>
      <c r="N2" s="1146"/>
      <c r="O2" s="1146"/>
      <c r="P2" s="1144"/>
      <c r="Q2" s="409"/>
      <c r="R2" s="1079"/>
      <c r="S2" s="1079"/>
      <c r="T2" s="1151"/>
      <c r="U2" s="1152"/>
      <c r="V2" s="1152"/>
      <c r="W2" s="1152"/>
      <c r="X2" s="1152"/>
      <c r="Y2" s="1152"/>
      <c r="Z2" s="1152"/>
      <c r="AA2" s="1153"/>
      <c r="AB2" s="430"/>
      <c r="AC2" s="411"/>
      <c r="AI2" s="1156" t="s">
        <v>363</v>
      </c>
      <c r="AJ2" s="431"/>
      <c r="AK2" s="432"/>
      <c r="AL2" s="432"/>
      <c r="AM2" s="433"/>
      <c r="AN2" s="434"/>
      <c r="AO2" s="435"/>
      <c r="AP2" s="436"/>
      <c r="AQ2" s="436"/>
      <c r="AR2" s="437"/>
      <c r="AS2" s="436"/>
      <c r="AT2" s="438"/>
      <c r="AU2" s="438"/>
      <c r="AV2" s="438"/>
      <c r="AW2" s="438"/>
      <c r="AX2" s="438"/>
      <c r="AY2" s="438"/>
      <c r="AZ2" s="438"/>
      <c r="BA2" s="438"/>
      <c r="BB2" s="1155"/>
      <c r="BC2" s="439"/>
      <c r="BD2" s="439"/>
      <c r="BE2" s="440"/>
      <c r="BF2" s="425" t="s">
        <v>46</v>
      </c>
      <c r="BG2" s="441"/>
      <c r="BH2" s="439"/>
      <c r="BI2" s="439"/>
      <c r="BJ2" s="440"/>
      <c r="BN2" s="425" t="s">
        <v>47</v>
      </c>
      <c r="BO2" s="442"/>
      <c r="BP2" s="442"/>
      <c r="BQ2" s="442"/>
      <c r="BR2" s="442"/>
      <c r="BS2" s="442"/>
    </row>
    <row r="3" spans="1:76" ht="186" customHeight="1" thickBot="1">
      <c r="A3" s="443"/>
      <c r="B3" s="444"/>
      <c r="C3" s="445"/>
      <c r="E3" s="446"/>
      <c r="F3" s="446"/>
      <c r="G3" s="446"/>
      <c r="H3" s="446"/>
      <c r="I3" s="446"/>
      <c r="J3" s="446"/>
      <c r="K3" s="446"/>
      <c r="L3" s="446"/>
      <c r="M3" s="446"/>
      <c r="N3" s="446"/>
      <c r="O3" s="411"/>
      <c r="P3" s="411"/>
      <c r="Q3" s="411"/>
      <c r="R3" s="411"/>
      <c r="S3" s="411"/>
      <c r="T3" s="1159" t="s">
        <v>364</v>
      </c>
      <c r="U3" s="1160"/>
      <c r="V3" s="1161"/>
      <c r="W3" s="447"/>
      <c r="X3" s="447"/>
      <c r="Y3" s="1162" t="s">
        <v>364</v>
      </c>
      <c r="Z3" s="1163"/>
      <c r="AA3" s="1163"/>
      <c r="AB3" s="1164"/>
      <c r="AC3" s="448"/>
      <c r="AI3" s="1157"/>
      <c r="AJ3" s="449"/>
      <c r="AK3" s="432"/>
      <c r="AL3" s="432"/>
      <c r="AM3" s="433"/>
      <c r="AP3" s="450"/>
      <c r="AQ3" s="411"/>
      <c r="AT3" s="451"/>
      <c r="AU3" s="451"/>
      <c r="AV3" s="452"/>
      <c r="BF3" s="425" t="s">
        <v>46</v>
      </c>
    </row>
    <row r="4" spans="1:76" ht="186" customHeight="1">
      <c r="A4" s="453"/>
      <c r="B4" s="454" t="s">
        <v>365</v>
      </c>
      <c r="C4" s="455"/>
      <c r="E4" s="446"/>
      <c r="F4" s="446"/>
      <c r="G4" s="446"/>
      <c r="H4" s="446"/>
      <c r="I4" s="446"/>
      <c r="J4" s="446"/>
      <c r="K4" s="446"/>
      <c r="L4" s="446"/>
      <c r="M4" s="446"/>
      <c r="N4" s="446"/>
      <c r="O4" s="411"/>
      <c r="P4" s="411"/>
      <c r="Q4" s="411"/>
      <c r="R4" s="411"/>
      <c r="S4" s="411"/>
      <c r="T4" s="411"/>
      <c r="U4" s="447"/>
      <c r="V4" s="447"/>
      <c r="W4" s="447"/>
      <c r="X4" s="447"/>
      <c r="Y4" s="447"/>
      <c r="Z4" s="447"/>
      <c r="AA4" s="456"/>
      <c r="AB4" s="447"/>
      <c r="AC4" s="448"/>
      <c r="AI4" s="1157"/>
      <c r="AJ4" s="449"/>
      <c r="AK4" s="432"/>
      <c r="AL4" s="432"/>
      <c r="AM4" s="433"/>
      <c r="AP4" s="450"/>
      <c r="AQ4" s="411"/>
      <c r="BN4" s="412"/>
      <c r="BO4" s="412"/>
      <c r="BP4" s="412"/>
      <c r="BQ4" s="412"/>
      <c r="BR4" s="412"/>
      <c r="BS4" s="412"/>
      <c r="BT4" s="412"/>
      <c r="BU4" s="412"/>
      <c r="BV4" s="412"/>
    </row>
    <row r="5" spans="1:76" ht="186" customHeight="1" thickBot="1">
      <c r="A5" s="428"/>
      <c r="B5" s="429"/>
      <c r="C5" s="457"/>
      <c r="E5" s="446"/>
      <c r="F5" s="446"/>
      <c r="G5" s="458"/>
      <c r="H5" s="446"/>
      <c r="I5" s="446"/>
      <c r="J5" s="446"/>
      <c r="K5" s="446"/>
      <c r="L5" s="446"/>
      <c r="M5" s="446"/>
      <c r="N5" s="446"/>
      <c r="O5" s="411"/>
      <c r="P5" s="411"/>
      <c r="Q5" s="411"/>
      <c r="R5" s="411"/>
      <c r="S5" s="411"/>
      <c r="T5" s="411"/>
      <c r="U5" s="447"/>
      <c r="V5" s="447"/>
      <c r="W5" s="447"/>
      <c r="X5" s="447"/>
      <c r="Y5" s="447"/>
      <c r="Z5" s="447"/>
      <c r="AA5" s="456"/>
      <c r="AB5" s="447"/>
      <c r="AC5" s="459"/>
      <c r="AI5" s="1158"/>
      <c r="AJ5" s="460"/>
      <c r="AK5" s="461"/>
      <c r="AL5" s="461"/>
      <c r="AM5" s="462"/>
      <c r="AP5" s="450"/>
      <c r="AQ5" s="411"/>
      <c r="BN5" s="412"/>
      <c r="BO5" s="412"/>
      <c r="BP5" s="412"/>
      <c r="BQ5" s="412"/>
      <c r="BR5" s="412"/>
      <c r="BS5" s="412"/>
      <c r="BT5" s="412"/>
      <c r="BU5" s="412"/>
      <c r="BV5" s="412"/>
    </row>
    <row r="6" spans="1:76" ht="186" customHeight="1">
      <c r="A6" s="407"/>
      <c r="B6" s="463"/>
      <c r="E6" s="446"/>
      <c r="F6" s="446"/>
      <c r="G6" s="458"/>
      <c r="H6" s="446"/>
      <c r="I6" s="446"/>
      <c r="J6" s="446"/>
      <c r="K6" s="446"/>
      <c r="L6" s="446"/>
      <c r="M6" s="446"/>
      <c r="N6" s="446"/>
      <c r="O6" s="411"/>
      <c r="P6" s="411"/>
      <c r="Q6" s="411"/>
      <c r="R6" s="411"/>
      <c r="S6" s="411"/>
      <c r="T6" s="411"/>
      <c r="U6" s="447"/>
      <c r="V6" s="447"/>
      <c r="W6" s="447"/>
      <c r="X6" s="447"/>
      <c r="Y6" s="447"/>
      <c r="Z6" s="447"/>
      <c r="AA6" s="456"/>
      <c r="AB6" s="446"/>
      <c r="AC6" s="459"/>
      <c r="AD6" s="459"/>
      <c r="AE6" s="411"/>
      <c r="AF6" s="464"/>
      <c r="AG6" s="465"/>
      <c r="AH6" s="465"/>
      <c r="AI6" s="466"/>
      <c r="AJ6" s="466"/>
      <c r="AK6" s="466"/>
      <c r="AL6" s="466"/>
      <c r="AM6" s="466"/>
      <c r="AN6" s="450"/>
      <c r="AO6" s="450"/>
      <c r="AP6" s="450"/>
      <c r="AQ6" s="411"/>
      <c r="AT6" s="450"/>
      <c r="AU6" s="450"/>
      <c r="AV6" s="450"/>
      <c r="AW6" s="450"/>
      <c r="AX6" s="450"/>
      <c r="AY6" s="450"/>
      <c r="AZ6" s="450"/>
      <c r="BA6" s="450"/>
      <c r="BN6" s="412"/>
      <c r="BO6" s="412"/>
      <c r="BP6" s="412"/>
      <c r="BQ6" s="412"/>
      <c r="BR6" s="412"/>
      <c r="BS6" s="412"/>
      <c r="BT6" s="412"/>
      <c r="BU6" s="412"/>
      <c r="BV6" s="412"/>
    </row>
    <row r="7" spans="1:76" ht="186" customHeight="1">
      <c r="A7" s="453" t="s">
        <v>365</v>
      </c>
      <c r="B7" s="467"/>
      <c r="E7" s="446"/>
      <c r="F7" s="446"/>
      <c r="G7" s="458"/>
      <c r="H7" s="446"/>
      <c r="I7" s="446"/>
      <c r="J7" s="446"/>
      <c r="K7" s="446"/>
      <c r="L7" s="446"/>
      <c r="M7" s="446"/>
      <c r="N7" s="446"/>
      <c r="O7" s="411"/>
      <c r="P7" s="411"/>
      <c r="Q7" s="411"/>
      <c r="R7" s="411"/>
      <c r="S7" s="411"/>
      <c r="T7" s="411"/>
      <c r="U7" s="447"/>
      <c r="V7" s="447"/>
      <c r="W7" s="447"/>
      <c r="X7" s="447"/>
      <c r="Y7" s="447"/>
      <c r="Z7" s="447"/>
      <c r="AA7" s="456"/>
      <c r="AB7" s="446"/>
      <c r="AC7" s="459"/>
      <c r="AD7" s="459"/>
      <c r="AE7" s="411"/>
      <c r="AF7" s="464"/>
      <c r="AG7" s="465"/>
      <c r="AH7" s="465"/>
      <c r="AI7" s="450"/>
      <c r="AJ7" s="450"/>
      <c r="AK7" s="450"/>
      <c r="AL7" s="450"/>
      <c r="AM7" s="450"/>
      <c r="AN7" s="468"/>
      <c r="AO7" s="468"/>
      <c r="AP7" s="468"/>
      <c r="AQ7" s="468"/>
      <c r="AR7" s="468"/>
      <c r="AS7" s="468"/>
      <c r="AT7" s="450"/>
      <c r="AU7" s="450"/>
      <c r="AV7" s="450"/>
      <c r="AW7" s="450"/>
      <c r="AX7" s="450"/>
      <c r="AY7" s="450"/>
      <c r="AZ7" s="450"/>
      <c r="BA7" s="450"/>
      <c r="BN7" s="412"/>
      <c r="BO7" s="412"/>
      <c r="BP7" s="412"/>
      <c r="BQ7" s="412"/>
      <c r="BR7" s="412"/>
      <c r="BS7" s="412"/>
      <c r="BT7" s="412"/>
      <c r="BU7" s="412"/>
      <c r="BV7" s="412"/>
    </row>
    <row r="8" spans="1:76" s="470" customFormat="1" ht="186" customHeight="1" thickBot="1">
      <c r="A8" s="428"/>
      <c r="B8" s="469"/>
      <c r="C8" s="412"/>
      <c r="D8" s="412"/>
      <c r="E8" s="446"/>
      <c r="F8" s="446"/>
      <c r="G8" s="458"/>
      <c r="H8" s="446"/>
      <c r="I8" s="446"/>
      <c r="J8" s="446"/>
      <c r="K8" s="446"/>
      <c r="L8" s="446"/>
      <c r="M8" s="446"/>
      <c r="N8" s="446"/>
      <c r="O8" s="411"/>
      <c r="P8" s="411"/>
      <c r="Q8" s="411"/>
      <c r="R8" s="411"/>
      <c r="S8" s="411"/>
      <c r="T8" s="411"/>
      <c r="U8" s="447"/>
      <c r="V8" s="447"/>
      <c r="W8" s="447"/>
      <c r="X8" s="447"/>
      <c r="Y8" s="447"/>
      <c r="Z8" s="447"/>
      <c r="AA8" s="456"/>
      <c r="AB8" s="446"/>
      <c r="AC8" s="459"/>
      <c r="AD8" s="459"/>
      <c r="AE8" s="411"/>
      <c r="AF8" s="464"/>
      <c r="AG8" s="465"/>
      <c r="AH8" s="465"/>
      <c r="AI8" s="450"/>
      <c r="AJ8" s="450"/>
      <c r="AK8" s="450"/>
      <c r="AL8" s="450"/>
      <c r="AM8" s="450"/>
      <c r="AN8" s="468"/>
      <c r="AO8" s="468"/>
      <c r="AP8" s="468"/>
      <c r="AQ8" s="468"/>
      <c r="AR8" s="468"/>
      <c r="AS8" s="468"/>
      <c r="AT8" s="450"/>
      <c r="AU8" s="450"/>
      <c r="AV8" s="450"/>
      <c r="AW8" s="450"/>
      <c r="AX8" s="450"/>
      <c r="AY8" s="450"/>
      <c r="AZ8" s="450"/>
      <c r="BA8" s="450"/>
      <c r="BB8" s="427"/>
      <c r="BC8" s="427"/>
      <c r="BD8" s="427"/>
      <c r="BE8" s="427"/>
      <c r="BF8" s="427"/>
      <c r="BG8" s="427"/>
      <c r="BH8" s="427"/>
      <c r="BI8" s="427"/>
      <c r="BJ8" s="427"/>
      <c r="BK8" s="427"/>
      <c r="BL8" s="427"/>
      <c r="BM8" s="427"/>
      <c r="BN8" s="412"/>
      <c r="BO8" s="412"/>
      <c r="BP8" s="412"/>
      <c r="BQ8" s="412"/>
      <c r="BR8" s="412"/>
      <c r="BS8" s="412"/>
      <c r="BT8" s="412"/>
      <c r="BU8" s="412"/>
      <c r="BV8" s="412"/>
    </row>
    <row r="9" spans="1:76" ht="186" customHeight="1" thickBot="1">
      <c r="A9" s="453"/>
      <c r="B9" s="467"/>
      <c r="E9" s="446"/>
      <c r="F9" s="446"/>
      <c r="G9" s="458"/>
      <c r="H9" s="446"/>
      <c r="I9" s="446"/>
      <c r="J9" s="446"/>
      <c r="K9" s="446"/>
      <c r="L9" s="446"/>
      <c r="M9" s="446"/>
      <c r="N9" s="446"/>
      <c r="O9" s="411"/>
      <c r="P9" s="411"/>
      <c r="Q9" s="411"/>
      <c r="R9" s="411"/>
      <c r="S9" s="411"/>
      <c r="T9" s="411"/>
      <c r="U9" s="447"/>
      <c r="V9" s="447"/>
      <c r="W9" s="447"/>
      <c r="X9" s="447"/>
      <c r="Y9" s="447"/>
      <c r="Z9" s="447"/>
      <c r="AA9" s="456"/>
      <c r="AB9" s="446"/>
      <c r="AC9" s="459"/>
      <c r="AD9" s="459"/>
      <c r="AE9" s="411"/>
      <c r="AF9" s="464"/>
      <c r="AG9" s="465"/>
      <c r="AH9" s="465"/>
      <c r="AI9" s="450"/>
      <c r="AJ9" s="450"/>
      <c r="AK9" s="427" t="s">
        <v>885</v>
      </c>
      <c r="AL9" s="427" t="s">
        <v>886</v>
      </c>
      <c r="AM9" s="427" t="s">
        <v>887</v>
      </c>
      <c r="AN9" s="427" t="s">
        <v>888</v>
      </c>
      <c r="AO9" s="427" t="s">
        <v>889</v>
      </c>
      <c r="AP9" s="427" t="s">
        <v>892</v>
      </c>
      <c r="AQ9" s="427" t="s">
        <v>890</v>
      </c>
      <c r="AR9" s="427" t="s">
        <v>891</v>
      </c>
      <c r="AS9" s="468"/>
      <c r="AT9" s="450"/>
      <c r="AU9" s="427" t="s">
        <v>735</v>
      </c>
      <c r="AV9" s="427" t="s">
        <v>736</v>
      </c>
      <c r="AW9" s="427" t="s">
        <v>737</v>
      </c>
      <c r="AX9" s="427" t="s">
        <v>738</v>
      </c>
      <c r="AY9" s="427" t="s">
        <v>739</v>
      </c>
      <c r="AZ9" s="427" t="s">
        <v>740</v>
      </c>
      <c r="BA9" s="427" t="s">
        <v>741</v>
      </c>
      <c r="BB9" s="427" t="s">
        <v>742</v>
      </c>
      <c r="BE9" s="427" t="s">
        <v>727</v>
      </c>
      <c r="BF9" s="427" t="s">
        <v>728</v>
      </c>
      <c r="BG9" s="427" t="s">
        <v>729</v>
      </c>
      <c r="BH9" s="427" t="s">
        <v>730</v>
      </c>
      <c r="BI9" s="427" t="s">
        <v>731</v>
      </c>
      <c r="BJ9" s="427" t="s">
        <v>732</v>
      </c>
      <c r="BK9" s="427" t="s">
        <v>733</v>
      </c>
      <c r="BL9" s="427" t="s">
        <v>734</v>
      </c>
      <c r="BO9" s="427" t="s">
        <v>726</v>
      </c>
      <c r="BP9" s="427" t="s">
        <v>725</v>
      </c>
      <c r="BQ9" s="427" t="s">
        <v>724</v>
      </c>
      <c r="BR9" s="427" t="s">
        <v>723</v>
      </c>
      <c r="BS9" s="427" t="s">
        <v>722</v>
      </c>
      <c r="BT9" s="427" t="s">
        <v>721</v>
      </c>
      <c r="BU9" s="427" t="s">
        <v>720</v>
      </c>
      <c r="BV9" s="427" t="s">
        <v>719</v>
      </c>
    </row>
    <row r="10" spans="1:76" ht="186" customHeight="1" thickBot="1">
      <c r="A10" s="407"/>
      <c r="B10" s="463"/>
      <c r="G10" s="471"/>
      <c r="H10" s="472"/>
      <c r="I10" s="472"/>
      <c r="J10" s="473"/>
      <c r="K10" s="473"/>
      <c r="L10" s="473"/>
      <c r="O10" s="411"/>
      <c r="P10" s="411"/>
      <c r="Q10" s="411"/>
      <c r="R10" s="411"/>
      <c r="S10" s="411"/>
      <c r="T10" s="411"/>
      <c r="U10" s="411"/>
      <c r="V10" s="411"/>
      <c r="W10" s="411"/>
      <c r="X10" s="411"/>
      <c r="Y10" s="411"/>
      <c r="Z10" s="411"/>
      <c r="AA10" s="474"/>
      <c r="AB10" s="475"/>
      <c r="AC10" s="448"/>
      <c r="AD10" s="448"/>
      <c r="AE10" s="448"/>
      <c r="AF10" s="476"/>
      <c r="AG10" s="465"/>
      <c r="AH10" s="465"/>
      <c r="AI10" s="450"/>
      <c r="AJ10" s="760"/>
      <c r="AK10" s="1165" t="s">
        <v>48</v>
      </c>
      <c r="AL10" s="1166"/>
      <c r="AM10" s="1166"/>
      <c r="AN10" s="1166"/>
      <c r="AO10" s="1166"/>
      <c r="AP10" s="1166"/>
      <c r="AQ10" s="1166"/>
      <c r="AR10" s="1167"/>
      <c r="AS10" s="409"/>
      <c r="AT10" s="760"/>
      <c r="AU10" s="730"/>
      <c r="AV10" s="731"/>
      <c r="AW10" s="731"/>
      <c r="AX10" s="1166" t="s">
        <v>49</v>
      </c>
      <c r="AY10" s="1166"/>
      <c r="AZ10" s="731"/>
      <c r="BA10" s="731"/>
      <c r="BB10" s="732"/>
      <c r="BC10" s="409"/>
      <c r="BD10" s="756"/>
      <c r="BE10" s="1168" t="s">
        <v>50</v>
      </c>
      <c r="BF10" s="1169"/>
      <c r="BG10" s="1169"/>
      <c r="BH10" s="1169"/>
      <c r="BI10" s="1169"/>
      <c r="BJ10" s="1169"/>
      <c r="BK10" s="1169"/>
      <c r="BL10" s="1170"/>
      <c r="BM10" s="720"/>
      <c r="BN10" s="750"/>
      <c r="BO10" s="1168" t="s">
        <v>51</v>
      </c>
      <c r="BP10" s="1169"/>
      <c r="BQ10" s="1169"/>
      <c r="BR10" s="1169"/>
      <c r="BS10" s="1169"/>
      <c r="BT10" s="1169"/>
      <c r="BU10" s="1169"/>
      <c r="BV10" s="1170"/>
      <c r="BX10" s="754"/>
    </row>
    <row r="11" spans="1:76" ht="279.95" customHeight="1">
      <c r="A11" s="453" t="s">
        <v>365</v>
      </c>
      <c r="B11" s="467"/>
      <c r="E11" s="477" t="s">
        <v>366</v>
      </c>
      <c r="F11" s="478"/>
      <c r="G11" s="478"/>
      <c r="H11" s="1171" t="s">
        <v>367</v>
      </c>
      <c r="I11" s="1172"/>
      <c r="J11" s="1171" t="s">
        <v>368</v>
      </c>
      <c r="K11" s="1172"/>
      <c r="L11" s="1173" t="s">
        <v>369</v>
      </c>
      <c r="M11" s="1173"/>
      <c r="N11" s="479"/>
      <c r="O11" s="1174" t="s">
        <v>370</v>
      </c>
      <c r="P11" s="1175"/>
      <c r="Q11" s="1175"/>
      <c r="R11" s="1175"/>
      <c r="S11" s="1175"/>
      <c r="T11" s="1175"/>
      <c r="U11" s="1175"/>
      <c r="V11" s="480"/>
      <c r="W11" s="481"/>
      <c r="X11" s="481"/>
      <c r="Y11" s="481"/>
      <c r="Z11" s="482"/>
      <c r="AA11" s="475"/>
      <c r="AB11" s="483"/>
      <c r="AC11" s="483"/>
      <c r="AD11" s="483"/>
      <c r="AE11" s="483"/>
      <c r="AF11" s="476"/>
      <c r="AG11" s="465"/>
      <c r="AH11" s="465"/>
      <c r="AI11" s="450"/>
      <c r="AJ11" s="757" t="s">
        <v>640</v>
      </c>
      <c r="AK11" s="795" t="s">
        <v>950</v>
      </c>
      <c r="AL11" s="795" t="s">
        <v>970</v>
      </c>
      <c r="AM11" s="718"/>
      <c r="AN11" s="718"/>
      <c r="AO11" s="718"/>
      <c r="AP11" s="776" t="s">
        <v>974</v>
      </c>
      <c r="AQ11" s="718"/>
      <c r="AR11" s="718"/>
      <c r="AS11" s="989" t="s">
        <v>871</v>
      </c>
      <c r="AT11" s="757" t="s">
        <v>640</v>
      </c>
      <c r="AU11" s="718"/>
      <c r="AV11" s="718"/>
      <c r="AW11" s="718"/>
      <c r="AX11" s="718"/>
      <c r="AY11" s="718"/>
      <c r="AZ11" s="718"/>
      <c r="BA11" s="718"/>
      <c r="BB11" s="718"/>
      <c r="BC11" s="989" t="s">
        <v>695</v>
      </c>
      <c r="BD11" s="757" t="s">
        <v>640</v>
      </c>
      <c r="BE11" s="718"/>
      <c r="BF11" s="718"/>
      <c r="BG11" s="718"/>
      <c r="BH11" s="718"/>
      <c r="BI11" s="718"/>
      <c r="BJ11" s="718"/>
      <c r="BK11" s="718"/>
      <c r="BL11" s="718"/>
      <c r="BM11" s="989" t="s">
        <v>669</v>
      </c>
      <c r="BN11" s="751" t="s">
        <v>640</v>
      </c>
      <c r="BO11" s="718"/>
      <c r="BP11" s="718"/>
      <c r="BQ11" s="718"/>
      <c r="BR11" s="718"/>
      <c r="BS11" s="718"/>
      <c r="BT11" s="718"/>
      <c r="BU11" s="718"/>
      <c r="BV11" s="718"/>
      <c r="BW11" s="989" t="s">
        <v>641</v>
      </c>
      <c r="BX11" s="754"/>
    </row>
    <row r="12" spans="1:76" ht="279.95" customHeight="1" thickBot="1">
      <c r="A12" s="428"/>
      <c r="B12" s="469"/>
      <c r="E12" s="484"/>
      <c r="F12" s="485"/>
      <c r="G12" s="485"/>
      <c r="H12" s="1073"/>
      <c r="I12" s="1075"/>
      <c r="J12" s="1073"/>
      <c r="K12" s="1075"/>
      <c r="L12" s="1074"/>
      <c r="M12" s="1074"/>
      <c r="N12" s="487"/>
      <c r="O12" s="1176"/>
      <c r="P12" s="1177"/>
      <c r="Q12" s="1177"/>
      <c r="R12" s="1177"/>
      <c r="S12" s="1177"/>
      <c r="T12" s="1177"/>
      <c r="U12" s="1177"/>
      <c r="V12" s="488"/>
      <c r="W12" s="459"/>
      <c r="X12" s="459"/>
      <c r="Y12" s="459"/>
      <c r="Z12" s="489"/>
      <c r="AA12" s="475"/>
      <c r="AB12" s="483"/>
      <c r="AC12" s="483"/>
      <c r="AD12" s="483"/>
      <c r="AE12" s="483"/>
      <c r="AF12" s="476"/>
      <c r="AG12" s="490"/>
      <c r="AH12" s="490"/>
      <c r="AI12" s="450"/>
      <c r="AJ12" s="757"/>
      <c r="AK12" s="767" t="s">
        <v>903</v>
      </c>
      <c r="AL12" s="767" t="s">
        <v>906</v>
      </c>
      <c r="AM12" s="719"/>
      <c r="AN12" s="719"/>
      <c r="AO12" s="719"/>
      <c r="AP12" s="765" t="s">
        <v>953</v>
      </c>
      <c r="AQ12" s="765" t="s">
        <v>913</v>
      </c>
      <c r="AR12" s="765" t="s">
        <v>904</v>
      </c>
      <c r="AS12" s="989"/>
      <c r="AT12" s="757"/>
      <c r="AU12" s="719"/>
      <c r="AV12" s="719"/>
      <c r="AW12" s="719"/>
      <c r="AX12" s="719"/>
      <c r="AY12" s="719"/>
      <c r="AZ12" s="719"/>
      <c r="BA12" s="719"/>
      <c r="BB12" s="719"/>
      <c r="BC12" s="989"/>
      <c r="BD12" s="757"/>
      <c r="BE12" s="719"/>
      <c r="BF12" s="719"/>
      <c r="BG12" s="719"/>
      <c r="BH12" s="719"/>
      <c r="BI12" s="719"/>
      <c r="BJ12" s="719"/>
      <c r="BK12" s="719"/>
      <c r="BL12" s="719"/>
      <c r="BM12" s="989"/>
      <c r="BN12" s="751"/>
      <c r="BO12" s="768" t="s">
        <v>519</v>
      </c>
      <c r="BP12" s="726" t="s">
        <v>521</v>
      </c>
      <c r="BQ12" s="719"/>
      <c r="BR12" s="719"/>
      <c r="BS12" s="719"/>
      <c r="BT12" s="719"/>
      <c r="BU12" s="719"/>
      <c r="BV12" s="719"/>
      <c r="BW12" s="989"/>
      <c r="BX12" s="754"/>
    </row>
    <row r="13" spans="1:76" ht="279.95" customHeight="1">
      <c r="A13" s="407"/>
      <c r="B13" s="463"/>
      <c r="E13" s="484"/>
      <c r="F13" s="485"/>
      <c r="G13" s="485"/>
      <c r="H13" s="1073"/>
      <c r="I13" s="1075"/>
      <c r="J13" s="1073"/>
      <c r="K13" s="1075"/>
      <c r="L13" s="1074"/>
      <c r="M13" s="1074"/>
      <c r="N13" s="487"/>
      <c r="O13" s="1176"/>
      <c r="P13" s="1177"/>
      <c r="Q13" s="1177"/>
      <c r="R13" s="1177"/>
      <c r="S13" s="1177"/>
      <c r="T13" s="1177"/>
      <c r="U13" s="1177"/>
      <c r="V13" s="488"/>
      <c r="W13" s="459"/>
      <c r="X13" s="459"/>
      <c r="Y13" s="459"/>
      <c r="Z13" s="489"/>
      <c r="AA13" s="483"/>
      <c r="AB13" s="495"/>
      <c r="AC13" s="496"/>
      <c r="AD13" s="496"/>
      <c r="AE13" s="497"/>
      <c r="AF13" s="476"/>
      <c r="AG13" s="490"/>
      <c r="AH13" s="490"/>
      <c r="AI13" s="490"/>
      <c r="AJ13" s="758" t="s">
        <v>640</v>
      </c>
      <c r="AK13" s="795" t="s">
        <v>971</v>
      </c>
      <c r="AL13" s="795" t="s">
        <v>977</v>
      </c>
      <c r="AM13" s="734"/>
      <c r="AN13" s="734"/>
      <c r="AO13" s="734"/>
      <c r="AP13" s="776" t="s">
        <v>975</v>
      </c>
      <c r="AQ13" s="734"/>
      <c r="AR13" s="734"/>
      <c r="AS13" s="988" t="s">
        <v>872</v>
      </c>
      <c r="AT13" s="758" t="s">
        <v>640</v>
      </c>
      <c r="AU13" s="734"/>
      <c r="AV13" s="734"/>
      <c r="AW13" s="734"/>
      <c r="AX13" s="734"/>
      <c r="AY13" s="734"/>
      <c r="AZ13" s="734"/>
      <c r="BA13" s="734"/>
      <c r="BB13" s="734"/>
      <c r="BC13" s="988" t="s">
        <v>696</v>
      </c>
      <c r="BD13" s="758" t="s">
        <v>640</v>
      </c>
      <c r="BE13" s="734"/>
      <c r="BF13" s="734"/>
      <c r="BG13" s="734"/>
      <c r="BH13" s="734"/>
      <c r="BI13" s="734"/>
      <c r="BJ13" s="734"/>
      <c r="BK13" s="734"/>
      <c r="BL13" s="734"/>
      <c r="BM13" s="988" t="s">
        <v>670</v>
      </c>
      <c r="BN13" s="752" t="s">
        <v>640</v>
      </c>
      <c r="BO13" s="734"/>
      <c r="BP13" s="734"/>
      <c r="BQ13" s="734"/>
      <c r="BR13" s="734"/>
      <c r="BS13" s="734"/>
      <c r="BT13" s="734"/>
      <c r="BU13" s="734"/>
      <c r="BV13" s="734"/>
      <c r="BW13" s="988" t="s">
        <v>642</v>
      </c>
      <c r="BX13" s="754"/>
    </row>
    <row r="14" spans="1:76" ht="279.95" customHeight="1" thickBot="1">
      <c r="A14" s="453"/>
      <c r="B14" s="467"/>
      <c r="E14" s="484"/>
      <c r="F14" s="485"/>
      <c r="G14" s="485"/>
      <c r="H14" s="1073"/>
      <c r="I14" s="1075"/>
      <c r="J14" s="1073"/>
      <c r="K14" s="1075"/>
      <c r="L14" s="1074"/>
      <c r="M14" s="1074"/>
      <c r="N14" s="487"/>
      <c r="O14" s="1176"/>
      <c r="P14" s="1177"/>
      <c r="Q14" s="1177"/>
      <c r="R14" s="1177"/>
      <c r="S14" s="1177"/>
      <c r="T14" s="1177"/>
      <c r="U14" s="1177"/>
      <c r="V14" s="488"/>
      <c r="W14" s="459"/>
      <c r="X14" s="459"/>
      <c r="Y14" s="459"/>
      <c r="Z14" s="489"/>
      <c r="AA14" s="483"/>
      <c r="AB14" s="495"/>
      <c r="AC14" s="496"/>
      <c r="AD14" s="496"/>
      <c r="AE14" s="497"/>
      <c r="AF14" s="476"/>
      <c r="AG14" s="490"/>
      <c r="AH14" s="490"/>
      <c r="AI14" s="490"/>
      <c r="AJ14" s="758"/>
      <c r="AK14" s="774" t="s">
        <v>944</v>
      </c>
      <c r="AL14" s="767" t="s">
        <v>945</v>
      </c>
      <c r="AM14" s="739" t="s">
        <v>951</v>
      </c>
      <c r="AN14" s="733"/>
      <c r="AO14" s="773" t="s">
        <v>952</v>
      </c>
      <c r="AP14" s="765" t="s">
        <v>1009</v>
      </c>
      <c r="AQ14" s="765" t="s">
        <v>946</v>
      </c>
      <c r="AR14" s="765" t="s">
        <v>947</v>
      </c>
      <c r="AS14" s="988"/>
      <c r="AT14" s="758"/>
      <c r="AU14" s="733"/>
      <c r="AV14" s="733"/>
      <c r="AW14" s="733"/>
      <c r="AX14" s="733"/>
      <c r="AY14" s="733"/>
      <c r="AZ14" s="733"/>
      <c r="BA14" s="733"/>
      <c r="BB14" s="733"/>
      <c r="BC14" s="988"/>
      <c r="BD14" s="758"/>
      <c r="BE14" s="733"/>
      <c r="BF14" s="733"/>
      <c r="BG14" s="733"/>
      <c r="BH14" s="733"/>
      <c r="BI14" s="733"/>
      <c r="BJ14" s="733"/>
      <c r="BK14" s="733"/>
      <c r="BL14" s="733"/>
      <c r="BM14" s="988"/>
      <c r="BN14" s="752"/>
      <c r="BO14" s="741" t="s">
        <v>774</v>
      </c>
      <c r="BP14" s="726" t="s">
        <v>522</v>
      </c>
      <c r="BQ14" s="733"/>
      <c r="BR14" s="733"/>
      <c r="BS14" s="733"/>
      <c r="BT14" s="733"/>
      <c r="BU14" s="733"/>
      <c r="BV14" s="733"/>
      <c r="BW14" s="988"/>
      <c r="BX14" s="754"/>
    </row>
    <row r="15" spans="1:76" ht="279.95" customHeight="1" thickBot="1">
      <c r="A15" s="453" t="s">
        <v>365</v>
      </c>
      <c r="B15" s="467"/>
      <c r="D15" s="471"/>
      <c r="E15" s="484"/>
      <c r="F15" s="485"/>
      <c r="G15" s="485"/>
      <c r="H15" s="1073"/>
      <c r="I15" s="1075"/>
      <c r="J15" s="1073"/>
      <c r="K15" s="1075"/>
      <c r="L15" s="1074"/>
      <c r="M15" s="1074"/>
      <c r="N15" s="487"/>
      <c r="O15" s="1178"/>
      <c r="P15" s="1179"/>
      <c r="Q15" s="1179"/>
      <c r="R15" s="1179"/>
      <c r="S15" s="1179"/>
      <c r="T15" s="1179"/>
      <c r="U15" s="1179"/>
      <c r="V15" s="488"/>
      <c r="W15" s="459"/>
      <c r="X15" s="459"/>
      <c r="Y15" s="459"/>
      <c r="Z15" s="489"/>
      <c r="AA15" s="500"/>
      <c r="AB15" s="500"/>
      <c r="AC15" s="500"/>
      <c r="AD15" s="501"/>
      <c r="AE15" s="501"/>
      <c r="AF15" s="501"/>
      <c r="AG15" s="448"/>
      <c r="AH15" s="448"/>
      <c r="AI15" s="448"/>
      <c r="AJ15" s="757" t="s">
        <v>640</v>
      </c>
      <c r="AK15" s="795" t="s">
        <v>978</v>
      </c>
      <c r="AL15" s="795" t="s">
        <v>979</v>
      </c>
      <c r="AM15" s="718"/>
      <c r="AN15" s="718"/>
      <c r="AO15" s="718"/>
      <c r="AP15" s="718"/>
      <c r="AQ15" s="718"/>
      <c r="AR15" s="718"/>
      <c r="AS15" s="989" t="s">
        <v>873</v>
      </c>
      <c r="AT15" s="757" t="s">
        <v>640</v>
      </c>
      <c r="AU15" s="718"/>
      <c r="AV15" s="718"/>
      <c r="AW15" s="718"/>
      <c r="AX15" s="718"/>
      <c r="AY15" s="718"/>
      <c r="AZ15" s="718"/>
      <c r="BA15" s="718"/>
      <c r="BB15" s="718"/>
      <c r="BC15" s="989" t="s">
        <v>697</v>
      </c>
      <c r="BD15" s="757" t="s">
        <v>640</v>
      </c>
      <c r="BE15" s="718"/>
      <c r="BF15" s="718"/>
      <c r="BG15" s="718"/>
      <c r="BH15" s="718"/>
      <c r="BI15" s="718"/>
      <c r="BJ15" s="718"/>
      <c r="BK15" s="718"/>
      <c r="BL15" s="718"/>
      <c r="BM15" s="989" t="s">
        <v>671</v>
      </c>
      <c r="BN15" s="751" t="s">
        <v>640</v>
      </c>
      <c r="BO15" s="727" t="s">
        <v>524</v>
      </c>
      <c r="BP15" s="718"/>
      <c r="BQ15" s="718"/>
      <c r="BR15" s="718"/>
      <c r="BS15" s="718"/>
      <c r="BT15" s="718"/>
      <c r="BU15" s="718"/>
      <c r="BV15" s="718"/>
      <c r="BW15" s="989" t="s">
        <v>643</v>
      </c>
      <c r="BX15" s="754"/>
    </row>
    <row r="16" spans="1:76" ht="279.95" customHeight="1" thickBot="1">
      <c r="A16" s="428"/>
      <c r="B16" s="469"/>
      <c r="E16" s="484"/>
      <c r="F16" s="485"/>
      <c r="G16" s="485"/>
      <c r="H16" s="1073"/>
      <c r="I16" s="1075"/>
      <c r="J16" s="1073"/>
      <c r="K16" s="1075"/>
      <c r="L16" s="1074"/>
      <c r="M16" s="1074"/>
      <c r="N16" s="487"/>
      <c r="O16" s="1174" t="s">
        <v>371</v>
      </c>
      <c r="P16" s="1175"/>
      <c r="Q16" s="1175"/>
      <c r="R16" s="1175"/>
      <c r="S16" s="1175"/>
      <c r="T16" s="1175"/>
      <c r="U16" s="1175"/>
      <c r="V16" s="488"/>
      <c r="W16" s="459"/>
      <c r="X16" s="459"/>
      <c r="Y16" s="459"/>
      <c r="Z16" s="489"/>
      <c r="AA16" s="500"/>
      <c r="AB16" s="500"/>
      <c r="AC16" s="500"/>
      <c r="AD16" s="501"/>
      <c r="AE16" s="501"/>
      <c r="AF16" s="501"/>
      <c r="AG16" s="448"/>
      <c r="AH16" s="448"/>
      <c r="AI16" s="448"/>
      <c r="AJ16" s="757"/>
      <c r="AK16" s="774" t="s">
        <v>958</v>
      </c>
      <c r="AL16" s="774" t="s">
        <v>957</v>
      </c>
      <c r="AM16" s="774" t="s">
        <v>956</v>
      </c>
      <c r="AN16" s="774" t="s">
        <v>955</v>
      </c>
      <c r="AO16" s="765" t="s">
        <v>954</v>
      </c>
      <c r="AP16" s="726" t="s">
        <v>617</v>
      </c>
      <c r="AQ16" s="765" t="s">
        <v>948</v>
      </c>
      <c r="AR16" s="739" t="s">
        <v>976</v>
      </c>
      <c r="AS16" s="989"/>
      <c r="AT16" s="757"/>
      <c r="AU16" s="719"/>
      <c r="AV16" s="719"/>
      <c r="AW16" s="719"/>
      <c r="AX16" s="719"/>
      <c r="AY16" s="719"/>
      <c r="AZ16" s="719"/>
      <c r="BA16" s="719"/>
      <c r="BB16" s="719"/>
      <c r="BC16" s="989"/>
      <c r="BD16" s="757"/>
      <c r="BE16" s="719"/>
      <c r="BF16" s="719"/>
      <c r="BG16" s="719"/>
      <c r="BH16" s="719"/>
      <c r="BI16" s="719"/>
      <c r="BJ16" s="719"/>
      <c r="BK16" s="719"/>
      <c r="BL16" s="719"/>
      <c r="BM16" s="989"/>
      <c r="BN16" s="751"/>
      <c r="BO16" s="768" t="s">
        <v>523</v>
      </c>
      <c r="BP16" s="774" t="s">
        <v>1038</v>
      </c>
      <c r="BQ16" s="719"/>
      <c r="BR16" s="719"/>
      <c r="BS16" s="719"/>
      <c r="BT16" s="719"/>
      <c r="BU16" s="719"/>
      <c r="BV16" s="719"/>
      <c r="BW16" s="989"/>
      <c r="BX16" s="754"/>
    </row>
    <row r="17" spans="1:76" ht="279.95" customHeight="1" thickBot="1">
      <c r="A17" s="407"/>
      <c r="B17" s="463"/>
      <c r="C17" s="471"/>
      <c r="E17" s="484"/>
      <c r="F17" s="485"/>
      <c r="G17" s="485"/>
      <c r="H17" s="1073"/>
      <c r="I17" s="1075"/>
      <c r="J17" s="1073"/>
      <c r="K17" s="1075"/>
      <c r="L17" s="1074"/>
      <c r="M17" s="1074"/>
      <c r="N17" s="487"/>
      <c r="O17" s="1176"/>
      <c r="P17" s="1177"/>
      <c r="Q17" s="1177"/>
      <c r="R17" s="1177"/>
      <c r="S17" s="1177"/>
      <c r="T17" s="1177"/>
      <c r="U17" s="1177"/>
      <c r="V17" s="488"/>
      <c r="W17" s="459"/>
      <c r="X17" s="459"/>
      <c r="Y17" s="459"/>
      <c r="Z17" s="489"/>
      <c r="AA17" s="503"/>
      <c r="AB17" s="503"/>
      <c r="AC17" s="503"/>
      <c r="AD17" s="501"/>
      <c r="AE17" s="501"/>
      <c r="AF17" s="501"/>
      <c r="AG17" s="448"/>
      <c r="AH17" s="448"/>
      <c r="AI17" s="448"/>
      <c r="AJ17" s="758" t="s">
        <v>640</v>
      </c>
      <c r="AK17" s="775" t="s">
        <v>959</v>
      </c>
      <c r="AL17" s="795" t="s">
        <v>960</v>
      </c>
      <c r="AM17" s="734"/>
      <c r="AN17" s="734"/>
      <c r="AO17" s="734"/>
      <c r="AP17" s="734"/>
      <c r="AQ17" s="734"/>
      <c r="AR17" s="734"/>
      <c r="AS17" s="988" t="s">
        <v>874</v>
      </c>
      <c r="AT17" s="758" t="s">
        <v>640</v>
      </c>
      <c r="AU17" s="734"/>
      <c r="AV17" s="734"/>
      <c r="AW17" s="734"/>
      <c r="AX17" s="734"/>
      <c r="AY17" s="734"/>
      <c r="AZ17" s="734"/>
      <c r="BA17" s="734"/>
      <c r="BB17" s="734"/>
      <c r="BC17" s="988" t="s">
        <v>698</v>
      </c>
      <c r="BD17" s="758" t="s">
        <v>640</v>
      </c>
      <c r="BE17" s="734"/>
      <c r="BF17" s="734"/>
      <c r="BG17" s="734"/>
      <c r="BH17" s="734"/>
      <c r="BI17" s="734"/>
      <c r="BJ17" s="778"/>
      <c r="BK17" s="727" t="s">
        <v>460</v>
      </c>
      <c r="BL17" s="796" t="s">
        <v>461</v>
      </c>
      <c r="BM17" s="988" t="s">
        <v>672</v>
      </c>
      <c r="BN17" s="752" t="s">
        <v>640</v>
      </c>
      <c r="BO17" s="727" t="s">
        <v>527</v>
      </c>
      <c r="BP17" s="734"/>
      <c r="BQ17" s="734"/>
      <c r="BR17" s="734"/>
      <c r="BS17" s="734"/>
      <c r="BT17" s="734"/>
      <c r="BU17" s="734"/>
      <c r="BV17" s="727" t="s">
        <v>417</v>
      </c>
      <c r="BW17" s="1184" t="s">
        <v>644</v>
      </c>
      <c r="BX17" s="754"/>
    </row>
    <row r="18" spans="1:76" ht="279.95" customHeight="1" thickBot="1">
      <c r="A18" s="453" t="s">
        <v>365</v>
      </c>
      <c r="B18" s="467"/>
      <c r="E18" s="484"/>
      <c r="F18" s="1081" t="s">
        <v>372</v>
      </c>
      <c r="G18" s="1083"/>
      <c r="H18" s="1074"/>
      <c r="I18" s="1075"/>
      <c r="J18" s="1073"/>
      <c r="K18" s="1075"/>
      <c r="L18" s="1074"/>
      <c r="M18" s="1074"/>
      <c r="N18" s="487"/>
      <c r="O18" s="1176"/>
      <c r="P18" s="1177"/>
      <c r="Q18" s="1177"/>
      <c r="R18" s="1177"/>
      <c r="S18" s="1177"/>
      <c r="T18" s="1177"/>
      <c r="U18" s="1177"/>
      <c r="V18" s="488"/>
      <c r="W18" s="459"/>
      <c r="X18" s="459"/>
      <c r="Y18" s="459"/>
      <c r="Z18" s="489"/>
      <c r="AA18" s="503"/>
      <c r="AB18" s="503"/>
      <c r="AC18" s="503"/>
      <c r="AD18" s="501"/>
      <c r="AE18" s="501"/>
      <c r="AF18" s="501"/>
      <c r="AG18" s="448"/>
      <c r="AH18" s="448"/>
      <c r="AI18" s="448"/>
      <c r="AJ18" s="758"/>
      <c r="AK18" s="774" t="s">
        <v>961</v>
      </c>
      <c r="AL18" s="774" t="s">
        <v>962</v>
      </c>
      <c r="AM18" s="774" t="s">
        <v>963</v>
      </c>
      <c r="AN18" s="774" t="s">
        <v>964</v>
      </c>
      <c r="AO18" s="765" t="s">
        <v>965</v>
      </c>
      <c r="AP18" s="765" t="s">
        <v>966</v>
      </c>
      <c r="AQ18" s="733"/>
      <c r="AR18" s="733"/>
      <c r="AS18" s="988"/>
      <c r="AT18" s="758"/>
      <c r="AU18" s="733"/>
      <c r="AV18" s="733"/>
      <c r="AW18" s="733"/>
      <c r="AX18" s="733"/>
      <c r="AY18" s="733"/>
      <c r="AZ18" s="733"/>
      <c r="BA18" s="733"/>
      <c r="BB18" s="733"/>
      <c r="BC18" s="988"/>
      <c r="BD18" s="758"/>
      <c r="BE18" s="779"/>
      <c r="BF18" s="726" t="s">
        <v>542</v>
      </c>
      <c r="BG18" s="733"/>
      <c r="BH18" s="733"/>
      <c r="BI18" s="765" t="s">
        <v>756</v>
      </c>
      <c r="BJ18" s="741" t="s">
        <v>915</v>
      </c>
      <c r="BK18" s="726" t="s">
        <v>462</v>
      </c>
      <c r="BL18" s="797" t="s">
        <v>463</v>
      </c>
      <c r="BM18" s="988"/>
      <c r="BN18" s="752"/>
      <c r="BO18" s="768" t="s">
        <v>526</v>
      </c>
      <c r="BP18" s="773" t="s">
        <v>793</v>
      </c>
      <c r="BQ18" s="733"/>
      <c r="BR18" s="733"/>
      <c r="BS18" s="733"/>
      <c r="BT18" s="765" t="s">
        <v>520</v>
      </c>
      <c r="BU18" s="726" t="s">
        <v>528</v>
      </c>
      <c r="BV18" s="768" t="s">
        <v>529</v>
      </c>
      <c r="BW18" s="1184"/>
      <c r="BX18" s="754"/>
    </row>
    <row r="19" spans="1:76" ht="279.95" customHeight="1" thickBot="1">
      <c r="A19" s="428"/>
      <c r="B19" s="469"/>
      <c r="E19" s="484"/>
      <c r="F19" s="1180"/>
      <c r="G19" s="1181"/>
      <c r="H19" s="1074"/>
      <c r="I19" s="1075"/>
      <c r="J19" s="1073"/>
      <c r="K19" s="1075"/>
      <c r="L19" s="1074"/>
      <c r="M19" s="1074"/>
      <c r="N19" s="487"/>
      <c r="O19" s="1101" t="s">
        <v>373</v>
      </c>
      <c r="P19" s="1102"/>
      <c r="Q19" s="1102"/>
      <c r="R19" s="1102"/>
      <c r="S19" s="1102"/>
      <c r="T19" s="1102"/>
      <c r="U19" s="1103"/>
      <c r="V19" s="488"/>
      <c r="W19" s="459"/>
      <c r="X19" s="459"/>
      <c r="Y19" s="459"/>
      <c r="Z19" s="489"/>
      <c r="AA19" s="507"/>
      <c r="AB19" s="507"/>
      <c r="AC19" s="507"/>
      <c r="AD19" s="501"/>
      <c r="AE19" s="501"/>
      <c r="AF19" s="501"/>
      <c r="AG19" s="492"/>
      <c r="AH19" s="492"/>
      <c r="AI19" s="492"/>
      <c r="AJ19" s="757" t="s">
        <v>640</v>
      </c>
      <c r="AK19" s="718"/>
      <c r="AL19" s="795" t="s">
        <v>991</v>
      </c>
      <c r="AM19" s="718"/>
      <c r="AN19" s="718"/>
      <c r="AO19" s="718"/>
      <c r="AP19" s="718"/>
      <c r="AQ19" s="718"/>
      <c r="AR19" s="718"/>
      <c r="AS19" s="989" t="s">
        <v>875</v>
      </c>
      <c r="AT19" s="757" t="s">
        <v>640</v>
      </c>
      <c r="AU19" s="718"/>
      <c r="AV19" s="718"/>
      <c r="AW19" s="718"/>
      <c r="AX19" s="718"/>
      <c r="AY19" s="718"/>
      <c r="AZ19" s="718"/>
      <c r="BA19" s="718"/>
      <c r="BB19" s="718"/>
      <c r="BC19" s="989" t="s">
        <v>699</v>
      </c>
      <c r="BD19" s="757" t="s">
        <v>640</v>
      </c>
      <c r="BE19" s="718"/>
      <c r="BF19" s="741" t="s">
        <v>918</v>
      </c>
      <c r="BG19" s="718"/>
      <c r="BH19" s="718"/>
      <c r="BI19" s="727" t="s">
        <v>465</v>
      </c>
      <c r="BJ19" s="727" t="s">
        <v>530</v>
      </c>
      <c r="BK19" s="727" t="s">
        <v>531</v>
      </c>
      <c r="BL19" s="727" t="s">
        <v>532</v>
      </c>
      <c r="BM19" s="989" t="s">
        <v>673</v>
      </c>
      <c r="BN19" s="751" t="s">
        <v>640</v>
      </c>
      <c r="BO19" s="727" t="s">
        <v>537</v>
      </c>
      <c r="BP19" s="718"/>
      <c r="BQ19" s="718"/>
      <c r="BR19" s="718"/>
      <c r="BS19" s="718"/>
      <c r="BT19" s="718"/>
      <c r="BU19" s="718"/>
      <c r="BV19" s="727" t="s">
        <v>545</v>
      </c>
      <c r="BW19" s="1079" t="s">
        <v>645</v>
      </c>
      <c r="BX19" s="754"/>
    </row>
    <row r="20" spans="1:76" ht="279.95" customHeight="1" thickBot="1">
      <c r="A20" s="1110" t="s">
        <v>374</v>
      </c>
      <c r="B20" s="1111"/>
      <c r="E20" s="509"/>
      <c r="F20" s="1182"/>
      <c r="G20" s="1183"/>
      <c r="H20" s="1074"/>
      <c r="I20" s="1075"/>
      <c r="J20" s="1073"/>
      <c r="K20" s="1075"/>
      <c r="L20" s="1074"/>
      <c r="M20" s="1074"/>
      <c r="N20" s="487"/>
      <c r="O20" s="1104"/>
      <c r="P20" s="1105"/>
      <c r="Q20" s="1105"/>
      <c r="R20" s="1105"/>
      <c r="S20" s="1105"/>
      <c r="T20" s="1105"/>
      <c r="U20" s="1106"/>
      <c r="V20" s="488"/>
      <c r="W20" s="459"/>
      <c r="X20" s="459"/>
      <c r="Y20" s="459"/>
      <c r="Z20" s="489"/>
      <c r="AA20" s="507"/>
      <c r="AB20" s="507"/>
      <c r="AC20" s="507"/>
      <c r="AD20" s="501"/>
      <c r="AE20" s="501"/>
      <c r="AF20" s="501"/>
      <c r="AG20" s="508"/>
      <c r="AH20" s="508"/>
      <c r="AI20" s="508"/>
      <c r="AJ20" s="757"/>
      <c r="AK20" s="719"/>
      <c r="AL20" s="774" t="s">
        <v>967</v>
      </c>
      <c r="AM20" s="719"/>
      <c r="AN20" s="719"/>
      <c r="AO20" s="719"/>
      <c r="AP20" s="719"/>
      <c r="AQ20" s="719"/>
      <c r="AR20" s="719"/>
      <c r="AS20" s="989"/>
      <c r="AT20" s="757"/>
      <c r="AU20" s="719"/>
      <c r="AV20" s="719"/>
      <c r="AW20" s="719"/>
      <c r="AX20" s="719"/>
      <c r="AY20" s="719"/>
      <c r="AZ20" s="719"/>
      <c r="BA20" s="719"/>
      <c r="BB20" s="719"/>
      <c r="BC20" s="989"/>
      <c r="BD20" s="757"/>
      <c r="BE20" s="774" t="s">
        <v>1011</v>
      </c>
      <c r="BF20" s="741" t="s">
        <v>916</v>
      </c>
      <c r="BG20" s="719"/>
      <c r="BH20" s="727" t="s">
        <v>525</v>
      </c>
      <c r="BI20" s="726" t="s">
        <v>464</v>
      </c>
      <c r="BJ20" s="768" t="s">
        <v>534</v>
      </c>
      <c r="BK20" s="768" t="s">
        <v>535</v>
      </c>
      <c r="BL20" s="726" t="s">
        <v>536</v>
      </c>
      <c r="BM20" s="989"/>
      <c r="BN20" s="751"/>
      <c r="BO20" s="768" t="s">
        <v>415</v>
      </c>
      <c r="BP20" s="741" t="s">
        <v>780</v>
      </c>
      <c r="BQ20" s="719"/>
      <c r="BR20" s="774" t="s">
        <v>1027</v>
      </c>
      <c r="BS20" s="741" t="s">
        <v>1000</v>
      </c>
      <c r="BT20" s="726" t="s">
        <v>449</v>
      </c>
      <c r="BU20" s="768" t="s">
        <v>416</v>
      </c>
      <c r="BV20" s="768" t="s">
        <v>538</v>
      </c>
      <c r="BW20" s="1079"/>
      <c r="BX20" s="754"/>
    </row>
    <row r="21" spans="1:76" ht="279.95" customHeight="1" thickBot="1">
      <c r="A21" s="1055"/>
      <c r="B21" s="1112"/>
      <c r="E21" s="512"/>
      <c r="F21" s="513"/>
      <c r="G21" s="513"/>
      <c r="H21" s="1073"/>
      <c r="I21" s="1075"/>
      <c r="J21" s="1073"/>
      <c r="K21" s="1075"/>
      <c r="L21" s="1074"/>
      <c r="M21" s="1074"/>
      <c r="N21" s="487"/>
      <c r="O21" s="1104"/>
      <c r="P21" s="1105"/>
      <c r="Q21" s="1105"/>
      <c r="R21" s="1105"/>
      <c r="S21" s="1105"/>
      <c r="T21" s="1105"/>
      <c r="U21" s="1106"/>
      <c r="V21" s="488"/>
      <c r="W21" s="459"/>
      <c r="X21" s="459"/>
      <c r="Y21" s="459"/>
      <c r="Z21" s="489"/>
      <c r="AA21" s="507"/>
      <c r="AB21" s="507"/>
      <c r="AC21" s="507"/>
      <c r="AD21" s="501"/>
      <c r="AE21" s="501"/>
      <c r="AF21" s="501"/>
      <c r="AG21" s="508"/>
      <c r="AH21" s="508"/>
      <c r="AI21" s="508"/>
      <c r="AJ21" s="758" t="s">
        <v>640</v>
      </c>
      <c r="AK21" s="734"/>
      <c r="AL21" s="734"/>
      <c r="AM21" s="734"/>
      <c r="AN21" s="734"/>
      <c r="AO21" s="734"/>
      <c r="AP21" s="734"/>
      <c r="AQ21" s="734"/>
      <c r="AR21" s="734"/>
      <c r="AS21" s="988" t="s">
        <v>876</v>
      </c>
      <c r="AT21" s="758" t="s">
        <v>640</v>
      </c>
      <c r="AU21" s="734"/>
      <c r="AV21" s="734"/>
      <c r="AW21" s="734"/>
      <c r="AX21" s="734"/>
      <c r="AY21" s="734"/>
      <c r="AZ21" s="734"/>
      <c r="BA21" s="734"/>
      <c r="BB21" s="734"/>
      <c r="BC21" s="988" t="s">
        <v>700</v>
      </c>
      <c r="BD21" s="758" t="s">
        <v>640</v>
      </c>
      <c r="BE21" s="734"/>
      <c r="BF21" s="778"/>
      <c r="BG21" s="734"/>
      <c r="BH21" s="734"/>
      <c r="BI21" s="734"/>
      <c r="BJ21" s="734"/>
      <c r="BK21" s="734"/>
      <c r="BL21" s="727" t="s">
        <v>477</v>
      </c>
      <c r="BM21" s="988" t="s">
        <v>674</v>
      </c>
      <c r="BN21" s="752" t="s">
        <v>640</v>
      </c>
      <c r="BO21" s="727" t="s">
        <v>427</v>
      </c>
      <c r="BP21" s="734"/>
      <c r="BQ21" s="734"/>
      <c r="BR21" s="776" t="s">
        <v>769</v>
      </c>
      <c r="BS21" s="734"/>
      <c r="BT21" s="734"/>
      <c r="BU21" s="734"/>
      <c r="BV21" s="734"/>
      <c r="BW21" s="1140" t="s">
        <v>646</v>
      </c>
      <c r="BX21" s="754"/>
    </row>
    <row r="22" spans="1:76" ht="279.95" customHeight="1" thickBot="1">
      <c r="A22" s="1062"/>
      <c r="B22" s="1113"/>
      <c r="C22" s="515"/>
      <c r="D22" s="499"/>
      <c r="E22" s="1114" t="s">
        <v>375</v>
      </c>
      <c r="F22" s="1114"/>
      <c r="G22" s="1115"/>
      <c r="H22" s="1073"/>
      <c r="I22" s="1075"/>
      <c r="J22" s="1073"/>
      <c r="K22" s="1075"/>
      <c r="L22" s="1074"/>
      <c r="M22" s="1074"/>
      <c r="N22" s="487"/>
      <c r="O22" s="1107"/>
      <c r="P22" s="1108"/>
      <c r="Q22" s="1108"/>
      <c r="R22" s="1108"/>
      <c r="S22" s="1108"/>
      <c r="T22" s="1108"/>
      <c r="U22" s="1109"/>
      <c r="V22" s="488"/>
      <c r="W22" s="459"/>
      <c r="X22" s="459"/>
      <c r="Y22" s="459"/>
      <c r="Z22" s="489"/>
      <c r="AA22" s="516"/>
      <c r="AB22" s="516"/>
      <c r="AC22" s="516"/>
      <c r="AD22" s="501"/>
      <c r="AE22" s="501"/>
      <c r="AF22" s="501"/>
      <c r="AG22" s="517"/>
      <c r="AH22" s="508"/>
      <c r="AI22" s="508"/>
      <c r="AJ22" s="758"/>
      <c r="AK22" s="733"/>
      <c r="AL22" s="733"/>
      <c r="AM22" s="733"/>
      <c r="AN22" s="733"/>
      <c r="AO22" s="765" t="s">
        <v>968</v>
      </c>
      <c r="AP22" s="733"/>
      <c r="AQ22" s="733"/>
      <c r="AR22" s="733"/>
      <c r="AS22" s="988"/>
      <c r="AT22" s="758"/>
      <c r="AU22" s="733"/>
      <c r="AV22" s="733"/>
      <c r="AW22" s="733"/>
      <c r="AX22" s="733"/>
      <c r="AY22" s="733"/>
      <c r="AZ22" s="733"/>
      <c r="BA22" s="733"/>
      <c r="BB22" s="733"/>
      <c r="BC22" s="988"/>
      <c r="BD22" s="758"/>
      <c r="BE22" s="726" t="s">
        <v>533</v>
      </c>
      <c r="BF22" s="740" t="s">
        <v>920</v>
      </c>
      <c r="BG22" s="733"/>
      <c r="BH22" s="768" t="s">
        <v>467</v>
      </c>
      <c r="BI22" s="726" t="s">
        <v>539</v>
      </c>
      <c r="BJ22" s="766" t="s">
        <v>759</v>
      </c>
      <c r="BK22" s="780"/>
      <c r="BL22" s="726" t="s">
        <v>466</v>
      </c>
      <c r="BM22" s="988"/>
      <c r="BN22" s="752"/>
      <c r="BO22" s="726" t="s">
        <v>540</v>
      </c>
      <c r="BP22" s="768" t="s">
        <v>541</v>
      </c>
      <c r="BQ22" s="733"/>
      <c r="BR22" s="765" t="s">
        <v>758</v>
      </c>
      <c r="BS22" s="733"/>
      <c r="BT22" s="765" t="s">
        <v>757</v>
      </c>
      <c r="BU22" s="765" t="s">
        <v>760</v>
      </c>
      <c r="BV22" s="733"/>
      <c r="BW22" s="1140"/>
      <c r="BX22" s="754"/>
    </row>
    <row r="23" spans="1:76" ht="279.95" customHeight="1" thickBot="1">
      <c r="A23" s="1110" t="s">
        <v>376</v>
      </c>
      <c r="B23" s="1118"/>
      <c r="C23" s="515"/>
      <c r="D23" s="518"/>
      <c r="E23" s="1116"/>
      <c r="F23" s="1116"/>
      <c r="G23" s="1117"/>
      <c r="H23" s="1073"/>
      <c r="I23" s="1075"/>
      <c r="J23" s="1073"/>
      <c r="K23" s="1075"/>
      <c r="L23" s="1074"/>
      <c r="M23" s="1074"/>
      <c r="N23" s="487"/>
      <c r="O23" s="1120"/>
      <c r="P23" s="1121"/>
      <c r="Q23" s="1121"/>
      <c r="R23" s="1121"/>
      <c r="S23" s="1121"/>
      <c r="T23" s="1121"/>
      <c r="U23" s="1122"/>
      <c r="V23" s="480"/>
      <c r="W23" s="481"/>
      <c r="X23" s="481"/>
      <c r="Y23" s="481"/>
      <c r="Z23" s="482"/>
      <c r="AA23" s="516"/>
      <c r="AB23" s="516"/>
      <c r="AC23" s="501"/>
      <c r="AD23" s="501"/>
      <c r="AE23" s="501"/>
      <c r="AF23" s="501"/>
      <c r="AG23" s="501"/>
      <c r="AH23" s="501"/>
      <c r="AI23" s="492"/>
      <c r="AJ23" s="757" t="s">
        <v>640</v>
      </c>
      <c r="AK23" s="718"/>
      <c r="AL23" s="718"/>
      <c r="AM23" s="718"/>
      <c r="AN23" s="718"/>
      <c r="AO23" s="718"/>
      <c r="AP23" s="718"/>
      <c r="AQ23" s="718"/>
      <c r="AR23" s="718"/>
      <c r="AS23" s="989" t="s">
        <v>877</v>
      </c>
      <c r="AT23" s="757" t="s">
        <v>640</v>
      </c>
      <c r="AU23" s="718"/>
      <c r="AV23" s="718"/>
      <c r="AW23" s="718"/>
      <c r="AX23" s="718"/>
      <c r="AY23" s="718"/>
      <c r="AZ23" s="718"/>
      <c r="BA23" s="718"/>
      <c r="BB23" s="718"/>
      <c r="BC23" s="989" t="s">
        <v>701</v>
      </c>
      <c r="BD23" s="757" t="s">
        <v>640</v>
      </c>
      <c r="BE23" s="718"/>
      <c r="BF23" s="718"/>
      <c r="BH23" s="740" t="s">
        <v>474</v>
      </c>
      <c r="BI23" s="718"/>
      <c r="BK23" s="718"/>
      <c r="BL23" s="740" t="s">
        <v>546</v>
      </c>
      <c r="BM23" s="989" t="s">
        <v>675</v>
      </c>
      <c r="BN23" s="751" t="s">
        <v>640</v>
      </c>
      <c r="BO23" s="718"/>
      <c r="BP23" s="718"/>
      <c r="BQ23" s="718"/>
      <c r="BR23" s="718"/>
      <c r="BS23" s="776" t="s">
        <v>762</v>
      </c>
      <c r="BT23" s="718"/>
      <c r="BU23" s="718"/>
      <c r="BV23" s="718"/>
      <c r="BW23" s="1079" t="s">
        <v>647</v>
      </c>
      <c r="BX23" s="754"/>
    </row>
    <row r="24" spans="1:76" ht="279.95" customHeight="1" thickBot="1">
      <c r="A24" s="1055"/>
      <c r="B24" s="1119"/>
      <c r="C24" s="519"/>
      <c r="D24" s="518"/>
      <c r="E24" s="1114" t="s">
        <v>375</v>
      </c>
      <c r="F24" s="1114"/>
      <c r="G24" s="1115"/>
      <c r="H24" s="1073"/>
      <c r="I24" s="1075"/>
      <c r="J24" s="1073"/>
      <c r="K24" s="1075"/>
      <c r="L24" s="1074"/>
      <c r="M24" s="1074"/>
      <c r="N24" s="487"/>
      <c r="O24" s="1123"/>
      <c r="P24" s="1124"/>
      <c r="Q24" s="1124"/>
      <c r="R24" s="1124"/>
      <c r="S24" s="1124"/>
      <c r="T24" s="1124"/>
      <c r="U24" s="1125"/>
      <c r="V24" s="488"/>
      <c r="W24" s="459"/>
      <c r="X24" s="496"/>
      <c r="Y24" s="496"/>
      <c r="Z24" s="489"/>
      <c r="AA24" s="503"/>
      <c r="AB24" s="503"/>
      <c r="AC24" s="503"/>
      <c r="AD24" s="492"/>
      <c r="AE24" s="492"/>
      <c r="AF24" s="492"/>
      <c r="AG24" s="492"/>
      <c r="AH24" s="520"/>
      <c r="AI24" s="520"/>
      <c r="AJ24" s="757"/>
      <c r="AK24" s="719"/>
      <c r="AL24" s="719"/>
      <c r="AM24" s="719"/>
      <c r="AN24" s="719"/>
      <c r="AO24" s="719"/>
      <c r="AP24" s="719"/>
      <c r="AQ24" s="719"/>
      <c r="AR24" s="719"/>
      <c r="AS24" s="989"/>
      <c r="AT24" s="757"/>
      <c r="AU24" s="719"/>
      <c r="AV24" s="719"/>
      <c r="AW24" s="719"/>
      <c r="AX24" s="719"/>
      <c r="AY24" s="719"/>
      <c r="AZ24" s="719"/>
      <c r="BA24" s="719"/>
      <c r="BB24" s="719"/>
      <c r="BC24" s="989"/>
      <c r="BD24" s="757"/>
      <c r="BE24" s="765" t="s">
        <v>921</v>
      </c>
      <c r="BF24" s="765" t="s">
        <v>543</v>
      </c>
      <c r="BG24" s="719"/>
      <c r="BH24" s="773" t="s">
        <v>469</v>
      </c>
      <c r="BI24" s="773" t="s">
        <v>766</v>
      </c>
      <c r="BJ24" s="773" t="s">
        <v>470</v>
      </c>
      <c r="BK24" s="774" t="s">
        <v>1006</v>
      </c>
      <c r="BL24" s="765" t="s">
        <v>471</v>
      </c>
      <c r="BM24" s="989"/>
      <c r="BN24" s="751"/>
      <c r="BO24" s="726" t="s">
        <v>418</v>
      </c>
      <c r="BP24" s="773" t="s">
        <v>1026</v>
      </c>
      <c r="BQ24" s="719"/>
      <c r="BR24" s="765" t="s">
        <v>764</v>
      </c>
      <c r="BS24" s="765" t="s">
        <v>763</v>
      </c>
      <c r="BT24" s="719"/>
      <c r="BU24" s="765" t="s">
        <v>761</v>
      </c>
      <c r="BV24" s="719"/>
      <c r="BW24" s="1079"/>
      <c r="BX24" s="754"/>
    </row>
    <row r="25" spans="1:76" ht="279.95" customHeight="1" thickBot="1">
      <c r="A25" s="1062"/>
      <c r="B25" s="1113"/>
      <c r="C25" s="515"/>
      <c r="D25" s="521"/>
      <c r="E25" s="1129"/>
      <c r="F25" s="1129"/>
      <c r="G25" s="1130"/>
      <c r="H25" s="1073"/>
      <c r="I25" s="1075"/>
      <c r="J25" s="1073"/>
      <c r="K25" s="1075"/>
      <c r="L25" s="1074"/>
      <c r="M25" s="1074"/>
      <c r="N25" s="487"/>
      <c r="O25" s="1123"/>
      <c r="P25" s="1124"/>
      <c r="Q25" s="1124"/>
      <c r="R25" s="1124"/>
      <c r="S25" s="1124"/>
      <c r="T25" s="1124"/>
      <c r="U25" s="1125"/>
      <c r="V25" s="510"/>
      <c r="W25" s="503"/>
      <c r="X25" s="503"/>
      <c r="Y25" s="503"/>
      <c r="Z25" s="499"/>
      <c r="AA25" s="503"/>
      <c r="AB25" s="503"/>
      <c r="AC25" s="503"/>
      <c r="AD25" s="506"/>
      <c r="AE25" s="506"/>
      <c r="AF25" s="506"/>
      <c r="AG25" s="506"/>
      <c r="AH25" s="522"/>
      <c r="AI25" s="522"/>
      <c r="AJ25" s="758" t="s">
        <v>640</v>
      </c>
      <c r="AK25" s="734"/>
      <c r="AL25" s="734"/>
      <c r="AM25" s="734"/>
      <c r="AN25" s="734"/>
      <c r="AO25" s="734"/>
      <c r="AP25" s="734"/>
      <c r="AQ25" s="734"/>
      <c r="AR25" s="734"/>
      <c r="AS25" s="988" t="s">
        <v>878</v>
      </c>
      <c r="AT25" s="758" t="s">
        <v>640</v>
      </c>
      <c r="AU25" s="734"/>
      <c r="AV25" s="734"/>
      <c r="AW25" s="734"/>
      <c r="AX25" s="734"/>
      <c r="AY25" s="734"/>
      <c r="AZ25" s="734"/>
      <c r="BA25" s="734"/>
      <c r="BB25" s="734"/>
      <c r="BC25" s="988" t="s">
        <v>702</v>
      </c>
      <c r="BD25" s="758" t="s">
        <v>640</v>
      </c>
      <c r="BE25" s="778"/>
      <c r="BF25" s="727" t="s">
        <v>632</v>
      </c>
      <c r="BG25" s="734"/>
      <c r="BH25" s="778"/>
      <c r="BI25" s="776" t="s">
        <v>473</v>
      </c>
      <c r="BJ25" s="776" t="s">
        <v>549</v>
      </c>
      <c r="BK25" s="778"/>
      <c r="BL25" s="734"/>
      <c r="BM25" s="988" t="s">
        <v>676</v>
      </c>
      <c r="BN25" s="752" t="s">
        <v>640</v>
      </c>
      <c r="BO25" s="734"/>
      <c r="BP25" s="734"/>
      <c r="BQ25" s="734"/>
      <c r="BR25" s="734"/>
      <c r="BS25" s="776" t="s">
        <v>426</v>
      </c>
      <c r="BT25" s="727" t="s">
        <v>550</v>
      </c>
      <c r="BU25" s="727" t="s">
        <v>544</v>
      </c>
      <c r="BV25" s="775" t="s">
        <v>1025</v>
      </c>
      <c r="BW25" s="1140" t="s">
        <v>648</v>
      </c>
      <c r="BX25" s="754"/>
    </row>
    <row r="26" spans="1:76" ht="279.95" customHeight="1" thickBot="1">
      <c r="A26" s="1110" t="s">
        <v>377</v>
      </c>
      <c r="B26" s="1111"/>
      <c r="C26" s="471"/>
      <c r="D26" s="471"/>
      <c r="E26" s="1131"/>
      <c r="F26" s="1129"/>
      <c r="G26" s="1130"/>
      <c r="H26" s="1073"/>
      <c r="I26" s="1075"/>
      <c r="J26" s="1073"/>
      <c r="K26" s="1075"/>
      <c r="L26" s="1074"/>
      <c r="M26" s="1074"/>
      <c r="N26" s="487"/>
      <c r="O26" s="1126"/>
      <c r="P26" s="1127"/>
      <c r="Q26" s="1127"/>
      <c r="R26" s="1127"/>
      <c r="S26" s="1127"/>
      <c r="T26" s="1127"/>
      <c r="U26" s="1128"/>
      <c r="V26" s="510"/>
      <c r="Z26" s="499"/>
      <c r="AA26" s="507"/>
      <c r="AB26" s="507"/>
      <c r="AC26" s="507"/>
      <c r="AD26" s="492"/>
      <c r="AE26" s="492"/>
      <c r="AF26" s="492"/>
      <c r="AG26" s="492"/>
      <c r="AH26" s="520"/>
      <c r="AI26" s="448"/>
      <c r="AJ26" s="758"/>
      <c r="AK26" s="733"/>
      <c r="AL26" s="739" t="s">
        <v>972</v>
      </c>
      <c r="AM26" s="733"/>
      <c r="AN26" s="733"/>
      <c r="AO26" s="733"/>
      <c r="AP26" s="733"/>
      <c r="AQ26" s="733"/>
      <c r="AR26" s="733"/>
      <c r="AS26" s="988"/>
      <c r="AT26" s="758"/>
      <c r="AU26" s="733"/>
      <c r="AV26" s="733"/>
      <c r="AW26" s="733"/>
      <c r="AX26" s="733"/>
      <c r="AY26" s="733"/>
      <c r="AZ26" s="733"/>
      <c r="BA26" s="733"/>
      <c r="BB26" s="733"/>
      <c r="BC26" s="988"/>
      <c r="BD26" s="758"/>
      <c r="BE26" s="741" t="s">
        <v>919</v>
      </c>
      <c r="BF26" s="726" t="s">
        <v>568</v>
      </c>
      <c r="BG26" s="733"/>
      <c r="BH26" s="765" t="s">
        <v>925</v>
      </c>
      <c r="BI26" s="765" t="s">
        <v>547</v>
      </c>
      <c r="BJ26" s="765" t="s">
        <v>548</v>
      </c>
      <c r="BK26" s="741" t="s">
        <v>917</v>
      </c>
      <c r="BL26" s="765" t="s">
        <v>472</v>
      </c>
      <c r="BM26" s="988"/>
      <c r="BN26" s="752"/>
      <c r="BO26" s="765" t="s">
        <v>771</v>
      </c>
      <c r="BP26" s="765" t="s">
        <v>778</v>
      </c>
      <c r="BQ26" s="733"/>
      <c r="BR26" s="774" t="s">
        <v>1036</v>
      </c>
      <c r="BS26" s="765" t="s">
        <v>770</v>
      </c>
      <c r="BT26" s="726" t="s">
        <v>419</v>
      </c>
      <c r="BU26" s="768" t="s">
        <v>420</v>
      </c>
      <c r="BV26" s="774" t="s">
        <v>1024</v>
      </c>
      <c r="BW26" s="1140"/>
      <c r="BX26" s="754"/>
    </row>
    <row r="27" spans="1:76" ht="279.95" customHeight="1" thickBot="1">
      <c r="A27" s="1055"/>
      <c r="B27" s="1112"/>
      <c r="C27" s="471"/>
      <c r="D27" s="523"/>
      <c r="E27" s="524"/>
      <c r="F27" s="525"/>
      <c r="G27" s="525"/>
      <c r="H27" s="1073"/>
      <c r="I27" s="1075"/>
      <c r="J27" s="1073"/>
      <c r="K27" s="1075"/>
      <c r="L27" s="1074"/>
      <c r="M27" s="1074"/>
      <c r="N27" s="487"/>
      <c r="O27" s="1132" t="s">
        <v>378</v>
      </c>
      <c r="P27" s="1133"/>
      <c r="Q27" s="1133"/>
      <c r="R27" s="1133"/>
      <c r="S27" s="1133"/>
      <c r="T27" s="1133"/>
      <c r="U27" s="1134"/>
      <c r="Z27" s="499"/>
      <c r="AA27" s="507"/>
      <c r="AB27" s="507"/>
      <c r="AC27" s="507"/>
      <c r="AD27" s="506"/>
      <c r="AE27" s="506"/>
      <c r="AF27" s="506"/>
      <c r="AG27" s="506"/>
      <c r="AH27" s="520"/>
      <c r="AI27" s="514"/>
      <c r="AJ27" s="757" t="s">
        <v>640</v>
      </c>
      <c r="AK27" s="718"/>
      <c r="AL27" s="718"/>
      <c r="AM27" s="718"/>
      <c r="AN27" s="718"/>
      <c r="AO27" s="718"/>
      <c r="AP27" s="718"/>
      <c r="AQ27" s="718"/>
      <c r="AR27" s="718"/>
      <c r="AS27" s="989" t="s">
        <v>879</v>
      </c>
      <c r="AT27" s="757" t="s">
        <v>640</v>
      </c>
      <c r="AU27" s="718"/>
      <c r="AV27" s="718"/>
      <c r="AW27" s="718"/>
      <c r="AX27" s="718"/>
      <c r="AY27" s="718"/>
      <c r="AZ27" s="718"/>
      <c r="BA27" s="718"/>
      <c r="BB27" s="718"/>
      <c r="BC27" s="989" t="s">
        <v>703</v>
      </c>
      <c r="BD27" s="757" t="s">
        <v>640</v>
      </c>
      <c r="BE27" s="776" t="s">
        <v>552</v>
      </c>
      <c r="BF27" s="776" t="s">
        <v>476</v>
      </c>
      <c r="BG27" s="718"/>
      <c r="BH27" s="718"/>
      <c r="BI27" s="718"/>
      <c r="BJ27" s="718"/>
      <c r="BK27" s="776" t="s">
        <v>631</v>
      </c>
      <c r="BL27" s="776" t="s">
        <v>553</v>
      </c>
      <c r="BM27" s="989" t="s">
        <v>677</v>
      </c>
      <c r="BN27" s="751" t="s">
        <v>640</v>
      </c>
      <c r="BO27" s="769"/>
      <c r="BQ27" s="718"/>
      <c r="BR27" s="718"/>
      <c r="BS27" s="718"/>
      <c r="BU27" s="727" t="s">
        <v>425</v>
      </c>
      <c r="BV27" s="727" t="s">
        <v>422</v>
      </c>
      <c r="BW27" s="1079" t="s">
        <v>649</v>
      </c>
      <c r="BX27" s="754"/>
    </row>
    <row r="28" spans="1:76" ht="279.95" customHeight="1" thickBot="1">
      <c r="A28" s="1062"/>
      <c r="B28" s="1063"/>
      <c r="E28" s="1138" t="s">
        <v>379</v>
      </c>
      <c r="F28" s="1114"/>
      <c r="G28" s="1115"/>
      <c r="H28" s="1073"/>
      <c r="I28" s="1075"/>
      <c r="J28" s="1073"/>
      <c r="K28" s="1075"/>
      <c r="L28" s="1074"/>
      <c r="M28" s="1074"/>
      <c r="N28" s="487"/>
      <c r="O28" s="1135"/>
      <c r="P28" s="1136"/>
      <c r="Q28" s="1136"/>
      <c r="R28" s="1136"/>
      <c r="S28" s="1136"/>
      <c r="T28" s="1136"/>
      <c r="U28" s="1137"/>
      <c r="V28" s="526"/>
      <c r="X28" s="498"/>
      <c r="Z28" s="499"/>
      <c r="AA28" s="507"/>
      <c r="AB28" s="507"/>
      <c r="AC28" s="507"/>
      <c r="AD28" s="492"/>
      <c r="AE28" s="448"/>
      <c r="AG28" s="492"/>
      <c r="AH28" s="514"/>
      <c r="AI28" s="514"/>
      <c r="AJ28" s="757"/>
      <c r="AK28" s="719"/>
      <c r="AL28" s="739" t="s">
        <v>973</v>
      </c>
      <c r="AM28" s="719"/>
      <c r="AN28" s="719"/>
      <c r="AO28" s="719"/>
      <c r="AP28" s="719"/>
      <c r="AQ28" s="719"/>
      <c r="AR28" s="719"/>
      <c r="AS28" s="989"/>
      <c r="AT28" s="757"/>
      <c r="AU28" s="719"/>
      <c r="AV28" s="719"/>
      <c r="AW28" s="719"/>
      <c r="AX28" s="719"/>
      <c r="AY28" s="719"/>
      <c r="AZ28" s="719"/>
      <c r="BA28" s="719"/>
      <c r="BB28" s="719"/>
      <c r="BC28" s="989"/>
      <c r="BD28" s="757"/>
      <c r="BE28" s="765" t="s">
        <v>551</v>
      </c>
      <c r="BF28" s="765" t="s">
        <v>922</v>
      </c>
      <c r="BG28" s="719"/>
      <c r="BH28" s="741" t="s">
        <v>924</v>
      </c>
      <c r="BI28" s="765" t="s">
        <v>767</v>
      </c>
      <c r="BJ28" s="765" t="s">
        <v>768</v>
      </c>
      <c r="BK28" s="765" t="s">
        <v>475</v>
      </c>
      <c r="BL28" s="765" t="s">
        <v>554</v>
      </c>
      <c r="BM28" s="989"/>
      <c r="BN28" s="751"/>
      <c r="BO28" s="726" t="s">
        <v>421</v>
      </c>
      <c r="BP28" s="765" t="s">
        <v>772</v>
      </c>
      <c r="BR28" s="739" t="s">
        <v>980</v>
      </c>
      <c r="BS28" s="774" t="s">
        <v>1030</v>
      </c>
      <c r="BT28" s="765" t="s">
        <v>1008</v>
      </c>
      <c r="BU28" s="768" t="s">
        <v>555</v>
      </c>
      <c r="BV28" s="768" t="s">
        <v>423</v>
      </c>
      <c r="BW28" s="1079"/>
      <c r="BX28" s="754"/>
    </row>
    <row r="29" spans="1:76" ht="279.95" customHeight="1">
      <c r="A29" s="496"/>
      <c r="B29" s="496"/>
      <c r="E29" s="1131"/>
      <c r="F29" s="1129"/>
      <c r="G29" s="1130"/>
      <c r="H29" s="1073"/>
      <c r="I29" s="1075"/>
      <c r="J29" s="1073"/>
      <c r="K29" s="1075"/>
      <c r="L29" s="1074"/>
      <c r="M29" s="1074"/>
      <c r="N29" s="487"/>
      <c r="O29" s="1135"/>
      <c r="P29" s="1136"/>
      <c r="Q29" s="1136"/>
      <c r="R29" s="1136"/>
      <c r="S29" s="1136"/>
      <c r="T29" s="1136"/>
      <c r="U29" s="1137"/>
      <c r="V29" s="492"/>
      <c r="W29" s="527"/>
      <c r="X29" s="498"/>
      <c r="Z29" s="499"/>
      <c r="AA29" s="507"/>
      <c r="AB29" s="507"/>
      <c r="AC29" s="507"/>
      <c r="AD29" s="506"/>
      <c r="AE29" s="492"/>
      <c r="AG29" s="492"/>
      <c r="AH29" s="514"/>
      <c r="AI29" s="514"/>
      <c r="AJ29" s="758" t="s">
        <v>640</v>
      </c>
      <c r="AK29" s="734"/>
      <c r="AL29" s="734"/>
      <c r="AM29" s="734"/>
      <c r="AN29" s="734"/>
      <c r="AO29" s="734"/>
      <c r="AP29" s="734"/>
      <c r="AQ29" s="734"/>
      <c r="AR29" s="734"/>
      <c r="AS29" s="988" t="s">
        <v>880</v>
      </c>
      <c r="AT29" s="758" t="s">
        <v>640</v>
      </c>
      <c r="AU29" s="734"/>
      <c r="AV29" s="734"/>
      <c r="AW29" s="734"/>
      <c r="AX29" s="734"/>
      <c r="AY29" s="734"/>
      <c r="AZ29" s="734"/>
      <c r="BA29" s="734"/>
      <c r="BB29" s="734"/>
      <c r="BC29" s="988" t="s">
        <v>704</v>
      </c>
      <c r="BD29" s="758" t="s">
        <v>640</v>
      </c>
      <c r="BE29" s="776" t="s">
        <v>480</v>
      </c>
      <c r="BF29" s="734"/>
      <c r="BG29" s="734"/>
      <c r="BH29" s="734"/>
      <c r="BI29" s="734"/>
      <c r="BJ29" s="734"/>
      <c r="BK29" s="734"/>
      <c r="BL29" s="734"/>
      <c r="BM29" s="988" t="s">
        <v>678</v>
      </c>
      <c r="BN29" s="752" t="s">
        <v>640</v>
      </c>
      <c r="BO29" s="734"/>
      <c r="BP29" s="734"/>
      <c r="BQ29" s="734"/>
      <c r="BR29" s="734"/>
      <c r="BS29" s="775" t="s">
        <v>1023</v>
      </c>
      <c r="BT29" s="734"/>
      <c r="BU29" s="734"/>
      <c r="BV29" s="727" t="s">
        <v>468</v>
      </c>
      <c r="BW29" s="1140" t="s">
        <v>650</v>
      </c>
      <c r="BX29" s="754"/>
    </row>
    <row r="30" spans="1:76" ht="279.95" customHeight="1" thickBot="1">
      <c r="A30" s="496"/>
      <c r="B30" s="496"/>
      <c r="E30" s="1131"/>
      <c r="F30" s="1129"/>
      <c r="G30" s="1130"/>
      <c r="H30" s="1073"/>
      <c r="I30" s="1075"/>
      <c r="J30" s="1073"/>
      <c r="K30" s="1075"/>
      <c r="L30" s="1074"/>
      <c r="M30" s="1074"/>
      <c r="N30" s="487"/>
      <c r="O30" s="1135"/>
      <c r="P30" s="1136"/>
      <c r="Q30" s="1136"/>
      <c r="R30" s="1136"/>
      <c r="S30" s="1136"/>
      <c r="T30" s="1136"/>
      <c r="U30" s="1137"/>
      <c r="V30" s="505"/>
      <c r="X30" s="448"/>
      <c r="Y30" s="476"/>
      <c r="Z30" s="499"/>
      <c r="AA30" s="528"/>
      <c r="AB30" s="507"/>
      <c r="AC30" s="507"/>
      <c r="AD30" s="492"/>
      <c r="AE30" s="492"/>
      <c r="AF30" s="492"/>
      <c r="AG30" s="492"/>
      <c r="AH30" s="448"/>
      <c r="AI30" s="448"/>
      <c r="AJ30" s="758"/>
      <c r="AK30" s="733"/>
      <c r="AL30" s="733"/>
      <c r="AM30" s="733"/>
      <c r="AN30" s="733"/>
      <c r="AO30" s="733"/>
      <c r="AP30" s="733"/>
      <c r="AQ30" s="733"/>
      <c r="AR30" s="733"/>
      <c r="AS30" s="988"/>
      <c r="AT30" s="758"/>
      <c r="AU30" s="733"/>
      <c r="AV30" s="733"/>
      <c r="AW30" s="733"/>
      <c r="AX30" s="733"/>
      <c r="AY30" s="733"/>
      <c r="AZ30" s="733"/>
      <c r="BA30" s="733"/>
      <c r="BB30" s="733"/>
      <c r="BC30" s="988"/>
      <c r="BD30" s="758"/>
      <c r="BE30" s="765" t="s">
        <v>765</v>
      </c>
      <c r="BF30" s="774" t="s">
        <v>1007</v>
      </c>
      <c r="BG30" s="733"/>
      <c r="BH30" s="726" t="s">
        <v>556</v>
      </c>
      <c r="BI30" s="765" t="s">
        <v>785</v>
      </c>
      <c r="BJ30" s="741" t="s">
        <v>773</v>
      </c>
      <c r="BK30" s="765" t="s">
        <v>923</v>
      </c>
      <c r="BL30" s="774" t="s">
        <v>1005</v>
      </c>
      <c r="BM30" s="988"/>
      <c r="BN30" s="752"/>
      <c r="BO30" s="726" t="s">
        <v>424</v>
      </c>
      <c r="BP30" s="765" t="s">
        <v>775</v>
      </c>
      <c r="BQ30" s="733"/>
      <c r="BR30" s="739" t="s">
        <v>981</v>
      </c>
      <c r="BS30" s="774" t="s">
        <v>1022</v>
      </c>
      <c r="BT30" s="733"/>
      <c r="BU30" s="733"/>
      <c r="BV30" s="726" t="s">
        <v>558</v>
      </c>
      <c r="BW30" s="1140"/>
      <c r="BX30" s="754"/>
    </row>
    <row r="31" spans="1:76" ht="279.95" customHeight="1">
      <c r="A31" s="496"/>
      <c r="B31" s="496"/>
      <c r="E31" s="1131"/>
      <c r="F31" s="1129"/>
      <c r="G31" s="1130"/>
      <c r="H31" s="1073"/>
      <c r="I31" s="1075"/>
      <c r="J31" s="1073"/>
      <c r="K31" s="1075"/>
      <c r="L31" s="1074"/>
      <c r="M31" s="1074"/>
      <c r="N31" s="487"/>
      <c r="O31" s="1135"/>
      <c r="P31" s="1136"/>
      <c r="Q31" s="1136"/>
      <c r="R31" s="1136"/>
      <c r="S31" s="1136"/>
      <c r="T31" s="1136"/>
      <c r="U31" s="1137"/>
      <c r="V31" s="529"/>
      <c r="Z31" s="499"/>
      <c r="AA31" s="530"/>
      <c r="AB31" s="531"/>
      <c r="AC31" s="531"/>
      <c r="AD31" s="506"/>
      <c r="AE31" s="532"/>
      <c r="AF31" s="448"/>
      <c r="AG31" s="492"/>
      <c r="AH31" s="514"/>
      <c r="AI31" s="448"/>
      <c r="AJ31" s="757" t="s">
        <v>640</v>
      </c>
      <c r="AK31" s="718"/>
      <c r="AL31" s="718"/>
      <c r="AM31" s="718"/>
      <c r="AN31" s="718"/>
      <c r="AO31" s="718"/>
      <c r="AP31" s="718"/>
      <c r="AQ31" s="718"/>
      <c r="AR31" s="718"/>
      <c r="AS31" s="989" t="s">
        <v>881</v>
      </c>
      <c r="AT31" s="757" t="s">
        <v>640</v>
      </c>
      <c r="AU31" s="718"/>
      <c r="AV31" s="718"/>
      <c r="AW31" s="718"/>
      <c r="AX31" s="718"/>
      <c r="AY31" s="718"/>
      <c r="AZ31" s="718"/>
      <c r="BA31" s="718"/>
      <c r="BB31" s="718"/>
      <c r="BC31" s="989" t="s">
        <v>705</v>
      </c>
      <c r="BD31" s="757" t="s">
        <v>640</v>
      </c>
      <c r="BE31" s="718"/>
      <c r="BF31" s="776" t="s">
        <v>557</v>
      </c>
      <c r="BG31" s="718"/>
      <c r="BH31" s="740" t="s">
        <v>560</v>
      </c>
      <c r="BI31" s="718"/>
      <c r="BJ31" s="727" t="s">
        <v>478</v>
      </c>
      <c r="BK31" s="718"/>
      <c r="BL31" s="740" t="s">
        <v>481</v>
      </c>
      <c r="BM31" s="989" t="s">
        <v>679</v>
      </c>
      <c r="BN31" s="751" t="s">
        <v>640</v>
      </c>
      <c r="BO31" s="718"/>
      <c r="BQ31" s="718"/>
      <c r="BR31" s="718"/>
      <c r="BS31" s="727" t="s">
        <v>431</v>
      </c>
      <c r="BT31" s="727" t="s">
        <v>432</v>
      </c>
      <c r="BU31" s="718"/>
      <c r="BV31" s="775" t="s">
        <v>1021</v>
      </c>
      <c r="BW31" s="1079" t="s">
        <v>651</v>
      </c>
      <c r="BX31" s="754"/>
    </row>
    <row r="32" spans="1:76" ht="279.95" customHeight="1" thickBot="1">
      <c r="A32" s="496"/>
      <c r="B32" s="496"/>
      <c r="E32" s="1139"/>
      <c r="F32" s="1116"/>
      <c r="G32" s="1117"/>
      <c r="H32" s="1073"/>
      <c r="I32" s="1075"/>
      <c r="J32" s="1073"/>
      <c r="K32" s="1075"/>
      <c r="L32" s="1074"/>
      <c r="M32" s="1074"/>
      <c r="N32" s="487"/>
      <c r="O32" s="1135"/>
      <c r="P32" s="1136"/>
      <c r="Q32" s="1136"/>
      <c r="R32" s="1136"/>
      <c r="S32" s="1136"/>
      <c r="T32" s="1136"/>
      <c r="U32" s="1137"/>
      <c r="V32" s="529"/>
      <c r="Z32" s="499"/>
      <c r="AA32" s="530"/>
      <c r="AB32" s="531"/>
      <c r="AC32" s="507"/>
      <c r="AD32" s="520"/>
      <c r="AE32" s="520"/>
      <c r="AF32" s="520"/>
      <c r="AG32" s="520"/>
      <c r="AH32" s="514"/>
      <c r="AJ32" s="757"/>
      <c r="AK32" s="719"/>
      <c r="AL32" s="719"/>
      <c r="AM32" s="719"/>
      <c r="AN32" s="719"/>
      <c r="AO32" s="719"/>
      <c r="AP32" s="719"/>
      <c r="AQ32" s="719"/>
      <c r="AR32" s="719"/>
      <c r="AS32" s="989"/>
      <c r="AT32" s="757"/>
      <c r="AU32" s="719"/>
      <c r="AV32" s="719"/>
      <c r="AW32" s="719"/>
      <c r="AX32" s="719"/>
      <c r="AY32" s="719"/>
      <c r="AZ32" s="719"/>
      <c r="BA32" s="719"/>
      <c r="BB32" s="719"/>
      <c r="BC32" s="989"/>
      <c r="BD32" s="757"/>
      <c r="BE32" s="768" t="s">
        <v>559</v>
      </c>
      <c r="BF32" s="765" t="s">
        <v>479</v>
      </c>
      <c r="BG32" s="719"/>
      <c r="BH32" s="781" t="s">
        <v>776</v>
      </c>
      <c r="BI32" s="773" t="s">
        <v>784</v>
      </c>
      <c r="BJ32" s="768" t="s">
        <v>561</v>
      </c>
      <c r="BK32" s="741" t="s">
        <v>926</v>
      </c>
      <c r="BL32" s="765" t="s">
        <v>777</v>
      </c>
      <c r="BM32" s="989"/>
      <c r="BN32" s="757"/>
      <c r="BO32" s="774" t="s">
        <v>1041</v>
      </c>
      <c r="BP32" s="765" t="s">
        <v>779</v>
      </c>
      <c r="BQ32" s="719"/>
      <c r="BR32" s="739" t="s">
        <v>982</v>
      </c>
      <c r="BS32" s="726" t="s">
        <v>428</v>
      </c>
      <c r="BT32" s="768" t="s">
        <v>429</v>
      </c>
      <c r="BU32" s="739" t="s">
        <v>983</v>
      </c>
      <c r="BV32" s="774" t="s">
        <v>1015</v>
      </c>
      <c r="BW32" s="1079"/>
      <c r="BX32" s="754"/>
    </row>
    <row r="33" spans="1:79" ht="279.95" customHeight="1">
      <c r="A33" s="496"/>
      <c r="B33" s="496"/>
      <c r="E33" s="1131" t="s">
        <v>380</v>
      </c>
      <c r="F33" s="1129"/>
      <c r="G33" s="1130"/>
      <c r="H33" s="1073"/>
      <c r="I33" s="1075"/>
      <c r="J33" s="1073"/>
      <c r="K33" s="1075"/>
      <c r="L33" s="1074"/>
      <c r="M33" s="1074"/>
      <c r="N33" s="487"/>
      <c r="O33" s="1135"/>
      <c r="P33" s="1136"/>
      <c r="Q33" s="1136"/>
      <c r="R33" s="1136"/>
      <c r="S33" s="1136"/>
      <c r="T33" s="1136"/>
      <c r="U33" s="1137"/>
      <c r="V33" s="529"/>
      <c r="W33" s="493"/>
      <c r="X33" s="448"/>
      <c r="Y33" s="448"/>
      <c r="Z33" s="499"/>
      <c r="AA33" s="493"/>
      <c r="AB33" s="493"/>
      <c r="AC33" s="493"/>
      <c r="AD33" s="520"/>
      <c r="AE33" s="520"/>
      <c r="AF33" s="522"/>
      <c r="AG33" s="522"/>
      <c r="AJ33" s="758" t="s">
        <v>640</v>
      </c>
      <c r="AK33" s="734"/>
      <c r="AL33" s="734"/>
      <c r="AM33" s="734"/>
      <c r="AN33" s="734"/>
      <c r="AO33" s="734"/>
      <c r="AP33" s="734"/>
      <c r="AQ33" s="734"/>
      <c r="AR33" s="734"/>
      <c r="AS33" s="988" t="s">
        <v>882</v>
      </c>
      <c r="AT33" s="758" t="s">
        <v>640</v>
      </c>
      <c r="AU33" s="734"/>
      <c r="AV33" s="734"/>
      <c r="AW33" s="734"/>
      <c r="AX33" s="734"/>
      <c r="AY33" s="734"/>
      <c r="AZ33" s="734"/>
      <c r="BA33" s="734"/>
      <c r="BB33" s="734"/>
      <c r="BC33" s="988" t="s">
        <v>706</v>
      </c>
      <c r="BD33" s="758" t="s">
        <v>640</v>
      </c>
      <c r="BE33" s="734"/>
      <c r="BF33" s="734"/>
      <c r="BG33" s="734"/>
      <c r="BH33" s="734"/>
      <c r="BI33" s="778"/>
      <c r="BJ33" s="734"/>
      <c r="BK33" s="734"/>
      <c r="BL33" s="766" t="s">
        <v>747</v>
      </c>
      <c r="BM33" s="988" t="s">
        <v>680</v>
      </c>
      <c r="BN33" s="752" t="s">
        <v>640</v>
      </c>
      <c r="BO33" s="734"/>
      <c r="BP33" s="734"/>
      <c r="BQ33" s="734"/>
      <c r="BR33" s="734"/>
      <c r="BS33" s="796" t="s">
        <v>565</v>
      </c>
      <c r="BT33" s="734"/>
      <c r="BU33" s="734"/>
      <c r="BV33" s="734"/>
      <c r="BW33" s="1140" t="s">
        <v>652</v>
      </c>
      <c r="BX33" s="754"/>
    </row>
    <row r="34" spans="1:79" ht="279.95" customHeight="1" thickBot="1">
      <c r="A34" s="496"/>
      <c r="B34" s="496"/>
      <c r="E34" s="1131"/>
      <c r="F34" s="1129"/>
      <c r="G34" s="1130"/>
      <c r="H34" s="1073"/>
      <c r="I34" s="1075"/>
      <c r="J34" s="1073"/>
      <c r="K34" s="1075"/>
      <c r="L34" s="1074"/>
      <c r="M34" s="1074"/>
      <c r="N34" s="487"/>
      <c r="O34" s="1135"/>
      <c r="P34" s="1136"/>
      <c r="Q34" s="1136"/>
      <c r="R34" s="1136"/>
      <c r="S34" s="1136"/>
      <c r="T34" s="1136"/>
      <c r="U34" s="1137"/>
      <c r="V34" s="533"/>
      <c r="W34" s="493"/>
      <c r="X34" s="448"/>
      <c r="Y34" s="448"/>
      <c r="Z34" s="534"/>
      <c r="AA34" s="517"/>
      <c r="AB34" s="517"/>
      <c r="AC34" s="493"/>
      <c r="AD34" s="448"/>
      <c r="AJ34" s="758"/>
      <c r="AK34" s="733"/>
      <c r="AL34" s="733"/>
      <c r="AM34" s="733"/>
      <c r="AN34" s="733"/>
      <c r="AO34" s="733"/>
      <c r="AP34" s="733"/>
      <c r="AQ34" s="733"/>
      <c r="AR34" s="733"/>
      <c r="AS34" s="988"/>
      <c r="AT34" s="758"/>
      <c r="AU34" s="733"/>
      <c r="AV34" s="733"/>
      <c r="AW34" s="733"/>
      <c r="AX34" s="733"/>
      <c r="AY34" s="733"/>
      <c r="AZ34" s="733"/>
      <c r="BA34" s="733"/>
      <c r="BB34" s="741" t="s">
        <v>833</v>
      </c>
      <c r="BC34" s="988"/>
      <c r="BD34" s="758"/>
      <c r="BE34" s="773" t="s">
        <v>788</v>
      </c>
      <c r="BF34" s="765" t="s">
        <v>786</v>
      </c>
      <c r="BG34" s="733"/>
      <c r="BH34" s="765" t="s">
        <v>781</v>
      </c>
      <c r="BI34" s="765" t="s">
        <v>562</v>
      </c>
      <c r="BJ34" s="765" t="s">
        <v>787</v>
      </c>
      <c r="BK34" s="765" t="s">
        <v>563</v>
      </c>
      <c r="BL34" s="765" t="s">
        <v>482</v>
      </c>
      <c r="BM34" s="988"/>
      <c r="BN34" s="752"/>
      <c r="BO34" s="726" t="s">
        <v>430</v>
      </c>
      <c r="BP34" s="741" t="s">
        <v>927</v>
      </c>
      <c r="BQ34" s="733"/>
      <c r="BR34" s="739" t="s">
        <v>984</v>
      </c>
      <c r="BS34" s="768" t="s">
        <v>564</v>
      </c>
      <c r="BT34" s="774" t="s">
        <v>1040</v>
      </c>
      <c r="BU34" s="774" t="s">
        <v>992</v>
      </c>
      <c r="BV34" s="774" t="s">
        <v>1039</v>
      </c>
      <c r="BW34" s="1140"/>
      <c r="BX34" s="754"/>
    </row>
    <row r="35" spans="1:79" ht="279.95" customHeight="1">
      <c r="A35" s="496"/>
      <c r="B35" s="496"/>
      <c r="E35" s="1131"/>
      <c r="F35" s="1129"/>
      <c r="G35" s="1130"/>
      <c r="H35" s="1073"/>
      <c r="I35" s="1075"/>
      <c r="J35" s="1073"/>
      <c r="K35" s="1075"/>
      <c r="L35" s="1074"/>
      <c r="M35" s="1074"/>
      <c r="N35" s="487"/>
      <c r="O35" s="1135"/>
      <c r="P35" s="1136"/>
      <c r="Q35" s="1136"/>
      <c r="R35" s="1136"/>
      <c r="S35" s="1136"/>
      <c r="T35" s="1136"/>
      <c r="U35" s="1137"/>
      <c r="V35" s="533"/>
      <c r="W35" s="493"/>
      <c r="X35" s="448"/>
      <c r="Y35" s="448"/>
      <c r="Z35" s="534"/>
      <c r="AA35" s="503"/>
      <c r="AB35" s="503"/>
      <c r="AC35" s="503"/>
      <c r="AD35" s="448"/>
      <c r="AI35" s="448"/>
      <c r="AJ35" s="757" t="s">
        <v>640</v>
      </c>
      <c r="AK35" s="718"/>
      <c r="AL35" s="718"/>
      <c r="AM35" s="718"/>
      <c r="AN35" s="718"/>
      <c r="AO35" s="718"/>
      <c r="AP35" s="718"/>
      <c r="AQ35" s="718"/>
      <c r="AR35" s="718"/>
      <c r="AS35" s="989" t="s">
        <v>883</v>
      </c>
      <c r="AT35" s="757" t="s">
        <v>640</v>
      </c>
      <c r="AU35" s="718"/>
      <c r="AV35" s="718"/>
      <c r="AW35" s="718"/>
      <c r="AX35" s="718"/>
      <c r="AY35" s="718"/>
      <c r="AZ35" s="718"/>
      <c r="BA35" s="718"/>
      <c r="BB35" s="718"/>
      <c r="BC35" s="989" t="s">
        <v>707</v>
      </c>
      <c r="BD35" s="757" t="s">
        <v>640</v>
      </c>
      <c r="BE35" s="776" t="s">
        <v>484</v>
      </c>
      <c r="BG35" s="718"/>
      <c r="BH35" s="718"/>
      <c r="BJ35" s="776" t="s">
        <v>488</v>
      </c>
      <c r="BL35" s="718"/>
      <c r="BM35" s="989" t="s">
        <v>681</v>
      </c>
      <c r="BN35" s="751" t="s">
        <v>640</v>
      </c>
      <c r="BO35" s="718"/>
      <c r="BP35" s="718"/>
      <c r="BQ35" s="718"/>
      <c r="BR35" s="718"/>
      <c r="BS35" s="718"/>
      <c r="BT35" s="718"/>
      <c r="BU35" s="727" t="s">
        <v>571</v>
      </c>
      <c r="BV35" s="796" t="s">
        <v>434</v>
      </c>
      <c r="BW35" s="1079" t="s">
        <v>653</v>
      </c>
      <c r="BX35" s="754"/>
    </row>
    <row r="36" spans="1:79" ht="279.95" customHeight="1" thickBot="1">
      <c r="A36" s="448"/>
      <c r="B36" s="503"/>
      <c r="E36" s="1131"/>
      <c r="F36" s="1129"/>
      <c r="G36" s="1130"/>
      <c r="H36" s="1073"/>
      <c r="I36" s="1075"/>
      <c r="J36" s="1073"/>
      <c r="K36" s="1075"/>
      <c r="L36" s="1074"/>
      <c r="M36" s="1074"/>
      <c r="N36" s="487"/>
      <c r="O36" s="1135"/>
      <c r="P36" s="1136"/>
      <c r="Q36" s="1136"/>
      <c r="R36" s="1136"/>
      <c r="S36" s="1136"/>
      <c r="T36" s="1136"/>
      <c r="U36" s="1137"/>
      <c r="V36" s="533"/>
      <c r="W36" s="492"/>
      <c r="X36" s="492"/>
      <c r="Z36" s="536"/>
      <c r="AA36" s="507"/>
      <c r="AB36" s="520"/>
      <c r="AC36" s="507"/>
      <c r="AD36" s="520"/>
      <c r="AE36" s="448"/>
      <c r="AF36" s="496"/>
      <c r="AG36" s="520"/>
      <c r="AH36" s="514"/>
      <c r="AI36" s="448"/>
      <c r="AJ36" s="757"/>
      <c r="AK36" s="719"/>
      <c r="AL36" s="719"/>
      <c r="AM36" s="719"/>
      <c r="AN36" s="719"/>
      <c r="AO36" s="719"/>
      <c r="AP36" s="719"/>
      <c r="AQ36" s="719"/>
      <c r="AR36" s="719"/>
      <c r="AS36" s="989"/>
      <c r="AT36" s="757"/>
      <c r="AU36" s="719"/>
      <c r="AV36" s="719"/>
      <c r="AW36" s="719"/>
      <c r="AX36" s="719"/>
      <c r="AY36" s="719"/>
      <c r="AZ36" s="719"/>
      <c r="BA36" s="719"/>
      <c r="BB36" s="741" t="s">
        <v>794</v>
      </c>
      <c r="BC36" s="989"/>
      <c r="BD36" s="757"/>
      <c r="BE36" s="765" t="s">
        <v>795</v>
      </c>
      <c r="BF36" s="741" t="s">
        <v>486</v>
      </c>
      <c r="BH36" s="765" t="s">
        <v>487</v>
      </c>
      <c r="BI36" s="741" t="s">
        <v>914</v>
      </c>
      <c r="BJ36" s="765" t="s">
        <v>570</v>
      </c>
      <c r="BK36" s="741" t="s">
        <v>489</v>
      </c>
      <c r="BL36" s="726" t="s">
        <v>490</v>
      </c>
      <c r="BM36" s="989"/>
      <c r="BN36" s="751"/>
      <c r="BO36" s="768" t="s">
        <v>433</v>
      </c>
      <c r="BP36" s="765" t="s">
        <v>796</v>
      </c>
      <c r="BQ36" s="719"/>
      <c r="BR36" s="765" t="s">
        <v>797</v>
      </c>
      <c r="BS36" s="774" t="s">
        <v>1042</v>
      </c>
      <c r="BT36" s="774" t="s">
        <v>1043</v>
      </c>
      <c r="BU36" s="768" t="s">
        <v>572</v>
      </c>
      <c r="BV36" s="768" t="s">
        <v>435</v>
      </c>
      <c r="BW36" s="1079"/>
      <c r="BX36" s="754"/>
      <c r="CA36" s="412" t="s">
        <v>322</v>
      </c>
    </row>
    <row r="37" spans="1:79" ht="279.95" customHeight="1" thickBot="1">
      <c r="A37" s="448"/>
      <c r="B37" s="503"/>
      <c r="E37" s="1131"/>
      <c r="F37" s="1129"/>
      <c r="G37" s="1130"/>
      <c r="H37" s="1073"/>
      <c r="I37" s="1075"/>
      <c r="J37" s="1073"/>
      <c r="K37" s="1075"/>
      <c r="L37" s="1074"/>
      <c r="M37" s="1074"/>
      <c r="N37" s="487"/>
      <c r="O37" s="1135"/>
      <c r="P37" s="1136"/>
      <c r="Q37" s="1136"/>
      <c r="R37" s="1136"/>
      <c r="S37" s="1136"/>
      <c r="T37" s="1136"/>
      <c r="U37" s="1137"/>
      <c r="V37" s="503"/>
      <c r="W37" s="492"/>
      <c r="X37" s="492"/>
      <c r="Z37" s="536"/>
      <c r="AA37" s="507"/>
      <c r="AB37" s="520"/>
      <c r="AC37" s="507"/>
      <c r="AD37" s="520"/>
      <c r="AE37" s="476"/>
      <c r="AF37" s="448"/>
      <c r="AG37" s="522"/>
      <c r="AH37" s="514"/>
      <c r="AI37" s="448"/>
      <c r="AJ37" s="759"/>
      <c r="AK37" s="744" t="s">
        <v>403</v>
      </c>
      <c r="AL37" s="745"/>
      <c r="AM37" s="745"/>
      <c r="AN37" s="745"/>
      <c r="AO37" s="745"/>
      <c r="AP37" s="745"/>
      <c r="AQ37" s="745"/>
      <c r="AR37" s="746"/>
      <c r="AS37" s="747" t="s">
        <v>884</v>
      </c>
      <c r="AT37" s="759"/>
      <c r="AU37" s="735" t="s">
        <v>403</v>
      </c>
      <c r="AV37" s="736"/>
      <c r="AW37" s="736"/>
      <c r="AX37" s="736"/>
      <c r="AY37" s="736"/>
      <c r="AZ37" s="736"/>
      <c r="BA37" s="736"/>
      <c r="BB37" s="737"/>
      <c r="BC37" s="738" t="s">
        <v>708</v>
      </c>
      <c r="BD37" s="759"/>
      <c r="BE37" s="1185" t="s">
        <v>403</v>
      </c>
      <c r="BF37" s="1186"/>
      <c r="BG37" s="1186"/>
      <c r="BH37" s="1186"/>
      <c r="BI37" s="1186"/>
      <c r="BJ37" s="1186"/>
      <c r="BK37" s="1186"/>
      <c r="BL37" s="1187"/>
      <c r="BM37" s="738" t="s">
        <v>682</v>
      </c>
      <c r="BN37" s="753"/>
      <c r="BO37" s="1185" t="s">
        <v>404</v>
      </c>
      <c r="BP37" s="1186"/>
      <c r="BQ37" s="1186"/>
      <c r="BR37" s="1186"/>
      <c r="BS37" s="1186"/>
      <c r="BT37" s="1186"/>
      <c r="BU37" s="1186"/>
      <c r="BV37" s="1187"/>
      <c r="BW37" s="749" t="s">
        <v>654</v>
      </c>
      <c r="BX37" s="754"/>
    </row>
    <row r="38" spans="1:79" ht="279.95" customHeight="1" thickBot="1">
      <c r="A38" s="448"/>
      <c r="B38" s="503"/>
      <c r="E38" s="1139"/>
      <c r="F38" s="1116"/>
      <c r="G38" s="1117"/>
      <c r="H38" s="1073"/>
      <c r="I38" s="1075"/>
      <c r="J38" s="1073"/>
      <c r="K38" s="1075"/>
      <c r="L38" s="1074"/>
      <c r="M38" s="1074"/>
      <c r="N38" s="487"/>
      <c r="O38" s="1135"/>
      <c r="P38" s="1136"/>
      <c r="Q38" s="1136"/>
      <c r="R38" s="1136"/>
      <c r="S38" s="1136"/>
      <c r="T38" s="1136"/>
      <c r="U38" s="1137"/>
      <c r="V38" s="503"/>
      <c r="W38" s="492"/>
      <c r="X38" s="492"/>
      <c r="Y38" s="538"/>
      <c r="Z38" s="536"/>
      <c r="AA38" s="507"/>
      <c r="AB38" s="507"/>
      <c r="AC38" s="507"/>
      <c r="AD38" s="448"/>
      <c r="AE38" s="448"/>
      <c r="AF38" s="448"/>
      <c r="AG38" s="508"/>
      <c r="AH38" s="493"/>
      <c r="AI38" s="506"/>
      <c r="AJ38" s="757" t="s">
        <v>640</v>
      </c>
      <c r="AK38" s="718"/>
      <c r="AL38" s="718"/>
      <c r="AM38" s="718"/>
      <c r="AN38" s="718"/>
      <c r="AO38" s="718"/>
      <c r="AP38" s="718"/>
      <c r="AQ38" s="718"/>
      <c r="AR38" s="718"/>
      <c r="AS38" s="989" t="s">
        <v>893</v>
      </c>
      <c r="AT38" s="757" t="s">
        <v>640</v>
      </c>
      <c r="AU38" s="718"/>
      <c r="AV38" s="718"/>
      <c r="AW38" s="718"/>
      <c r="AX38" s="718"/>
      <c r="AY38" s="718"/>
      <c r="AZ38" s="718"/>
      <c r="BA38" s="718"/>
      <c r="BB38" s="718"/>
      <c r="BC38" s="989" t="s">
        <v>709</v>
      </c>
      <c r="BD38" s="757" t="s">
        <v>640</v>
      </c>
      <c r="BE38" s="776" t="s">
        <v>483</v>
      </c>
      <c r="BF38" s="718"/>
      <c r="BG38" s="718"/>
      <c r="BH38" s="718"/>
      <c r="BI38" s="718"/>
      <c r="BJ38" s="776" t="s">
        <v>569</v>
      </c>
      <c r="BK38" s="718"/>
      <c r="BL38" s="718"/>
      <c r="BM38" s="989" t="s">
        <v>683</v>
      </c>
      <c r="BN38" s="751" t="s">
        <v>640</v>
      </c>
      <c r="BO38" s="718"/>
      <c r="BP38" s="718"/>
      <c r="BQ38" s="718"/>
      <c r="BR38" s="718"/>
      <c r="BS38" s="718"/>
      <c r="BT38" s="718"/>
      <c r="BU38" s="718"/>
      <c r="BV38" s="775" t="s">
        <v>1020</v>
      </c>
      <c r="BW38" s="1079" t="s">
        <v>655</v>
      </c>
      <c r="BX38" s="754"/>
    </row>
    <row r="39" spans="1:79" ht="279.95" customHeight="1" thickTop="1" thickBot="1">
      <c r="A39" s="448"/>
      <c r="B39" s="503"/>
      <c r="E39" s="1138" t="s">
        <v>381</v>
      </c>
      <c r="F39" s="1114"/>
      <c r="G39" s="1115"/>
      <c r="H39" s="1073"/>
      <c r="I39" s="1075"/>
      <c r="J39" s="1073"/>
      <c r="K39" s="1075"/>
      <c r="L39" s="1074"/>
      <c r="M39" s="1074"/>
      <c r="N39" s="539"/>
      <c r="O39" s="1135"/>
      <c r="P39" s="1136"/>
      <c r="Q39" s="1136"/>
      <c r="R39" s="1136"/>
      <c r="S39" s="1136"/>
      <c r="T39" s="1136"/>
      <c r="U39" s="1137"/>
      <c r="V39" s="503"/>
      <c r="W39" s="492"/>
      <c r="X39" s="492"/>
      <c r="Y39" s="538"/>
      <c r="Z39" s="540"/>
      <c r="AA39" s="507"/>
      <c r="AB39" s="507"/>
      <c r="AC39" s="507"/>
      <c r="AD39" s="448"/>
      <c r="AE39" s="448"/>
      <c r="AF39" s="448"/>
      <c r="AG39" s="508"/>
      <c r="AH39" s="493"/>
      <c r="AI39" s="506"/>
      <c r="AJ39" s="757"/>
      <c r="AK39" s="719"/>
      <c r="AL39" s="719"/>
      <c r="AM39" s="719"/>
      <c r="AN39" s="719"/>
      <c r="AO39" s="719"/>
      <c r="AP39" s="719"/>
      <c r="AQ39" s="719"/>
      <c r="AR39" s="719"/>
      <c r="AS39" s="989"/>
      <c r="AT39" s="757"/>
      <c r="AU39" s="719"/>
      <c r="AV39" s="741" t="s">
        <v>995</v>
      </c>
      <c r="AW39" s="719"/>
      <c r="AX39" s="719"/>
      <c r="AY39" s="719"/>
      <c r="AZ39" s="719"/>
      <c r="BA39" s="741" t="s">
        <v>996</v>
      </c>
      <c r="BB39" s="719"/>
      <c r="BC39" s="989"/>
      <c r="BD39" s="757"/>
      <c r="BE39" s="741" t="s">
        <v>783</v>
      </c>
      <c r="BF39" s="741" t="s">
        <v>811</v>
      </c>
      <c r="BG39" s="719"/>
      <c r="BH39" s="719"/>
      <c r="BI39" s="719"/>
      <c r="BJ39" s="741" t="s">
        <v>801</v>
      </c>
      <c r="BK39" s="741" t="s">
        <v>802</v>
      </c>
      <c r="BL39" s="741" t="s">
        <v>803</v>
      </c>
      <c r="BM39" s="989"/>
      <c r="BN39" s="751"/>
      <c r="BO39" s="726" t="s">
        <v>438</v>
      </c>
      <c r="BP39" s="726" t="s">
        <v>910</v>
      </c>
      <c r="BQ39" s="719"/>
      <c r="BR39" s="773" t="s">
        <v>986</v>
      </c>
      <c r="BS39" s="741" t="s">
        <v>987</v>
      </c>
      <c r="BT39" s="773" t="s">
        <v>988</v>
      </c>
      <c r="BU39" s="726" t="s">
        <v>437</v>
      </c>
      <c r="BV39" s="774" t="s">
        <v>1037</v>
      </c>
      <c r="BW39" s="1079"/>
      <c r="BX39" s="754"/>
    </row>
    <row r="40" spans="1:79" ht="279.95" customHeight="1" thickTop="1">
      <c r="A40" s="448"/>
      <c r="B40" s="503"/>
      <c r="E40" s="1131"/>
      <c r="F40" s="1129"/>
      <c r="G40" s="1130"/>
      <c r="H40" s="1073"/>
      <c r="I40" s="1075"/>
      <c r="J40" s="1073"/>
      <c r="K40" s="1075"/>
      <c r="L40" s="1074"/>
      <c r="M40" s="1074"/>
      <c r="N40" s="487"/>
      <c r="O40" s="1135"/>
      <c r="P40" s="1136"/>
      <c r="Q40" s="1136"/>
      <c r="R40" s="1136"/>
      <c r="S40" s="1136"/>
      <c r="T40" s="1136"/>
      <c r="U40" s="1137"/>
      <c r="W40" s="492"/>
      <c r="X40" s="492"/>
      <c r="Y40" s="538"/>
      <c r="Z40" s="541"/>
      <c r="AA40" s="542"/>
      <c r="AB40" s="542"/>
      <c r="AC40" s="542"/>
      <c r="AH40" s="448"/>
      <c r="AI40" s="448"/>
      <c r="AJ40" s="758" t="s">
        <v>640</v>
      </c>
      <c r="AK40" s="734"/>
      <c r="AL40" s="734"/>
      <c r="AM40" s="734"/>
      <c r="AN40" s="734"/>
      <c r="AO40" s="734"/>
      <c r="AP40" s="734"/>
      <c r="AQ40" s="734"/>
      <c r="AR40" s="734"/>
      <c r="AS40" s="988" t="s">
        <v>894</v>
      </c>
      <c r="AT40" s="758" t="s">
        <v>640</v>
      </c>
      <c r="AU40" s="734"/>
      <c r="AV40" s="734"/>
      <c r="AW40" s="734"/>
      <c r="AX40" s="734"/>
      <c r="AY40" s="734"/>
      <c r="AZ40" s="734"/>
      <c r="BA40" s="734"/>
      <c r="BB40" s="734"/>
      <c r="BC40" s="988" t="s">
        <v>710</v>
      </c>
      <c r="BD40" s="758" t="s">
        <v>640</v>
      </c>
      <c r="BE40" s="776" t="s">
        <v>593</v>
      </c>
      <c r="BF40" s="734"/>
      <c r="BG40" s="734"/>
      <c r="BH40" s="734"/>
      <c r="BI40" s="734"/>
      <c r="BJ40" s="740" t="s">
        <v>501</v>
      </c>
      <c r="BK40" s="740" t="s">
        <v>799</v>
      </c>
      <c r="BL40" s="740" t="s">
        <v>800</v>
      </c>
      <c r="BM40" s="988" t="s">
        <v>684</v>
      </c>
      <c r="BN40" s="752" t="s">
        <v>640</v>
      </c>
      <c r="BO40" s="727" t="s">
        <v>439</v>
      </c>
      <c r="BP40" s="734"/>
      <c r="BQ40" s="734"/>
      <c r="BR40" s="734"/>
      <c r="BS40" s="734"/>
      <c r="BT40" s="734"/>
      <c r="BU40" s="734"/>
      <c r="BV40" s="734"/>
      <c r="BW40" s="1140" t="s">
        <v>656</v>
      </c>
      <c r="BX40" s="754"/>
    </row>
    <row r="41" spans="1:79" ht="279.95" customHeight="1" thickBot="1">
      <c r="A41" s="448"/>
      <c r="B41" s="503"/>
      <c r="E41" s="1139"/>
      <c r="F41" s="1116"/>
      <c r="G41" s="1117"/>
      <c r="H41" s="1073"/>
      <c r="I41" s="1075"/>
      <c r="J41" s="1073"/>
      <c r="K41" s="1075"/>
      <c r="L41" s="1074"/>
      <c r="M41" s="1074"/>
      <c r="N41" s="487"/>
      <c r="O41" s="1135"/>
      <c r="P41" s="1136"/>
      <c r="Q41" s="1136"/>
      <c r="R41" s="1136"/>
      <c r="S41" s="1136"/>
      <c r="T41" s="1136"/>
      <c r="U41" s="1137"/>
      <c r="W41" s="492"/>
      <c r="X41" s="492"/>
      <c r="Z41" s="541"/>
      <c r="AA41" s="542"/>
      <c r="AB41" s="542"/>
      <c r="AC41" s="542"/>
      <c r="AH41" s="496"/>
      <c r="AJ41" s="758"/>
      <c r="AK41" s="733"/>
      <c r="AL41" s="733"/>
      <c r="AM41" s="733"/>
      <c r="AN41" s="733"/>
      <c r="AO41" s="733"/>
      <c r="AP41" s="733"/>
      <c r="AQ41" s="733"/>
      <c r="AR41" s="733"/>
      <c r="AS41" s="988"/>
      <c r="AT41" s="758"/>
      <c r="AU41" s="739" t="s">
        <v>834</v>
      </c>
      <c r="AV41" s="739" t="s">
        <v>835</v>
      </c>
      <c r="AW41" s="767" t="s">
        <v>836</v>
      </c>
      <c r="AX41" s="733"/>
      <c r="AY41" s="767" t="s">
        <v>837</v>
      </c>
      <c r="AZ41" s="767" t="s">
        <v>838</v>
      </c>
      <c r="BA41" s="767" t="s">
        <v>748</v>
      </c>
      <c r="BB41" s="767" t="s">
        <v>798</v>
      </c>
      <c r="BC41" s="988"/>
      <c r="BD41" s="758"/>
      <c r="BE41" s="765" t="s">
        <v>805</v>
      </c>
      <c r="BF41" s="765" t="s">
        <v>806</v>
      </c>
      <c r="BG41" s="733"/>
      <c r="BH41" s="765" t="s">
        <v>807</v>
      </c>
      <c r="BI41" s="765" t="s">
        <v>494</v>
      </c>
      <c r="BJ41" s="765" t="s">
        <v>808</v>
      </c>
      <c r="BK41" s="765" t="s">
        <v>809</v>
      </c>
      <c r="BL41" s="741" t="s">
        <v>576</v>
      </c>
      <c r="BM41" s="988"/>
      <c r="BN41" s="752"/>
      <c r="BO41" s="726" t="s">
        <v>912</v>
      </c>
      <c r="BP41" s="726" t="s">
        <v>911</v>
      </c>
      <c r="BQ41" s="733"/>
      <c r="BR41" s="773" t="s">
        <v>1002</v>
      </c>
      <c r="BS41" s="765" t="s">
        <v>574</v>
      </c>
      <c r="BT41" s="791" t="s">
        <v>928</v>
      </c>
      <c r="BU41" s="741" t="s">
        <v>989</v>
      </c>
      <c r="BV41" s="773" t="s">
        <v>990</v>
      </c>
      <c r="BW41" s="1140"/>
      <c r="BX41" s="754"/>
    </row>
    <row r="42" spans="1:79" ht="279.95" customHeight="1">
      <c r="A42" s="448"/>
      <c r="B42" s="503"/>
      <c r="E42" s="1138" t="s">
        <v>382</v>
      </c>
      <c r="F42" s="1114"/>
      <c r="G42" s="1115"/>
      <c r="H42" s="1073"/>
      <c r="I42" s="1075"/>
      <c r="J42" s="1073"/>
      <c r="K42" s="1075"/>
      <c r="L42" s="1074"/>
      <c r="M42" s="1074"/>
      <c r="N42" s="487"/>
      <c r="O42" s="1135"/>
      <c r="P42" s="1136"/>
      <c r="Q42" s="1136"/>
      <c r="R42" s="1136"/>
      <c r="S42" s="1136"/>
      <c r="T42" s="1136"/>
      <c r="U42" s="1137"/>
      <c r="V42" s="498"/>
      <c r="W42" s="492"/>
      <c r="X42" s="492"/>
      <c r="Z42" s="540"/>
      <c r="AA42" s="542"/>
      <c r="AD42" s="448"/>
      <c r="AE42" s="542"/>
      <c r="AF42" s="542"/>
      <c r="AG42" s="514"/>
      <c r="AH42" s="514"/>
      <c r="AJ42" s="757" t="s">
        <v>640</v>
      </c>
      <c r="AK42" s="718"/>
      <c r="AL42" s="718"/>
      <c r="AM42" s="718"/>
      <c r="AN42" s="718"/>
      <c r="AO42" s="718"/>
      <c r="AP42" s="718"/>
      <c r="AQ42" s="718"/>
      <c r="AR42" s="718"/>
      <c r="AS42" s="989" t="s">
        <v>895</v>
      </c>
      <c r="AT42" s="757" t="s">
        <v>640</v>
      </c>
      <c r="AU42" s="718"/>
      <c r="AV42" s="718"/>
      <c r="AW42" s="718"/>
      <c r="AX42" s="718"/>
      <c r="AY42" s="718"/>
      <c r="AZ42" s="718"/>
      <c r="BA42" s="718"/>
      <c r="BB42" s="718"/>
      <c r="BC42" s="989" t="s">
        <v>711</v>
      </c>
      <c r="BD42" s="757" t="s">
        <v>640</v>
      </c>
      <c r="BE42" s="718"/>
      <c r="BF42" s="718"/>
      <c r="BG42" s="718"/>
      <c r="BH42" s="740" t="s">
        <v>592</v>
      </c>
      <c r="BI42" s="740" t="s">
        <v>578</v>
      </c>
      <c r="BJ42" s="740" t="s">
        <v>500</v>
      </c>
      <c r="BK42" s="740" t="s">
        <v>566</v>
      </c>
      <c r="BL42" s="740" t="s">
        <v>491</v>
      </c>
      <c r="BM42" s="989" t="s">
        <v>685</v>
      </c>
      <c r="BN42" s="751" t="s">
        <v>640</v>
      </c>
      <c r="BO42" s="718"/>
      <c r="BP42" s="727" t="s">
        <v>440</v>
      </c>
      <c r="BQ42" s="718"/>
      <c r="BR42" s="718"/>
      <c r="BS42" s="718"/>
      <c r="BT42" s="718"/>
      <c r="BU42" s="718"/>
      <c r="BV42" s="718"/>
      <c r="BW42" s="1079" t="s">
        <v>657</v>
      </c>
      <c r="BX42" s="754"/>
    </row>
    <row r="43" spans="1:79" s="549" customFormat="1" ht="279.95" customHeight="1" thickBot="1">
      <c r="A43" s="448"/>
      <c r="B43" s="503"/>
      <c r="C43" s="412"/>
      <c r="D43" s="412"/>
      <c r="E43" s="1139"/>
      <c r="F43" s="1116"/>
      <c r="G43" s="1117"/>
      <c r="H43" s="1073"/>
      <c r="I43" s="1075"/>
      <c r="J43" s="1073"/>
      <c r="K43" s="1075"/>
      <c r="L43" s="1074"/>
      <c r="M43" s="1074"/>
      <c r="N43" s="487"/>
      <c r="O43" s="1135"/>
      <c r="P43" s="1136"/>
      <c r="Q43" s="1136"/>
      <c r="R43" s="1136"/>
      <c r="S43" s="1136"/>
      <c r="T43" s="1136"/>
      <c r="U43" s="1137"/>
      <c r="V43" s="544"/>
      <c r="W43" s="492"/>
      <c r="X43" s="492"/>
      <c r="Y43" s="545"/>
      <c r="Z43" s="412"/>
      <c r="AA43" s="546"/>
      <c r="AB43" s="543"/>
      <c r="AC43" s="412"/>
      <c r="AD43" s="448"/>
      <c r="AE43" s="547"/>
      <c r="AF43" s="547"/>
      <c r="AG43" s="514"/>
      <c r="AH43" s="514"/>
      <c r="AI43" s="448"/>
      <c r="AJ43" s="757"/>
      <c r="AK43" s="719"/>
      <c r="AL43" s="719"/>
      <c r="AM43" s="719"/>
      <c r="AN43" s="719"/>
      <c r="AO43" s="719"/>
      <c r="AP43" s="719"/>
      <c r="AQ43" s="719"/>
      <c r="AR43" s="719"/>
      <c r="AS43" s="989"/>
      <c r="AT43" s="757"/>
      <c r="AU43" s="739" t="s">
        <v>839</v>
      </c>
      <c r="AV43" s="739" t="s">
        <v>840</v>
      </c>
      <c r="AW43" s="739" t="s">
        <v>841</v>
      </c>
      <c r="AX43" s="719"/>
      <c r="AY43" s="767" t="s">
        <v>842</v>
      </c>
      <c r="AZ43" s="773" t="s">
        <v>843</v>
      </c>
      <c r="BA43" s="767" t="s">
        <v>844</v>
      </c>
      <c r="BB43" s="767" t="s">
        <v>845</v>
      </c>
      <c r="BC43" s="989"/>
      <c r="BD43" s="757"/>
      <c r="BE43" s="719"/>
      <c r="BF43" s="719"/>
      <c r="BG43" s="719"/>
      <c r="BH43" s="741" t="s">
        <v>495</v>
      </c>
      <c r="BI43" s="773" t="s">
        <v>496</v>
      </c>
      <c r="BJ43" s="773" t="s">
        <v>810</v>
      </c>
      <c r="BK43" s="741" t="s">
        <v>589</v>
      </c>
      <c r="BL43" s="741" t="s">
        <v>508</v>
      </c>
      <c r="BM43" s="989"/>
      <c r="BN43" s="751"/>
      <c r="BO43" s="726" t="s">
        <v>441</v>
      </c>
      <c r="BP43" s="726" t="s">
        <v>443</v>
      </c>
      <c r="BQ43" s="719"/>
      <c r="BR43" s="773" t="s">
        <v>985</v>
      </c>
      <c r="BS43" s="789" t="s">
        <v>929</v>
      </c>
      <c r="BT43" s="765" t="s">
        <v>577</v>
      </c>
      <c r="BU43" s="773" t="s">
        <v>804</v>
      </c>
      <c r="BV43" s="773" t="s">
        <v>930</v>
      </c>
      <c r="BW43" s="1079"/>
      <c r="BX43" s="755"/>
    </row>
    <row r="44" spans="1:79" s="549" customFormat="1" ht="279.95" customHeight="1" thickBot="1">
      <c r="A44" s="448"/>
      <c r="B44" s="496"/>
      <c r="C44" s="412"/>
      <c r="D44" s="412"/>
      <c r="E44" s="1139" t="s">
        <v>383</v>
      </c>
      <c r="F44" s="1116"/>
      <c r="G44" s="1117"/>
      <c r="H44" s="1076"/>
      <c r="I44" s="1078"/>
      <c r="J44" s="1076"/>
      <c r="K44" s="1078"/>
      <c r="L44" s="1077"/>
      <c r="M44" s="1077"/>
      <c r="N44" s="487"/>
      <c r="O44" s="1135"/>
      <c r="P44" s="1136"/>
      <c r="Q44" s="1136"/>
      <c r="R44" s="1136"/>
      <c r="S44" s="1136"/>
      <c r="T44" s="1136"/>
      <c r="U44" s="1137"/>
      <c r="V44" s="448"/>
      <c r="W44" s="412"/>
      <c r="X44" s="545"/>
      <c r="Y44" s="545"/>
      <c r="Z44" s="412"/>
      <c r="AA44" s="550"/>
      <c r="AB44" s="507"/>
      <c r="AC44" s="507"/>
      <c r="AD44" s="448"/>
      <c r="AE44" s="448"/>
      <c r="AF44" s="448"/>
      <c r="AG44" s="514"/>
      <c r="AH44" s="514"/>
      <c r="AI44" s="448"/>
      <c r="AJ44" s="758" t="s">
        <v>640</v>
      </c>
      <c r="AK44" s="734"/>
      <c r="AL44" s="734"/>
      <c r="AM44" s="734"/>
      <c r="AN44" s="734"/>
      <c r="AO44" s="734"/>
      <c r="AP44" s="734"/>
      <c r="AQ44" s="734"/>
      <c r="AR44" s="734"/>
      <c r="AS44" s="988" t="s">
        <v>896</v>
      </c>
      <c r="AT44" s="758" t="s">
        <v>640</v>
      </c>
      <c r="AU44" s="734"/>
      <c r="AV44" s="734"/>
      <c r="AW44" s="734"/>
      <c r="AX44" s="734"/>
      <c r="AY44" s="734"/>
      <c r="AZ44" s="734"/>
      <c r="BA44" s="734"/>
      <c r="BB44" s="734"/>
      <c r="BC44" s="988" t="s">
        <v>712</v>
      </c>
      <c r="BD44" s="758" t="s">
        <v>640</v>
      </c>
      <c r="BE44" s="734"/>
      <c r="BF44" s="734"/>
      <c r="BG44" s="734"/>
      <c r="BH44" s="734"/>
      <c r="BI44" s="740" t="s">
        <v>581</v>
      </c>
      <c r="BJ44" s="740" t="s">
        <v>497</v>
      </c>
      <c r="BK44" s="740" t="s">
        <v>502</v>
      </c>
      <c r="BL44" s="740" t="s">
        <v>512</v>
      </c>
      <c r="BM44" s="988" t="s">
        <v>686</v>
      </c>
      <c r="BN44" s="752" t="s">
        <v>640</v>
      </c>
      <c r="BO44" s="734"/>
      <c r="BP44" s="734"/>
      <c r="BQ44" s="734"/>
      <c r="BR44" s="734"/>
      <c r="BS44" s="734"/>
      <c r="BT44" s="734"/>
      <c r="BU44" s="734"/>
      <c r="BV44" s="734"/>
      <c r="BW44" s="1140" t="s">
        <v>658</v>
      </c>
      <c r="BX44" s="755"/>
    </row>
    <row r="45" spans="1:79" s="549" customFormat="1" ht="279.95" customHeight="1" thickTop="1" thickBot="1">
      <c r="A45" s="448"/>
      <c r="B45" s="496"/>
      <c r="E45" s="1088" t="s">
        <v>384</v>
      </c>
      <c r="F45" s="1088"/>
      <c r="G45" s="1088"/>
      <c r="H45" s="1088"/>
      <c r="I45" s="1088"/>
      <c r="J45" s="1088"/>
      <c r="K45" s="1088"/>
      <c r="L45" s="1088"/>
      <c r="M45" s="1088"/>
      <c r="N45" s="551"/>
      <c r="O45" s="1089" t="s">
        <v>384</v>
      </c>
      <c r="P45" s="1090"/>
      <c r="Q45" s="1090"/>
      <c r="R45" s="1090"/>
      <c r="S45" s="1090"/>
      <c r="T45" s="1090"/>
      <c r="U45" s="1090"/>
      <c r="V45" s="552"/>
      <c r="W45" s="553"/>
      <c r="X45" s="553"/>
      <c r="Y45" s="553"/>
      <c r="Z45" s="554"/>
      <c r="AA45" s="1091"/>
      <c r="AB45" s="1092"/>
      <c r="AC45" s="1092"/>
      <c r="AD45" s="1093"/>
      <c r="AE45" s="1093"/>
      <c r="AF45" s="1093"/>
      <c r="AG45" s="555"/>
      <c r="AH45" s="555"/>
      <c r="AI45" s="556"/>
      <c r="AJ45" s="758"/>
      <c r="AK45" s="733"/>
      <c r="AL45" s="733"/>
      <c r="AM45" s="733"/>
      <c r="AN45" s="733"/>
      <c r="AO45" s="733"/>
      <c r="AP45" s="733"/>
      <c r="AQ45" s="733"/>
      <c r="AR45" s="733"/>
      <c r="AS45" s="988"/>
      <c r="AT45" s="758"/>
      <c r="AU45" s="739" t="s">
        <v>846</v>
      </c>
      <c r="AV45" s="739" t="s">
        <v>847</v>
      </c>
      <c r="AW45" s="767" t="s">
        <v>848</v>
      </c>
      <c r="AX45" s="733"/>
      <c r="AY45" s="767" t="s">
        <v>849</v>
      </c>
      <c r="AZ45" s="739" t="s">
        <v>850</v>
      </c>
      <c r="BA45" s="767" t="s">
        <v>851</v>
      </c>
      <c r="BB45" s="739" t="s">
        <v>852</v>
      </c>
      <c r="BC45" s="988"/>
      <c r="BD45" s="758"/>
      <c r="BE45" s="774" t="s">
        <v>1035</v>
      </c>
      <c r="BF45" s="774" t="s">
        <v>1032</v>
      </c>
      <c r="BG45" s="790"/>
      <c r="BH45" s="741" t="s">
        <v>818</v>
      </c>
      <c r="BI45" s="741" t="s">
        <v>588</v>
      </c>
      <c r="BJ45" s="741" t="s">
        <v>493</v>
      </c>
      <c r="BK45" s="741" t="s">
        <v>507</v>
      </c>
      <c r="BL45" s="741" t="s">
        <v>498</v>
      </c>
      <c r="BM45" s="988"/>
      <c r="BN45" s="752"/>
      <c r="BO45" s="741" t="s">
        <v>814</v>
      </c>
      <c r="BP45" s="726" t="s">
        <v>442</v>
      </c>
      <c r="BQ45" s="733"/>
      <c r="BR45" s="773" t="s">
        <v>969</v>
      </c>
      <c r="BS45" s="765" t="s">
        <v>580</v>
      </c>
      <c r="BT45" s="741" t="s">
        <v>812</v>
      </c>
      <c r="BU45" s="741" t="s">
        <v>931</v>
      </c>
      <c r="BV45" s="780"/>
      <c r="BW45" s="1140"/>
      <c r="BX45" s="755"/>
    </row>
    <row r="46" spans="1:79" s="549" customFormat="1" ht="279.95" customHeight="1" thickTop="1">
      <c r="A46" s="557"/>
      <c r="B46" s="557"/>
      <c r="C46" s="558"/>
      <c r="E46" s="477"/>
      <c r="F46" s="478"/>
      <c r="G46" s="559"/>
      <c r="H46" s="478" t="s">
        <v>385</v>
      </c>
      <c r="I46" s="478"/>
      <c r="J46" s="477" t="s">
        <v>386</v>
      </c>
      <c r="K46" s="559"/>
      <c r="L46" s="478" t="s">
        <v>387</v>
      </c>
      <c r="M46" s="478"/>
      <c r="N46" s="560"/>
      <c r="O46" s="1094"/>
      <c r="P46" s="459"/>
      <c r="Q46" s="459"/>
      <c r="R46" s="459"/>
      <c r="S46" s="459"/>
      <c r="V46" s="488"/>
      <c r="W46" s="459"/>
      <c r="X46" s="459"/>
      <c r="Y46" s="459"/>
      <c r="Z46" s="489"/>
      <c r="AA46" s="561"/>
      <c r="AB46" s="562"/>
      <c r="AC46" s="562"/>
      <c r="AD46" s="562"/>
      <c r="AE46" s="562"/>
      <c r="AF46" s="563"/>
      <c r="AG46" s="514"/>
      <c r="AH46" s="514"/>
      <c r="AI46" s="517"/>
      <c r="AJ46" s="757" t="s">
        <v>640</v>
      </c>
      <c r="AK46" s="718"/>
      <c r="AL46" s="718"/>
      <c r="AM46" s="718"/>
      <c r="AN46" s="718"/>
      <c r="AO46" s="718"/>
      <c r="AP46" s="718"/>
      <c r="AQ46" s="718"/>
      <c r="AR46" s="718"/>
      <c r="AS46" s="989" t="s">
        <v>897</v>
      </c>
      <c r="AT46" s="757" t="s">
        <v>640</v>
      </c>
      <c r="AU46" s="718"/>
      <c r="AV46" s="718"/>
      <c r="AW46" s="718"/>
      <c r="AX46" s="718"/>
      <c r="AY46" s="718"/>
      <c r="AZ46" s="718"/>
      <c r="BA46" s="718"/>
      <c r="BB46" s="718"/>
      <c r="BC46" s="989" t="s">
        <v>713</v>
      </c>
      <c r="BD46" s="757" t="s">
        <v>640</v>
      </c>
      <c r="BE46" s="718"/>
      <c r="BF46" s="718"/>
      <c r="BG46" s="718"/>
      <c r="BH46" s="718"/>
      <c r="BI46" s="718"/>
      <c r="BJ46" s="718"/>
      <c r="BK46" s="718"/>
      <c r="BL46" s="727" t="s">
        <v>868</v>
      </c>
      <c r="BM46" s="989" t="s">
        <v>687</v>
      </c>
      <c r="BN46" s="751" t="s">
        <v>640</v>
      </c>
      <c r="BO46" s="718"/>
      <c r="BP46" s="718"/>
      <c r="BQ46" s="718"/>
      <c r="BR46" s="718"/>
      <c r="BS46" s="718"/>
      <c r="BT46" s="718"/>
      <c r="BU46" s="740" t="s">
        <v>822</v>
      </c>
      <c r="BV46" s="776" t="s">
        <v>743</v>
      </c>
      <c r="BW46" s="1079" t="s">
        <v>659</v>
      </c>
      <c r="BX46" s="755"/>
    </row>
    <row r="47" spans="1:79" s="549" customFormat="1" ht="279.95" customHeight="1" thickBot="1">
      <c r="A47" s="557"/>
      <c r="B47" s="557"/>
      <c r="C47" s="558"/>
      <c r="E47" s="484"/>
      <c r="F47" s="485"/>
      <c r="G47" s="564"/>
      <c r="H47" s="485"/>
      <c r="I47" s="485"/>
      <c r="J47" s="484"/>
      <c r="K47" s="564"/>
      <c r="L47" s="485"/>
      <c r="M47" s="485"/>
      <c r="N47" s="560"/>
      <c r="O47" s="990"/>
      <c r="P47" s="459"/>
      <c r="Q47" s="459"/>
      <c r="R47" s="459"/>
      <c r="S47" s="459"/>
      <c r="T47" s="566"/>
      <c r="V47" s="567"/>
      <c r="W47" s="459"/>
      <c r="X47" s="459"/>
      <c r="Y47" s="459"/>
      <c r="Z47" s="489"/>
      <c r="AA47" s="568"/>
      <c r="AB47" s="569"/>
      <c r="AC47" s="569"/>
      <c r="AD47" s="569"/>
      <c r="AE47" s="569"/>
      <c r="AF47" s="570"/>
      <c r="AG47" s="573"/>
      <c r="AH47" s="573"/>
      <c r="AI47" s="573"/>
      <c r="AJ47" s="757"/>
      <c r="AK47" s="719"/>
      <c r="AL47" s="719"/>
      <c r="AM47" s="719"/>
      <c r="AN47" s="719"/>
      <c r="AO47" s="719"/>
      <c r="AP47" s="719"/>
      <c r="AQ47" s="719"/>
      <c r="AR47" s="719"/>
      <c r="AS47" s="989"/>
      <c r="AT47" s="757"/>
      <c r="AU47" s="726" t="s">
        <v>619</v>
      </c>
      <c r="AV47" s="726" t="s">
        <v>499</v>
      </c>
      <c r="AW47" s="767" t="s">
        <v>853</v>
      </c>
      <c r="AX47" s="719"/>
      <c r="AY47" s="767" t="s">
        <v>854</v>
      </c>
      <c r="AZ47" s="739" t="s">
        <v>855</v>
      </c>
      <c r="BA47" s="739" t="s">
        <v>856</v>
      </c>
      <c r="BB47" s="739" t="s">
        <v>857</v>
      </c>
      <c r="BC47" s="989"/>
      <c r="BD47" s="757"/>
      <c r="BE47" s="719"/>
      <c r="BF47" s="719"/>
      <c r="BH47" s="765" t="s">
        <v>815</v>
      </c>
      <c r="BI47" s="741" t="s">
        <v>933</v>
      </c>
      <c r="BJ47" s="773" t="s">
        <v>790</v>
      </c>
      <c r="BK47" s="773" t="s">
        <v>1031</v>
      </c>
      <c r="BL47" s="726" t="s">
        <v>585</v>
      </c>
      <c r="BM47" s="989"/>
      <c r="BN47" s="751"/>
      <c r="BO47" s="741" t="s">
        <v>820</v>
      </c>
      <c r="BP47" s="741" t="s">
        <v>821</v>
      </c>
      <c r="BQ47" s="719"/>
      <c r="BR47" s="741" t="s">
        <v>1001</v>
      </c>
      <c r="BS47" s="741" t="s">
        <v>813</v>
      </c>
      <c r="BT47" s="741" t="s">
        <v>816</v>
      </c>
      <c r="BU47" s="741" t="s">
        <v>817</v>
      </c>
      <c r="BV47" s="765" t="s">
        <v>630</v>
      </c>
      <c r="BW47" s="1079"/>
      <c r="BX47" s="755"/>
    </row>
    <row r="48" spans="1:79" s="549" customFormat="1" ht="279.95" customHeight="1" thickBot="1">
      <c r="A48" s="557"/>
      <c r="B48" s="557"/>
      <c r="C48" s="558"/>
      <c r="E48" s="484"/>
      <c r="F48" s="485"/>
      <c r="G48" s="564"/>
      <c r="H48" s="485"/>
      <c r="I48" s="485"/>
      <c r="J48" s="484"/>
      <c r="K48" s="564"/>
      <c r="L48" s="485"/>
      <c r="M48" s="485"/>
      <c r="N48" s="560"/>
      <c r="O48" s="488"/>
      <c r="P48" s="459"/>
      <c r="Q48" s="459"/>
      <c r="R48" s="459"/>
      <c r="S48" s="459"/>
      <c r="V48" s="567"/>
      <c r="W48" s="517"/>
      <c r="X48" s="459"/>
      <c r="Y48" s="459"/>
      <c r="Z48" s="572"/>
      <c r="AA48" s="568"/>
      <c r="AB48" s="569"/>
      <c r="AC48" s="569"/>
      <c r="AD48" s="569"/>
      <c r="AE48" s="569"/>
      <c r="AF48" s="573"/>
      <c r="AG48" s="573"/>
      <c r="AH48" s="573"/>
      <c r="AI48" s="573"/>
      <c r="AJ48" s="758" t="s">
        <v>640</v>
      </c>
      <c r="AK48" s="734"/>
      <c r="AL48" s="734"/>
      <c r="AM48" s="734"/>
      <c r="AN48" s="734"/>
      <c r="AO48" s="734"/>
      <c r="AP48" s="734"/>
      <c r="AQ48" s="734"/>
      <c r="AR48" s="734"/>
      <c r="AS48" s="988" t="s">
        <v>898</v>
      </c>
      <c r="AT48" s="758" t="s">
        <v>640</v>
      </c>
      <c r="AU48" s="734"/>
      <c r="AV48" s="734"/>
      <c r="AW48" s="734"/>
      <c r="AX48" s="734"/>
      <c r="AY48" s="734"/>
      <c r="AZ48" s="734"/>
      <c r="BA48" s="734"/>
      <c r="BB48" s="734"/>
      <c r="BC48" s="988" t="s">
        <v>714</v>
      </c>
      <c r="BD48" s="758" t="s">
        <v>640</v>
      </c>
      <c r="BE48" s="734"/>
      <c r="BF48" s="734"/>
      <c r="BG48" s="734"/>
      <c r="BH48" s="734"/>
      <c r="BI48" s="734"/>
      <c r="BJ48" s="727" t="s">
        <v>586</v>
      </c>
      <c r="BK48" s="734"/>
      <c r="BL48" s="734"/>
      <c r="BM48" s="988" t="s">
        <v>688</v>
      </c>
      <c r="BN48" s="752" t="s">
        <v>640</v>
      </c>
      <c r="BO48" s="734"/>
      <c r="BP48" s="734"/>
      <c r="BQ48" s="734"/>
      <c r="BR48" s="734"/>
      <c r="BS48" s="734"/>
      <c r="BT48" s="727" t="s">
        <v>454</v>
      </c>
      <c r="BU48" s="727" t="s">
        <v>745</v>
      </c>
      <c r="BV48" s="727" t="s">
        <v>587</v>
      </c>
      <c r="BW48" s="1140" t="s">
        <v>660</v>
      </c>
      <c r="BX48" s="755"/>
    </row>
    <row r="49" spans="1:86" s="549" customFormat="1" ht="279.95" customHeight="1" thickBot="1">
      <c r="A49" s="557"/>
      <c r="B49" s="557"/>
      <c r="E49" s="512"/>
      <c r="F49" s="512"/>
      <c r="G49" s="575"/>
      <c r="H49" s="485"/>
      <c r="I49" s="485"/>
      <c r="J49" s="484"/>
      <c r="K49" s="564"/>
      <c r="L49" s="485"/>
      <c r="M49" s="485"/>
      <c r="N49" s="560"/>
      <c r="O49" s="488"/>
      <c r="P49" s="459"/>
      <c r="Q49" s="459"/>
      <c r="R49" s="459"/>
      <c r="S49" s="459"/>
      <c r="V49" s="567"/>
      <c r="W49" s="517"/>
      <c r="X49" s="459"/>
      <c r="Y49" s="459"/>
      <c r="Z49" s="572"/>
      <c r="AA49" s="576"/>
      <c r="AB49" s="576"/>
      <c r="AC49" s="576"/>
      <c r="AD49" s="577"/>
      <c r="AE49" s="577"/>
      <c r="AF49" s="573"/>
      <c r="AG49" s="573"/>
      <c r="AH49" s="573"/>
      <c r="AI49" s="573"/>
      <c r="AJ49" s="758"/>
      <c r="AK49" s="733"/>
      <c r="AL49" s="733"/>
      <c r="AM49" s="733"/>
      <c r="AN49" s="733"/>
      <c r="AO49" s="733"/>
      <c r="AP49" s="733"/>
      <c r="AQ49" s="733"/>
      <c r="AR49" s="733"/>
      <c r="AS49" s="988"/>
      <c r="AT49" s="758"/>
      <c r="AU49" s="767" t="s">
        <v>858</v>
      </c>
      <c r="AV49" s="767" t="s">
        <v>859</v>
      </c>
      <c r="AW49" s="767" t="s">
        <v>860</v>
      </c>
      <c r="AX49" s="733"/>
      <c r="AY49" s="767" t="s">
        <v>861</v>
      </c>
      <c r="AZ49" s="767" t="s">
        <v>862</v>
      </c>
      <c r="BA49" s="767" t="s">
        <v>943</v>
      </c>
      <c r="BB49" s="733"/>
      <c r="BC49" s="988"/>
      <c r="BD49" s="758"/>
      <c r="BE49" s="733"/>
      <c r="BF49" s="733"/>
      <c r="BG49" s="777"/>
      <c r="BH49" s="726" t="s">
        <v>583</v>
      </c>
      <c r="BI49" s="726" t="s">
        <v>744</v>
      </c>
      <c r="BJ49" s="726" t="s">
        <v>582</v>
      </c>
      <c r="BK49" s="726" t="s">
        <v>591</v>
      </c>
      <c r="BL49" s="765" t="s">
        <v>791</v>
      </c>
      <c r="BM49" s="988"/>
      <c r="BN49" s="752"/>
      <c r="BO49" s="741" t="s">
        <v>819</v>
      </c>
      <c r="BP49" s="741" t="s">
        <v>633</v>
      </c>
      <c r="BQ49" s="733"/>
      <c r="BR49" s="741" t="s">
        <v>934</v>
      </c>
      <c r="BS49" s="726" t="s">
        <v>575</v>
      </c>
      <c r="BT49" s="726" t="s">
        <v>450</v>
      </c>
      <c r="BU49" s="726" t="s">
        <v>629</v>
      </c>
      <c r="BV49" s="726" t="s">
        <v>628</v>
      </c>
      <c r="BW49" s="1140"/>
      <c r="BX49" s="755"/>
    </row>
    <row r="50" spans="1:86" s="549" customFormat="1" ht="279.95" customHeight="1" thickBot="1">
      <c r="A50" s="557"/>
      <c r="B50" s="557"/>
      <c r="E50" s="484"/>
      <c r="F50" s="485"/>
      <c r="G50" s="564"/>
      <c r="H50" s="485"/>
      <c r="I50" s="485"/>
      <c r="J50" s="484"/>
      <c r="K50" s="564"/>
      <c r="L50" s="485"/>
      <c r="M50" s="485"/>
      <c r="N50" s="560"/>
      <c r="O50" s="1087"/>
      <c r="P50" s="990"/>
      <c r="Q50" s="578"/>
      <c r="R50" s="578"/>
      <c r="S50" s="578"/>
      <c r="V50" s="567"/>
      <c r="W50" s="517"/>
      <c r="X50" s="459"/>
      <c r="Y50" s="459"/>
      <c r="Z50" s="489"/>
      <c r="AA50" s="576"/>
      <c r="AB50" s="576"/>
      <c r="AC50" s="576"/>
      <c r="AD50" s="577"/>
      <c r="AE50" s="577"/>
      <c r="AF50" s="579"/>
      <c r="AG50" s="574"/>
      <c r="AH50" s="573"/>
      <c r="AI50" s="573"/>
      <c r="AJ50" s="757" t="s">
        <v>640</v>
      </c>
      <c r="AK50" s="718"/>
      <c r="AL50" s="718"/>
      <c r="AM50" s="718"/>
      <c r="AN50" s="718"/>
      <c r="AO50" s="718"/>
      <c r="AP50" s="718"/>
      <c r="AQ50" s="718"/>
      <c r="AR50" s="718"/>
      <c r="AS50" s="989" t="s">
        <v>899</v>
      </c>
      <c r="AT50" s="757" t="s">
        <v>640</v>
      </c>
      <c r="AU50" s="718"/>
      <c r="AV50" s="718"/>
      <c r="AW50" s="718"/>
      <c r="AX50" s="718"/>
      <c r="AY50" s="718"/>
      <c r="AZ50" s="718"/>
      <c r="BA50" s="718"/>
      <c r="BB50" s="718"/>
      <c r="BC50" s="989" t="s">
        <v>715</v>
      </c>
      <c r="BD50" s="757" t="s">
        <v>640</v>
      </c>
      <c r="BE50" s="740" t="s">
        <v>595</v>
      </c>
      <c r="BF50" s="718"/>
      <c r="BG50" s="718"/>
      <c r="BH50" s="718"/>
      <c r="BI50" s="718"/>
      <c r="BJ50" s="718"/>
      <c r="BK50" s="769"/>
      <c r="BL50" s="718"/>
      <c r="BM50" s="989" t="s">
        <v>689</v>
      </c>
      <c r="BN50" s="751" t="s">
        <v>640</v>
      </c>
      <c r="BO50" s="718"/>
      <c r="BP50" s="718"/>
      <c r="BQ50" s="718"/>
      <c r="BR50" s="718"/>
      <c r="BS50" s="718"/>
      <c r="BT50" s="718"/>
      <c r="BU50" s="718"/>
      <c r="BV50" s="727" t="s">
        <v>455</v>
      </c>
      <c r="BW50" s="1079" t="s">
        <v>661</v>
      </c>
      <c r="BX50" s="755"/>
    </row>
    <row r="51" spans="1:86" s="549" customFormat="1" ht="279.95" customHeight="1" thickBot="1">
      <c r="A51" s="557"/>
      <c r="B51" s="557"/>
      <c r="E51" s="512"/>
      <c r="F51" s="512"/>
      <c r="G51" s="575"/>
      <c r="H51" s="485"/>
      <c r="I51" s="485"/>
      <c r="J51" s="484"/>
      <c r="K51" s="564"/>
      <c r="L51" s="485"/>
      <c r="M51" s="485"/>
      <c r="N51" s="560"/>
      <c r="O51" s="1087"/>
      <c r="P51" s="990"/>
      <c r="Q51" s="578"/>
      <c r="R51" s="578"/>
      <c r="S51" s="578"/>
      <c r="V51" s="567"/>
      <c r="W51" s="517"/>
      <c r="X51" s="459"/>
      <c r="Y51" s="459"/>
      <c r="Z51" s="489"/>
      <c r="AA51" s="580"/>
      <c r="AB51" s="576"/>
      <c r="AE51" s="570"/>
      <c r="AF51" s="577"/>
      <c r="AG51" s="581"/>
      <c r="AH51" s="537"/>
      <c r="AI51" s="492"/>
      <c r="AJ51" s="757"/>
      <c r="AK51" s="719"/>
      <c r="AL51" s="719"/>
      <c r="AM51" s="719"/>
      <c r="AN51" s="719"/>
      <c r="AO51" s="719"/>
      <c r="AP51" s="719"/>
      <c r="AQ51" s="719"/>
      <c r="AR51" s="719"/>
      <c r="AS51" s="989"/>
      <c r="AT51" s="757"/>
      <c r="AU51" s="767" t="s">
        <v>940</v>
      </c>
      <c r="AV51" s="767" t="s">
        <v>941</v>
      </c>
      <c r="AW51" s="773" t="s">
        <v>1012</v>
      </c>
      <c r="AX51" s="719"/>
      <c r="AY51" s="767" t="s">
        <v>942</v>
      </c>
      <c r="AZ51" s="767" t="s">
        <v>863</v>
      </c>
      <c r="BA51" s="767" t="s">
        <v>864</v>
      </c>
      <c r="BB51" s="767" t="s">
        <v>865</v>
      </c>
      <c r="BC51" s="989"/>
      <c r="BD51" s="757"/>
      <c r="BE51" s="741" t="s">
        <v>506</v>
      </c>
      <c r="BF51" s="719"/>
      <c r="BG51" s="719"/>
      <c r="BH51" s="773" t="s">
        <v>1034</v>
      </c>
      <c r="BI51" s="726" t="s">
        <v>579</v>
      </c>
      <c r="BJ51" s="774" t="s">
        <v>1019</v>
      </c>
      <c r="BK51" s="726" t="s">
        <v>573</v>
      </c>
      <c r="BL51" s="773" t="s">
        <v>1017</v>
      </c>
      <c r="BM51" s="989"/>
      <c r="BN51" s="751"/>
      <c r="BO51" s="741" t="s">
        <v>824</v>
      </c>
      <c r="BP51" s="741" t="s">
        <v>826</v>
      </c>
      <c r="BQ51" s="719"/>
      <c r="BR51" s="741" t="s">
        <v>823</v>
      </c>
      <c r="BS51" s="726" t="s">
        <v>451</v>
      </c>
      <c r="BT51" s="726" t="s">
        <v>627</v>
      </c>
      <c r="BU51" s="726" t="s">
        <v>626</v>
      </c>
      <c r="BV51" s="726" t="s">
        <v>447</v>
      </c>
      <c r="BW51" s="1079"/>
      <c r="BX51" s="755"/>
    </row>
    <row r="52" spans="1:86" s="549" customFormat="1" ht="279.95" customHeight="1">
      <c r="A52" s="557"/>
      <c r="B52" s="557"/>
      <c r="E52" s="1095" t="s">
        <v>388</v>
      </c>
      <c r="F52" s="1096"/>
      <c r="G52" s="1099" t="s">
        <v>389</v>
      </c>
      <c r="H52" s="485"/>
      <c r="I52" s="485"/>
      <c r="J52" s="484"/>
      <c r="K52" s="564"/>
      <c r="L52" s="485"/>
      <c r="M52" s="485"/>
      <c r="N52" s="560"/>
      <c r="O52" s="1087"/>
      <c r="P52" s="990"/>
      <c r="Q52" s="578"/>
      <c r="R52" s="578"/>
      <c r="S52" s="578"/>
      <c r="U52" s="496"/>
      <c r="V52" s="567"/>
      <c r="W52" s="517"/>
      <c r="X52" s="459"/>
      <c r="Y52" s="459"/>
      <c r="Z52" s="489"/>
      <c r="AA52" s="576"/>
      <c r="AB52" s="576"/>
      <c r="AG52" s="581"/>
      <c r="AH52" s="581"/>
      <c r="AI52" s="581"/>
      <c r="AJ52" s="758" t="s">
        <v>640</v>
      </c>
      <c r="AK52" s="734"/>
      <c r="AL52" s="734"/>
      <c r="AM52" s="734"/>
      <c r="AN52" s="734"/>
      <c r="AO52" s="734"/>
      <c r="AP52" s="734"/>
      <c r="AQ52" s="734"/>
      <c r="AR52" s="734"/>
      <c r="AS52" s="988" t="s">
        <v>900</v>
      </c>
      <c r="AT52" s="758" t="s">
        <v>640</v>
      </c>
      <c r="AU52" s="734"/>
      <c r="AV52" s="734"/>
      <c r="AW52" s="734"/>
      <c r="AX52" s="734"/>
      <c r="AY52" s="734"/>
      <c r="AZ52" s="734"/>
      <c r="BA52" s="734"/>
      <c r="BB52" s="734"/>
      <c r="BC52" s="988" t="s">
        <v>716</v>
      </c>
      <c r="BD52" s="758" t="s">
        <v>640</v>
      </c>
      <c r="BE52" s="740" t="s">
        <v>567</v>
      </c>
      <c r="BF52" s="734"/>
      <c r="BG52" s="734"/>
      <c r="BH52" s="734"/>
      <c r="BI52" s="734"/>
      <c r="BJ52" s="734"/>
      <c r="BK52" s="734"/>
      <c r="BL52" s="734"/>
      <c r="BM52" s="988" t="s">
        <v>690</v>
      </c>
      <c r="BN52" s="752" t="s">
        <v>640</v>
      </c>
      <c r="BO52" s="734"/>
      <c r="BP52" s="734"/>
      <c r="BQ52" s="734"/>
      <c r="BR52" s="734"/>
      <c r="BS52" s="727" t="s">
        <v>436</v>
      </c>
      <c r="BT52" s="727" t="s">
        <v>908</v>
      </c>
      <c r="BU52" s="727" t="s">
        <v>445</v>
      </c>
      <c r="BV52" s="727" t="s">
        <v>755</v>
      </c>
      <c r="BW52" s="1140" t="s">
        <v>662</v>
      </c>
      <c r="BX52" s="755"/>
    </row>
    <row r="53" spans="1:86" s="549" customFormat="1" ht="279.95" customHeight="1" thickBot="1">
      <c r="A53" s="557"/>
      <c r="B53" s="557"/>
      <c r="E53" s="1097"/>
      <c r="F53" s="1098"/>
      <c r="G53" s="1100"/>
      <c r="H53" s="485"/>
      <c r="I53" s="485"/>
      <c r="J53" s="484"/>
      <c r="K53" s="564"/>
      <c r="L53" s="485"/>
      <c r="M53" s="485"/>
      <c r="N53" s="560"/>
      <c r="O53" s="582"/>
      <c r="P53" s="458"/>
      <c r="Q53" s="458"/>
      <c r="R53" s="458"/>
      <c r="S53" s="458"/>
      <c r="U53" s="496"/>
      <c r="V53" s="567"/>
      <c r="X53" s="459"/>
      <c r="Y53" s="459"/>
      <c r="Z53" s="489"/>
      <c r="AA53" s="583"/>
      <c r="AB53" s="548"/>
      <c r="AG53" s="581"/>
      <c r="AH53" s="581"/>
      <c r="AI53" s="581"/>
      <c r="AJ53" s="758"/>
      <c r="AK53" s="733"/>
      <c r="AL53" s="733"/>
      <c r="AM53" s="733"/>
      <c r="AN53" s="733"/>
      <c r="AO53" s="733"/>
      <c r="AP53" s="733"/>
      <c r="AQ53" s="733"/>
      <c r="AR53" s="733"/>
      <c r="AS53" s="988"/>
      <c r="AT53" s="758"/>
      <c r="AU53" s="767" t="s">
        <v>937</v>
      </c>
      <c r="AV53" s="767" t="s">
        <v>938</v>
      </c>
      <c r="AW53" s="739" t="s">
        <v>939</v>
      </c>
      <c r="AX53" s="733"/>
      <c r="AY53" s="739" t="s">
        <v>994</v>
      </c>
      <c r="AZ53" s="767" t="s">
        <v>866</v>
      </c>
      <c r="BA53" s="767" t="s">
        <v>867</v>
      </c>
      <c r="BB53" s="733"/>
      <c r="BC53" s="988"/>
      <c r="BD53" s="758"/>
      <c r="BE53" s="741" t="s">
        <v>932</v>
      </c>
      <c r="BF53" s="741" t="s">
        <v>594</v>
      </c>
      <c r="BG53" s="733"/>
      <c r="BH53" s="726" t="s">
        <v>509</v>
      </c>
      <c r="BI53" s="741" t="s">
        <v>596</v>
      </c>
      <c r="BJ53" s="726" t="s">
        <v>510</v>
      </c>
      <c r="BK53" s="773" t="s">
        <v>1018</v>
      </c>
      <c r="BL53" s="773" t="s">
        <v>1033</v>
      </c>
      <c r="BM53" s="988"/>
      <c r="BN53" s="752"/>
      <c r="BO53" s="773" t="s">
        <v>830</v>
      </c>
      <c r="BP53" s="773" t="s">
        <v>829</v>
      </c>
      <c r="BQ53" s="733"/>
      <c r="BR53" s="741" t="s">
        <v>459</v>
      </c>
      <c r="BS53" s="726" t="s">
        <v>909</v>
      </c>
      <c r="BT53" s="768" t="s">
        <v>584</v>
      </c>
      <c r="BU53" s="726" t="s">
        <v>444</v>
      </c>
      <c r="BV53" s="726" t="s">
        <v>754</v>
      </c>
      <c r="BW53" s="1140"/>
      <c r="BX53" s="755"/>
    </row>
    <row r="54" spans="1:86" s="549" customFormat="1" ht="279.95" customHeight="1">
      <c r="A54" s="557"/>
      <c r="B54" s="557"/>
      <c r="E54" s="484"/>
      <c r="F54" s="485"/>
      <c r="G54" s="564"/>
      <c r="H54" s="485"/>
      <c r="I54" s="485"/>
      <c r="J54" s="484"/>
      <c r="K54" s="564"/>
      <c r="L54" s="485"/>
      <c r="M54" s="485"/>
      <c r="N54" s="560"/>
      <c r="O54" s="582"/>
      <c r="P54" s="458"/>
      <c r="Q54" s="458"/>
      <c r="R54" s="458"/>
      <c r="S54" s="458"/>
      <c r="T54" s="459"/>
      <c r="U54" s="566"/>
      <c r="V54" s="567"/>
      <c r="W54" s="517"/>
      <c r="X54" s="459"/>
      <c r="Y54" s="459"/>
      <c r="Z54" s="489"/>
      <c r="AA54" s="583"/>
      <c r="AF54" s="577"/>
      <c r="AG54" s="584"/>
      <c r="AH54" s="571"/>
      <c r="AI54" s="584"/>
      <c r="AJ54" s="757" t="s">
        <v>640</v>
      </c>
      <c r="AK54" s="718"/>
      <c r="AL54" s="718"/>
      <c r="AM54" s="718"/>
      <c r="AN54" s="718"/>
      <c r="AO54" s="718"/>
      <c r="AP54" s="718"/>
      <c r="AQ54" s="718"/>
      <c r="AR54" s="718"/>
      <c r="AS54" s="989" t="s">
        <v>901</v>
      </c>
      <c r="AT54" s="757" t="s">
        <v>640</v>
      </c>
      <c r="AU54" s="718"/>
      <c r="AV54" s="718"/>
      <c r="AW54" s="718"/>
      <c r="AX54" s="718"/>
      <c r="AY54" s="718"/>
      <c r="AZ54" s="718"/>
      <c r="BA54" s="718"/>
      <c r="BB54" s="718"/>
      <c r="BC54" s="989" t="s">
        <v>717</v>
      </c>
      <c r="BD54" s="757" t="s">
        <v>640</v>
      </c>
      <c r="BE54" s="718"/>
      <c r="BF54" s="718"/>
      <c r="BG54" s="718"/>
      <c r="BH54" s="718"/>
      <c r="BI54" s="727" t="s">
        <v>492</v>
      </c>
      <c r="BJ54" s="718"/>
      <c r="BK54" s="718"/>
      <c r="BL54" s="727" t="s">
        <v>511</v>
      </c>
      <c r="BM54" s="989" t="s">
        <v>691</v>
      </c>
      <c r="BN54" s="751" t="s">
        <v>640</v>
      </c>
      <c r="BO54" s="718"/>
      <c r="BQ54" s="718"/>
      <c r="BR54" s="718"/>
      <c r="BS54" s="718"/>
      <c r="BT54" s="718"/>
      <c r="BU54" s="718"/>
      <c r="BV54" s="718"/>
      <c r="BW54" s="1079" t="s">
        <v>663</v>
      </c>
      <c r="BX54" s="755"/>
    </row>
    <row r="55" spans="1:86" ht="279.95" customHeight="1" thickBot="1">
      <c r="A55" s="557"/>
      <c r="B55" s="557"/>
      <c r="C55" s="549"/>
      <c r="D55" s="549"/>
      <c r="E55" s="484"/>
      <c r="F55" s="485"/>
      <c r="G55" s="564"/>
      <c r="H55" s="485"/>
      <c r="I55" s="485"/>
      <c r="J55" s="484"/>
      <c r="K55" s="564"/>
      <c r="L55" s="485"/>
      <c r="M55" s="485"/>
      <c r="N55" s="560"/>
      <c r="O55" s="484"/>
      <c r="P55" s="585"/>
      <c r="Q55" s="585"/>
      <c r="R55" s="585"/>
      <c r="S55" s="585"/>
      <c r="T55" s="503"/>
      <c r="U55" s="586"/>
      <c r="V55" s="491"/>
      <c r="W55" s="517"/>
      <c r="X55" s="459"/>
      <c r="Y55" s="459"/>
      <c r="Z55" s="489"/>
      <c r="AA55" s="587"/>
      <c r="AB55" s="549"/>
      <c r="AC55" s="549"/>
      <c r="AD55" s="549"/>
      <c r="AE55" s="549"/>
      <c r="AF55" s="588"/>
      <c r="AG55" s="584"/>
      <c r="AH55" s="571"/>
      <c r="AI55" s="584"/>
      <c r="AJ55" s="757"/>
      <c r="AK55" s="719"/>
      <c r="AL55" s="719"/>
      <c r="AM55" s="719"/>
      <c r="AN55" s="719"/>
      <c r="AO55" s="719"/>
      <c r="AP55" s="719"/>
      <c r="AQ55" s="719"/>
      <c r="AR55" s="719"/>
      <c r="AS55" s="989"/>
      <c r="AT55" s="757"/>
      <c r="AU55" s="719"/>
      <c r="AV55" s="767" t="s">
        <v>936</v>
      </c>
      <c r="AW55" s="719"/>
      <c r="AX55" s="719"/>
      <c r="AY55" s="719"/>
      <c r="AZ55" s="719"/>
      <c r="BA55" s="719"/>
      <c r="BB55" s="719"/>
      <c r="BC55" s="989"/>
      <c r="BD55" s="757"/>
      <c r="BE55" s="773" t="s">
        <v>789</v>
      </c>
      <c r="BF55" s="741" t="s">
        <v>782</v>
      </c>
      <c r="BG55" s="719"/>
      <c r="BH55" s="741" t="s">
        <v>597</v>
      </c>
      <c r="BI55" s="726" t="s">
        <v>513</v>
      </c>
      <c r="BJ55" s="726" t="s">
        <v>590</v>
      </c>
      <c r="BK55" s="741" t="s">
        <v>792</v>
      </c>
      <c r="BL55" s="726" t="s">
        <v>514</v>
      </c>
      <c r="BM55" s="989"/>
      <c r="BN55" s="751"/>
      <c r="BO55" s="741" t="s">
        <v>825</v>
      </c>
      <c r="BP55" s="741" t="s">
        <v>616</v>
      </c>
      <c r="BQ55" s="719"/>
      <c r="BR55" s="741" t="s">
        <v>614</v>
      </c>
      <c r="BS55" s="768" t="s">
        <v>485</v>
      </c>
      <c r="BT55" s="729" t="s">
        <v>446</v>
      </c>
      <c r="BU55" s="768" t="s">
        <v>753</v>
      </c>
      <c r="BV55" s="768" t="s">
        <v>625</v>
      </c>
      <c r="BW55" s="1079"/>
      <c r="BX55" s="754"/>
    </row>
    <row r="56" spans="1:86" ht="279.95" customHeight="1">
      <c r="A56" s="557"/>
      <c r="B56" s="557"/>
      <c r="C56" s="549"/>
      <c r="D56" s="549"/>
      <c r="E56" s="484"/>
      <c r="F56" s="485"/>
      <c r="G56" s="564"/>
      <c r="H56" s="485"/>
      <c r="I56" s="485"/>
      <c r="J56" s="484"/>
      <c r="K56" s="564"/>
      <c r="L56" s="485"/>
      <c r="M56" s="485"/>
      <c r="N56" s="560"/>
      <c r="O56" s="1021" t="s">
        <v>390</v>
      </c>
      <c r="P56" s="1021"/>
      <c r="Q56" s="1021"/>
      <c r="R56" s="1021"/>
      <c r="S56" s="1021"/>
      <c r="T56" s="1021"/>
      <c r="U56" s="1022"/>
      <c r="V56" s="491"/>
      <c r="W56" s="517"/>
      <c r="X56" s="459"/>
      <c r="Y56" s="459"/>
      <c r="Z56" s="489"/>
      <c r="AA56" s="589"/>
      <c r="AB56" s="492"/>
      <c r="AC56" s="548"/>
      <c r="AD56" s="549"/>
      <c r="AE56" s="590"/>
      <c r="AF56" s="590"/>
      <c r="AG56" s="584"/>
      <c r="AH56" s="571"/>
      <c r="AI56" s="584"/>
      <c r="AJ56" s="758" t="s">
        <v>640</v>
      </c>
      <c r="AK56" s="734"/>
      <c r="AL56" s="734"/>
      <c r="AM56" s="734"/>
      <c r="AN56" s="734"/>
      <c r="AO56" s="734"/>
      <c r="AP56" s="734"/>
      <c r="AQ56" s="734"/>
      <c r="AR56" s="734"/>
      <c r="AS56" s="988" t="s">
        <v>902</v>
      </c>
      <c r="AT56" s="758" t="s">
        <v>640</v>
      </c>
      <c r="AU56" s="734"/>
      <c r="AV56" s="734"/>
      <c r="AW56" s="734"/>
      <c r="AX56" s="734"/>
      <c r="AY56" s="734"/>
      <c r="AZ56" s="734"/>
      <c r="BA56" s="734"/>
      <c r="BB56" s="734"/>
      <c r="BC56" s="988" t="s">
        <v>718</v>
      </c>
      <c r="BD56" s="758" t="s">
        <v>640</v>
      </c>
      <c r="BE56" s="727" t="s">
        <v>869</v>
      </c>
      <c r="BF56" s="727" t="s">
        <v>505</v>
      </c>
      <c r="BG56" s="734"/>
      <c r="BH56" s="734"/>
      <c r="BI56" s="734"/>
      <c r="BJ56" s="734"/>
      <c r="BK56" s="727" t="s">
        <v>599</v>
      </c>
      <c r="BL56" s="734"/>
      <c r="BM56" s="988" t="s">
        <v>692</v>
      </c>
      <c r="BN56" s="752" t="s">
        <v>640</v>
      </c>
      <c r="BO56" s="734"/>
      <c r="BP56" s="734"/>
      <c r="BQ56" s="734"/>
      <c r="BR56" s="734"/>
      <c r="BS56" s="734"/>
      <c r="BT56" s="734"/>
      <c r="BU56" s="727" t="s">
        <v>448</v>
      </c>
      <c r="BV56" s="727" t="s">
        <v>752</v>
      </c>
      <c r="BW56" s="1140" t="s">
        <v>664</v>
      </c>
      <c r="BX56" s="754"/>
    </row>
    <row r="57" spans="1:86" ht="279.95" customHeight="1" thickBot="1">
      <c r="A57" s="557"/>
      <c r="B57" s="557"/>
      <c r="E57" s="484"/>
      <c r="F57" s="485"/>
      <c r="G57" s="564"/>
      <c r="H57" s="485"/>
      <c r="I57" s="485"/>
      <c r="J57" s="484"/>
      <c r="K57" s="564"/>
      <c r="L57" s="485"/>
      <c r="M57" s="485"/>
      <c r="N57" s="487"/>
      <c r="O57" s="1024"/>
      <c r="P57" s="1024"/>
      <c r="Q57" s="1024"/>
      <c r="R57" s="1024"/>
      <c r="S57" s="1024"/>
      <c r="T57" s="1024"/>
      <c r="U57" s="1025"/>
      <c r="V57" s="491"/>
      <c r="W57" s="459"/>
      <c r="X57" s="459"/>
      <c r="Y57" s="459"/>
      <c r="Z57" s="489"/>
      <c r="AA57" s="492"/>
      <c r="AB57" s="506"/>
      <c r="AC57" s="492"/>
      <c r="AD57" s="492"/>
      <c r="AE57" s="492"/>
      <c r="AF57" s="592"/>
      <c r="AG57" s="593"/>
      <c r="AH57" s="593"/>
      <c r="AI57" s="593"/>
      <c r="AJ57" s="758"/>
      <c r="AK57" s="733"/>
      <c r="AL57" s="733"/>
      <c r="AM57" s="733"/>
      <c r="AN57" s="733"/>
      <c r="AO57" s="733"/>
      <c r="AP57" s="733"/>
      <c r="AQ57" s="733"/>
      <c r="AR57" s="733"/>
      <c r="AS57" s="988"/>
      <c r="AT57" s="758"/>
      <c r="AU57" s="733"/>
      <c r="AV57" s="767" t="s">
        <v>935</v>
      </c>
      <c r="AW57" s="733"/>
      <c r="AX57" s="733"/>
      <c r="AY57" s="733"/>
      <c r="AZ57" s="733"/>
      <c r="BA57" s="733"/>
      <c r="BB57" s="733"/>
      <c r="BC57" s="988"/>
      <c r="BD57" s="758"/>
      <c r="BE57" s="726" t="s">
        <v>870</v>
      </c>
      <c r="BF57" s="726" t="s">
        <v>504</v>
      </c>
      <c r="BG57" s="733"/>
      <c r="BH57" s="741" t="s">
        <v>601</v>
      </c>
      <c r="BI57" s="726" t="s">
        <v>602</v>
      </c>
      <c r="BJ57" s="726" t="s">
        <v>515</v>
      </c>
      <c r="BK57" s="726" t="s">
        <v>603</v>
      </c>
      <c r="BL57" s="726" t="s">
        <v>604</v>
      </c>
      <c r="BM57" s="988"/>
      <c r="BN57" s="752"/>
      <c r="BO57" s="773" t="s">
        <v>1003</v>
      </c>
      <c r="BP57" s="773" t="s">
        <v>1004</v>
      </c>
      <c r="BQ57" s="733"/>
      <c r="BR57" s="741" t="s">
        <v>612</v>
      </c>
      <c r="BS57" s="774" t="s">
        <v>1010</v>
      </c>
      <c r="BT57" s="726" t="s">
        <v>452</v>
      </c>
      <c r="BU57" s="726" t="s">
        <v>620</v>
      </c>
      <c r="BV57" s="768" t="s">
        <v>624</v>
      </c>
      <c r="BW57" s="1140"/>
      <c r="BX57" s="754"/>
    </row>
    <row r="58" spans="1:86" ht="279.95" customHeight="1" thickBot="1">
      <c r="A58" s="558"/>
      <c r="B58" s="558"/>
      <c r="E58" s="1073" t="s">
        <v>391</v>
      </c>
      <c r="F58" s="1074"/>
      <c r="G58" s="1075"/>
      <c r="H58" s="485"/>
      <c r="I58" s="485"/>
      <c r="J58" s="484"/>
      <c r="K58" s="564"/>
      <c r="L58" s="485"/>
      <c r="M58" s="485"/>
      <c r="N58" s="487"/>
      <c r="O58" s="1024"/>
      <c r="P58" s="1024"/>
      <c r="Q58" s="1024"/>
      <c r="R58" s="1024"/>
      <c r="S58" s="1024"/>
      <c r="T58" s="1024"/>
      <c r="U58" s="1025"/>
      <c r="V58" s="491"/>
      <c r="W58" s="459"/>
      <c r="X58" s="459"/>
      <c r="Y58" s="459"/>
      <c r="Z58" s="459"/>
      <c r="AA58" s="594"/>
      <c r="AB58" s="492"/>
      <c r="AC58" s="492"/>
      <c r="AG58" s="508"/>
      <c r="AH58" s="517"/>
      <c r="AI58" s="508"/>
      <c r="AJ58" s="450"/>
      <c r="AK58" s="427" t="s">
        <v>885</v>
      </c>
      <c r="AL58" s="427" t="s">
        <v>886</v>
      </c>
      <c r="AM58" s="427" t="s">
        <v>887</v>
      </c>
      <c r="AN58" s="427" t="s">
        <v>888</v>
      </c>
      <c r="AO58" s="427" t="s">
        <v>889</v>
      </c>
      <c r="AP58" s="427" t="s">
        <v>892</v>
      </c>
      <c r="AQ58" s="427" t="s">
        <v>890</v>
      </c>
      <c r="AR58" s="427" t="s">
        <v>891</v>
      </c>
      <c r="AS58" s="468"/>
      <c r="AT58" s="757" t="s">
        <v>640</v>
      </c>
      <c r="AU58" s="718"/>
      <c r="AV58" s="718"/>
      <c r="AW58" s="718"/>
      <c r="AX58" s="718"/>
      <c r="AY58" s="718"/>
      <c r="AZ58" s="718"/>
      <c r="BA58" s="718"/>
      <c r="BB58" s="718"/>
      <c r="BC58" s="989" t="s">
        <v>993</v>
      </c>
      <c r="BD58" s="757" t="s">
        <v>640</v>
      </c>
      <c r="BE58" s="718"/>
      <c r="BF58" s="718"/>
      <c r="BG58" s="718"/>
      <c r="BH58" s="727" t="s">
        <v>1014</v>
      </c>
      <c r="BI58" s="718"/>
      <c r="BJ58" s="718"/>
      <c r="BK58" s="727" t="s">
        <v>516</v>
      </c>
      <c r="BL58" s="718"/>
      <c r="BM58" s="989" t="s">
        <v>693</v>
      </c>
      <c r="BN58" s="751" t="s">
        <v>640</v>
      </c>
      <c r="BO58" s="718"/>
      <c r="BP58" s="718"/>
      <c r="BQ58" s="718"/>
      <c r="BR58" s="718"/>
      <c r="BS58" s="718"/>
      <c r="BT58" s="718"/>
      <c r="BU58" s="727" t="s">
        <v>456</v>
      </c>
      <c r="BV58" s="718"/>
      <c r="BW58" s="1079" t="s">
        <v>665</v>
      </c>
      <c r="BX58" s="754"/>
    </row>
    <row r="59" spans="1:86" ht="279.95" customHeight="1" thickBot="1">
      <c r="A59" s="558"/>
      <c r="B59" s="558"/>
      <c r="E59" s="1073"/>
      <c r="F59" s="1074"/>
      <c r="G59" s="1075"/>
      <c r="H59" s="485"/>
      <c r="I59" s="485"/>
      <c r="J59" s="484"/>
      <c r="K59" s="564"/>
      <c r="L59" s="485"/>
      <c r="M59" s="485"/>
      <c r="N59" s="487"/>
      <c r="O59" s="1024"/>
      <c r="P59" s="1024"/>
      <c r="Q59" s="1024"/>
      <c r="R59" s="1024"/>
      <c r="S59" s="1024"/>
      <c r="T59" s="1024"/>
      <c r="U59" s="1025"/>
      <c r="V59" s="595"/>
      <c r="W59" s="459"/>
      <c r="X59" s="459"/>
      <c r="Y59" s="459"/>
      <c r="Z59" s="527"/>
      <c r="AA59" s="594"/>
      <c r="AB59" s="506"/>
      <c r="AC59" s="506"/>
      <c r="AD59" s="496"/>
      <c r="AF59" s="492"/>
      <c r="AG59" s="508"/>
      <c r="AH59" s="517"/>
      <c r="AI59" s="520"/>
      <c r="AJ59" s="792" t="s">
        <v>635</v>
      </c>
      <c r="AK59" s="728" t="s">
        <v>905</v>
      </c>
      <c r="AL59" s="728" t="s">
        <v>636</v>
      </c>
      <c r="AM59" s="728" t="s">
        <v>637</v>
      </c>
      <c r="AN59" s="728" t="s">
        <v>638</v>
      </c>
      <c r="AO59" s="793" t="s">
        <v>634</v>
      </c>
      <c r="AP59" s="786" t="s">
        <v>749</v>
      </c>
      <c r="AQ59" s="787" t="s">
        <v>750</v>
      </c>
      <c r="AR59" s="788" t="s">
        <v>751</v>
      </c>
      <c r="AS59" s="771" t="s">
        <v>949</v>
      </c>
      <c r="AT59" s="757"/>
      <c r="AU59" s="719"/>
      <c r="AV59" s="774" t="s">
        <v>1028</v>
      </c>
      <c r="AW59" s="741" t="s">
        <v>998</v>
      </c>
      <c r="AX59" s="739" t="s">
        <v>997</v>
      </c>
      <c r="AY59" s="719"/>
      <c r="AZ59" s="719"/>
      <c r="BA59" s="719"/>
      <c r="BB59" s="719"/>
      <c r="BC59" s="989"/>
      <c r="BD59" s="770"/>
      <c r="BE59" s="726" t="s">
        <v>598</v>
      </c>
      <c r="BF59" s="719"/>
      <c r="BG59" s="719"/>
      <c r="BH59" s="726" t="s">
        <v>517</v>
      </c>
      <c r="BI59" s="741" t="s">
        <v>999</v>
      </c>
      <c r="BJ59" s="719"/>
      <c r="BK59" s="726" t="s">
        <v>518</v>
      </c>
      <c r="BL59" s="726" t="s">
        <v>605</v>
      </c>
      <c r="BM59" s="989"/>
      <c r="BN59" s="751"/>
      <c r="BO59" s="773" t="s">
        <v>1029</v>
      </c>
      <c r="BP59" s="773" t="s">
        <v>1016</v>
      </c>
      <c r="BQ59" s="719"/>
      <c r="BR59" s="741" t="s">
        <v>611</v>
      </c>
      <c r="BS59" s="741" t="s">
        <v>609</v>
      </c>
      <c r="BT59" s="726" t="s">
        <v>503</v>
      </c>
      <c r="BU59" s="768" t="s">
        <v>457</v>
      </c>
      <c r="BV59" s="726" t="s">
        <v>623</v>
      </c>
      <c r="BW59" s="1079"/>
      <c r="BX59" s="754"/>
    </row>
    <row r="60" spans="1:86" ht="279.95" customHeight="1" thickBot="1">
      <c r="A60" s="558"/>
      <c r="B60" s="558"/>
      <c r="E60" s="1073"/>
      <c r="F60" s="1074"/>
      <c r="G60" s="1075"/>
      <c r="H60" s="485"/>
      <c r="I60" s="485"/>
      <c r="J60" s="484"/>
      <c r="K60" s="564"/>
      <c r="L60" s="485"/>
      <c r="M60" s="485"/>
      <c r="N60" s="487"/>
      <c r="O60" s="1024"/>
      <c r="P60" s="1024"/>
      <c r="Q60" s="1024"/>
      <c r="R60" s="1024"/>
      <c r="S60" s="1024"/>
      <c r="T60" s="1024"/>
      <c r="U60" s="1025"/>
      <c r="V60" s="491"/>
      <c r="W60" s="459"/>
      <c r="X60" s="459"/>
      <c r="Y60" s="459"/>
      <c r="Z60" s="517"/>
      <c r="AA60" s="596"/>
      <c r="AB60" s="520"/>
      <c r="AC60" s="520"/>
      <c r="AD60" s="520"/>
      <c r="AE60" s="520"/>
      <c r="AF60" s="520"/>
      <c r="AG60" s="520"/>
      <c r="AH60" s="520"/>
      <c r="AI60" s="520"/>
      <c r="AJ60" s="794">
        <f>COUNTA(BE63:BN63)</f>
        <v>2</v>
      </c>
      <c r="AK60" s="725">
        <f>COUNTA(AK38:AR57,AK11:AR36)</f>
        <v>41</v>
      </c>
      <c r="AL60" s="725">
        <f>COUNTA(AU38:BB59,AU11:BB36)</f>
        <v>56</v>
      </c>
      <c r="AM60" s="725">
        <f>COUNTA(BE38:BL61,BE11:BL36)</f>
        <v>186</v>
      </c>
      <c r="AN60" s="725">
        <f>COUNTA(BO38:BV65,BO11:BV36)</f>
        <v>195</v>
      </c>
      <c r="AO60" s="772">
        <f>SUM(AJ60:AN60)+AS60</f>
        <v>578</v>
      </c>
      <c r="AP60" s="785">
        <f>COUNTIF( $BE$11:$BL$61,"*401*") + COUNTIF($AK$11:$BB$59,"*401*")+ COUNTIF($BE$63:$BM$63,"*401*") +COUNTIF($BO$11:$BV$65,"*401*") -1</f>
        <v>154</v>
      </c>
      <c r="AQ60" s="784">
        <f>COUNTIF( $BE$11:$BL$61,"*402*") + COUNTIF($AK$11:$BB$59,"*402*")+ COUNTIF($BE$63:$BM$63,"*402*") +COUNTIF($BO$11:$BV$65,"*402*") -1</f>
        <v>104</v>
      </c>
      <c r="AR60" s="783">
        <f>COUNTIF( $BE$11:$BL$61,"*403*") + COUNTIF($AK$11:$BB$59,"*403*")+ COUNTIF($BE$63:$BM$63,"*403*") +COUNTIF($BO$11:$BV$65,"*403*") -1</f>
        <v>222</v>
      </c>
      <c r="AS60" s="772">
        <f>14*7</f>
        <v>98</v>
      </c>
      <c r="AU60" s="427" t="s">
        <v>735</v>
      </c>
      <c r="AV60" s="427" t="s">
        <v>736</v>
      </c>
      <c r="AW60" s="427" t="s">
        <v>737</v>
      </c>
      <c r="AX60" s="427" t="s">
        <v>738</v>
      </c>
      <c r="AY60" s="427" t="s">
        <v>739</v>
      </c>
      <c r="AZ60" s="427" t="s">
        <v>740</v>
      </c>
      <c r="BA60" s="427" t="s">
        <v>741</v>
      </c>
      <c r="BB60" s="427" t="s">
        <v>742</v>
      </c>
      <c r="BD60" s="764" t="s">
        <v>640</v>
      </c>
      <c r="BE60" s="734"/>
      <c r="BF60" s="734"/>
      <c r="BG60" s="734"/>
      <c r="BH60" s="734"/>
      <c r="BI60" s="734"/>
      <c r="BJ60" s="734"/>
      <c r="BK60" s="734"/>
      <c r="BL60" s="734"/>
      <c r="BM60" s="988" t="s">
        <v>694</v>
      </c>
      <c r="BN60" s="752" t="s">
        <v>640</v>
      </c>
      <c r="BO60" s="734"/>
      <c r="BP60" s="734"/>
      <c r="BQ60" s="734"/>
      <c r="BR60" s="734"/>
      <c r="BS60" s="734"/>
      <c r="BT60" s="734"/>
      <c r="BU60" s="734"/>
      <c r="BV60" s="734"/>
      <c r="BW60" s="1140" t="s">
        <v>666</v>
      </c>
      <c r="BX60" s="754"/>
    </row>
    <row r="61" spans="1:86" ht="279.95" customHeight="1" thickBot="1">
      <c r="A61" s="597"/>
      <c r="B61" s="597"/>
      <c r="E61" s="1073"/>
      <c r="F61" s="1074"/>
      <c r="G61" s="1075"/>
      <c r="H61" s="485"/>
      <c r="I61" s="485"/>
      <c r="J61" s="484"/>
      <c r="K61" s="564"/>
      <c r="L61" s="485"/>
      <c r="M61" s="485"/>
      <c r="N61" s="487"/>
      <c r="O61" s="1024"/>
      <c r="P61" s="1024"/>
      <c r="Q61" s="1024"/>
      <c r="R61" s="1024"/>
      <c r="S61" s="1024"/>
      <c r="T61" s="1024"/>
      <c r="U61" s="1025"/>
      <c r="V61" s="491"/>
      <c r="W61" s="459"/>
      <c r="X61" s="459"/>
      <c r="Y61" s="459"/>
      <c r="Z61" s="459"/>
      <c r="AA61" s="582"/>
      <c r="AB61" s="522"/>
      <c r="AC61" s="522"/>
      <c r="AD61" s="522"/>
      <c r="AE61" s="522"/>
      <c r="AF61" s="520"/>
      <c r="AG61" s="522"/>
      <c r="AH61" s="520"/>
      <c r="AI61" s="520"/>
      <c r="BB61" s="412"/>
      <c r="BC61" s="412"/>
      <c r="BD61" s="764"/>
      <c r="BE61" s="733"/>
      <c r="BF61" s="733"/>
      <c r="BG61" s="733"/>
      <c r="BH61" s="733"/>
      <c r="BI61" s="733"/>
      <c r="BJ61" s="726" t="s">
        <v>600</v>
      </c>
      <c r="BK61" s="733"/>
      <c r="BL61" s="726" t="s">
        <v>610</v>
      </c>
      <c r="BM61" s="988"/>
      <c r="BN61" s="752"/>
      <c r="BO61" s="741" t="s">
        <v>606</v>
      </c>
      <c r="BP61" s="741" t="s">
        <v>607</v>
      </c>
      <c r="BQ61" s="741" t="s">
        <v>608</v>
      </c>
      <c r="BR61" s="733"/>
      <c r="BS61" s="726" t="s">
        <v>453</v>
      </c>
      <c r="BT61" s="741" t="s">
        <v>621</v>
      </c>
      <c r="BU61" s="726" t="s">
        <v>622</v>
      </c>
      <c r="BV61" s="726" t="s">
        <v>458</v>
      </c>
      <c r="BW61" s="1140"/>
      <c r="BX61" s="754"/>
    </row>
    <row r="62" spans="1:86" ht="279.95" customHeight="1" thickBot="1">
      <c r="A62" s="597"/>
      <c r="B62" s="597"/>
      <c r="E62" s="1073"/>
      <c r="F62" s="1074"/>
      <c r="G62" s="1075"/>
      <c r="H62" s="485"/>
      <c r="I62" s="485"/>
      <c r="J62" s="484"/>
      <c r="K62" s="564"/>
      <c r="L62" s="485"/>
      <c r="M62" s="485"/>
      <c r="N62" s="487"/>
      <c r="O62" s="1024"/>
      <c r="P62" s="1024"/>
      <c r="Q62" s="1024"/>
      <c r="R62" s="1024"/>
      <c r="S62" s="1024"/>
      <c r="T62" s="1024"/>
      <c r="U62" s="1025"/>
      <c r="V62" s="491"/>
      <c r="W62" s="459"/>
      <c r="X62" s="459"/>
      <c r="Y62" s="459"/>
      <c r="Z62" s="459"/>
      <c r="AA62" s="598"/>
      <c r="AB62" s="520"/>
      <c r="AC62" s="520"/>
      <c r="AD62" s="520"/>
      <c r="AE62" s="520"/>
      <c r="AF62" s="520"/>
      <c r="AG62" s="520"/>
      <c r="AH62" s="520"/>
      <c r="AI62" s="520"/>
      <c r="AT62" s="427"/>
      <c r="AU62" s="427"/>
      <c r="AV62" s="427"/>
      <c r="AW62" s="427"/>
      <c r="AY62" s="427"/>
      <c r="AZ62" s="427"/>
      <c r="BA62" s="763"/>
      <c r="BB62" s="763"/>
      <c r="BC62" s="763"/>
      <c r="BD62" s="721"/>
      <c r="BE62" s="427" t="s">
        <v>727</v>
      </c>
      <c r="BF62" s="427" t="s">
        <v>728</v>
      </c>
      <c r="BG62" s="427" t="s">
        <v>729</v>
      </c>
      <c r="BH62" s="427" t="s">
        <v>730</v>
      </c>
      <c r="BI62" s="427" t="s">
        <v>731</v>
      </c>
      <c r="BJ62" s="427" t="s">
        <v>732</v>
      </c>
      <c r="BK62" s="427" t="s">
        <v>733</v>
      </c>
      <c r="BL62" s="427" t="s">
        <v>734</v>
      </c>
      <c r="BM62" s="748"/>
      <c r="BN62" s="751" t="s">
        <v>402</v>
      </c>
      <c r="BO62" s="718"/>
      <c r="BP62" s="718"/>
      <c r="BQ62" s="718"/>
      <c r="BR62" s="718"/>
      <c r="BS62" s="718"/>
      <c r="BT62" s="718"/>
      <c r="BU62" s="718"/>
      <c r="BV62" s="718"/>
      <c r="BW62" s="1079" t="s">
        <v>667</v>
      </c>
      <c r="BX62" s="755"/>
      <c r="BY62" s="549"/>
      <c r="BZ62" s="549"/>
      <c r="CA62" s="549"/>
      <c r="CB62" s="549"/>
      <c r="CC62" s="549"/>
      <c r="CD62" s="549"/>
      <c r="CE62" s="549"/>
      <c r="CF62" s="549"/>
      <c r="CG62" s="549"/>
      <c r="CH62" s="549"/>
    </row>
    <row r="63" spans="1:86" ht="279.95" customHeight="1" thickBot="1">
      <c r="A63" s="597"/>
      <c r="B63" s="597"/>
      <c r="E63" s="1073"/>
      <c r="F63" s="1074"/>
      <c r="G63" s="1075"/>
      <c r="H63" s="485"/>
      <c r="I63" s="485"/>
      <c r="J63" s="484"/>
      <c r="K63" s="564"/>
      <c r="L63" s="485"/>
      <c r="M63" s="485"/>
      <c r="N63" s="487"/>
      <c r="O63" s="1024"/>
      <c r="P63" s="1024"/>
      <c r="Q63" s="1024"/>
      <c r="R63" s="1024"/>
      <c r="S63" s="1024"/>
      <c r="T63" s="1024"/>
      <c r="U63" s="1025"/>
      <c r="V63" s="491"/>
      <c r="W63" s="459"/>
      <c r="X63" s="459"/>
      <c r="Y63" s="459" t="s">
        <v>20</v>
      </c>
      <c r="Z63" s="459"/>
      <c r="AA63" s="599"/>
      <c r="AB63" s="522"/>
      <c r="AC63" s="522"/>
      <c r="AD63" s="522"/>
      <c r="AE63" s="522"/>
      <c r="AF63" s="522"/>
      <c r="AG63" s="522"/>
      <c r="AH63" s="522"/>
      <c r="AI63" s="522"/>
      <c r="BB63" s="412"/>
      <c r="BC63" s="720"/>
      <c r="BD63" s="722" t="s">
        <v>639</v>
      </c>
      <c r="BE63" s="723"/>
      <c r="BF63" s="782" t="s">
        <v>618</v>
      </c>
      <c r="BG63" s="798" t="s">
        <v>1013</v>
      </c>
      <c r="BH63" s="723"/>
      <c r="BI63" s="723"/>
      <c r="BJ63" s="723"/>
      <c r="BK63" s="723"/>
      <c r="BL63" s="724"/>
      <c r="BM63" s="412"/>
      <c r="BN63" s="751"/>
      <c r="BO63" s="741" t="s">
        <v>827</v>
      </c>
      <c r="BP63" s="741" t="s">
        <v>828</v>
      </c>
      <c r="BQ63" s="741" t="s">
        <v>613</v>
      </c>
      <c r="BR63" s="719"/>
      <c r="BS63" s="719"/>
      <c r="BT63" s="719"/>
      <c r="BU63" s="719"/>
      <c r="BV63" s="719"/>
      <c r="BW63" s="1079"/>
      <c r="BX63" s="754"/>
    </row>
    <row r="64" spans="1:86" ht="279.95" customHeight="1">
      <c r="A64" s="597"/>
      <c r="B64" s="597"/>
      <c r="E64" s="1073"/>
      <c r="F64" s="1074"/>
      <c r="G64" s="1075"/>
      <c r="H64" s="485"/>
      <c r="I64" s="485"/>
      <c r="J64" s="484"/>
      <c r="K64" s="564"/>
      <c r="L64" s="485"/>
      <c r="M64" s="485"/>
      <c r="N64" s="487"/>
      <c r="O64" s="1024"/>
      <c r="P64" s="1024"/>
      <c r="Q64" s="1024"/>
      <c r="R64" s="1024"/>
      <c r="S64" s="1024"/>
      <c r="T64" s="1024"/>
      <c r="U64" s="1025"/>
      <c r="V64" s="491"/>
      <c r="W64" s="459"/>
      <c r="X64" s="459"/>
      <c r="Y64" s="459"/>
      <c r="Z64" s="459"/>
      <c r="AA64" s="600"/>
      <c r="AB64" s="520"/>
      <c r="AC64" s="492"/>
      <c r="AD64" s="448"/>
      <c r="AE64" s="448"/>
      <c r="AF64" s="448"/>
      <c r="AG64" s="585"/>
      <c r="AH64" s="496"/>
      <c r="AI64" s="496"/>
      <c r="BB64" s="412"/>
      <c r="BC64" s="720"/>
      <c r="BN64" s="752" t="s">
        <v>402</v>
      </c>
      <c r="BO64" s="734"/>
      <c r="BP64" s="734"/>
      <c r="BQ64" s="734"/>
      <c r="BR64" s="734"/>
      <c r="BS64" s="734"/>
      <c r="BT64" s="734"/>
      <c r="BU64" s="734"/>
      <c r="BV64" s="734"/>
      <c r="BW64" s="1080" t="s">
        <v>668</v>
      </c>
      <c r="BX64" s="754"/>
    </row>
    <row r="65" spans="1:85" ht="279.95" customHeight="1" thickBot="1">
      <c r="A65" s="597"/>
      <c r="B65" s="597"/>
      <c r="E65" s="1076"/>
      <c r="F65" s="1077"/>
      <c r="G65" s="1078"/>
      <c r="H65" s="485"/>
      <c r="I65" s="485"/>
      <c r="J65" s="484"/>
      <c r="K65" s="564"/>
      <c r="L65" s="485"/>
      <c r="M65" s="485"/>
      <c r="N65" s="487"/>
      <c r="O65" s="1027"/>
      <c r="P65" s="1027"/>
      <c r="Q65" s="1027"/>
      <c r="R65" s="1027"/>
      <c r="S65" s="1027"/>
      <c r="T65" s="1027"/>
      <c r="U65" s="1028"/>
      <c r="V65" s="491"/>
      <c r="W65" s="459"/>
      <c r="X65" s="459"/>
      <c r="Y65" s="459"/>
      <c r="Z65" s="459"/>
      <c r="AA65" s="591"/>
      <c r="AB65" s="520"/>
      <c r="AC65" s="506"/>
      <c r="AD65" s="500"/>
      <c r="AE65" s="500"/>
      <c r="AF65" s="500"/>
      <c r="AG65" s="496"/>
      <c r="AH65" s="496"/>
      <c r="AI65" s="496"/>
      <c r="BB65" s="412"/>
      <c r="BC65" s="720"/>
      <c r="BN65" s="752"/>
      <c r="BO65" s="773" t="s">
        <v>831</v>
      </c>
      <c r="BP65" s="741" t="s">
        <v>615</v>
      </c>
      <c r="BQ65" s="741" t="s">
        <v>832</v>
      </c>
      <c r="BR65" s="733"/>
      <c r="BS65" s="733"/>
      <c r="BT65" s="733"/>
      <c r="BU65" s="733"/>
      <c r="BV65" s="733"/>
      <c r="BW65" s="1080"/>
      <c r="BX65" s="754"/>
    </row>
    <row r="66" spans="1:85" ht="279.75" customHeight="1" thickBot="1">
      <c r="A66" s="597"/>
      <c r="B66" s="597"/>
      <c r="E66" s="477" t="s">
        <v>392</v>
      </c>
      <c r="F66" s="478"/>
      <c r="G66" s="559"/>
      <c r="H66" s="485"/>
      <c r="I66" s="485"/>
      <c r="J66" s="484"/>
      <c r="K66" s="564"/>
      <c r="L66" s="485"/>
      <c r="M66" s="485"/>
      <c r="N66" s="487"/>
      <c r="O66" s="1020" t="s">
        <v>393</v>
      </c>
      <c r="P66" s="1021"/>
      <c r="Q66" s="1021"/>
      <c r="R66" s="1021"/>
      <c r="S66" s="1021"/>
      <c r="T66" s="1021"/>
      <c r="U66" s="1022"/>
      <c r="V66" s="491"/>
      <c r="W66" s="459"/>
      <c r="X66" s="459"/>
      <c r="Y66" s="459"/>
      <c r="Z66" s="459"/>
      <c r="AA66" s="601"/>
      <c r="AB66" s="602"/>
      <c r="AC66" s="458"/>
      <c r="AD66" s="501"/>
      <c r="AE66" s="501"/>
      <c r="AF66" s="501"/>
      <c r="AG66" s="496"/>
      <c r="AH66" s="496"/>
      <c r="AI66" s="496"/>
      <c r="AK66" s="492"/>
      <c r="AL66" s="492"/>
      <c r="AM66" s="492"/>
      <c r="AN66" s="608"/>
      <c r="AO66" s="608"/>
      <c r="AP66" s="492"/>
      <c r="AQ66" s="492"/>
      <c r="AR66" s="615"/>
      <c r="AS66" s="615"/>
      <c r="AT66" s="1081" t="s">
        <v>52</v>
      </c>
      <c r="AU66" s="1082"/>
      <c r="AV66" s="1082"/>
      <c r="AW66" s="1083"/>
      <c r="AX66" s="616"/>
      <c r="AY66" s="616"/>
      <c r="AZ66" s="616"/>
      <c r="BA66" s="616"/>
      <c r="BO66" s="427" t="s">
        <v>726</v>
      </c>
      <c r="BP66" s="427" t="s">
        <v>725</v>
      </c>
      <c r="BQ66" s="427" t="s">
        <v>724</v>
      </c>
      <c r="BR66" s="427" t="s">
        <v>723</v>
      </c>
      <c r="BS66" s="427" t="s">
        <v>722</v>
      </c>
      <c r="BT66" s="427" t="s">
        <v>721</v>
      </c>
      <c r="BU66" s="427" t="s">
        <v>720</v>
      </c>
      <c r="BV66" s="427" t="s">
        <v>719</v>
      </c>
    </row>
    <row r="67" spans="1:85" ht="137.25" customHeight="1" thickBot="1">
      <c r="A67" s="603"/>
      <c r="B67" s="496"/>
      <c r="E67" s="484"/>
      <c r="F67" s="485"/>
      <c r="G67" s="564"/>
      <c r="H67" s="485"/>
      <c r="I67" s="485"/>
      <c r="J67" s="484"/>
      <c r="K67" s="564"/>
      <c r="L67" s="485"/>
      <c r="M67" s="485"/>
      <c r="N67" s="487"/>
      <c r="O67" s="1023"/>
      <c r="P67" s="1024"/>
      <c r="Q67" s="1024"/>
      <c r="R67" s="1024"/>
      <c r="S67" s="1024"/>
      <c r="T67" s="1024"/>
      <c r="U67" s="1025"/>
      <c r="V67" s="491"/>
      <c r="W67" s="459"/>
      <c r="X67" s="459"/>
      <c r="Y67" s="459"/>
      <c r="Z67" s="489"/>
      <c r="AA67" s="1029" t="s">
        <v>394</v>
      </c>
      <c r="AB67" s="1030"/>
      <c r="AC67" s="1031"/>
      <c r="AD67" s="501"/>
      <c r="AE67" s="501"/>
      <c r="AF67" s="501"/>
      <c r="AG67" s="451"/>
      <c r="AH67" s="451"/>
      <c r="AI67" s="452"/>
      <c r="AJ67" s="452"/>
      <c r="AK67" s="492"/>
      <c r="AL67" s="492"/>
      <c r="AM67" s="492"/>
      <c r="AN67" s="592"/>
      <c r="AO67" s="592"/>
      <c r="AP67" s="592"/>
      <c r="AQ67" s="604"/>
      <c r="AR67" s="592"/>
      <c r="AS67" s="592"/>
      <c r="AT67" s="706"/>
      <c r="AU67" s="707"/>
      <c r="AV67" s="707"/>
      <c r="AW67" s="708"/>
      <c r="AX67" s="616"/>
      <c r="AY67" s="616"/>
      <c r="AZ67" s="714"/>
      <c r="BA67" s="712">
        <v>1</v>
      </c>
      <c r="BB67" s="712">
        <v>2</v>
      </c>
      <c r="BC67" s="712">
        <v>3</v>
      </c>
      <c r="BD67" s="713">
        <v>4</v>
      </c>
      <c r="BE67" s="713">
        <v>5</v>
      </c>
      <c r="BF67" s="713">
        <v>6</v>
      </c>
      <c r="BG67" s="712">
        <v>7</v>
      </c>
      <c r="BH67" s="712">
        <v>8</v>
      </c>
      <c r="BI67" s="712">
        <v>9</v>
      </c>
      <c r="BJ67" s="713">
        <v>10</v>
      </c>
      <c r="BK67" s="713">
        <v>11</v>
      </c>
      <c r="BL67" s="713">
        <v>12</v>
      </c>
      <c r="BM67" s="712">
        <v>13</v>
      </c>
      <c r="BN67" s="712">
        <v>14</v>
      </c>
      <c r="BO67" s="712">
        <v>15</v>
      </c>
      <c r="BP67" s="712">
        <v>16</v>
      </c>
      <c r="BQ67" s="712">
        <v>17</v>
      </c>
      <c r="BR67" s="713">
        <v>18</v>
      </c>
      <c r="BS67" s="713">
        <v>19</v>
      </c>
      <c r="BT67" s="713">
        <v>20</v>
      </c>
      <c r="BU67" s="712">
        <v>21</v>
      </c>
      <c r="BV67" s="712">
        <v>22</v>
      </c>
      <c r="BW67" s="715" t="s">
        <v>746</v>
      </c>
      <c r="CG67" s="412" t="s">
        <v>907</v>
      </c>
    </row>
    <row r="68" spans="1:85" ht="279.95" customHeight="1" thickBot="1">
      <c r="A68" s="603"/>
      <c r="B68" s="496"/>
      <c r="E68" s="484"/>
      <c r="F68" s="485"/>
      <c r="G68" s="564"/>
      <c r="H68" s="485"/>
      <c r="I68" s="485"/>
      <c r="J68" s="484"/>
      <c r="K68" s="564"/>
      <c r="L68" s="485"/>
      <c r="M68" s="485"/>
      <c r="N68" s="487"/>
      <c r="O68" s="1023"/>
      <c r="P68" s="1024"/>
      <c r="Q68" s="1024"/>
      <c r="R68" s="1024"/>
      <c r="S68" s="1024"/>
      <c r="T68" s="1024"/>
      <c r="U68" s="1025"/>
      <c r="V68" s="491"/>
      <c r="W68" s="459"/>
      <c r="X68" s="459"/>
      <c r="Y68" s="459"/>
      <c r="Z68" s="489"/>
      <c r="AA68" s="1032"/>
      <c r="AB68" s="1033"/>
      <c r="AC68" s="1034"/>
      <c r="AD68" s="501"/>
      <c r="AE68" s="501"/>
      <c r="AF68" s="501"/>
      <c r="AG68" s="585"/>
      <c r="AH68" s="504"/>
      <c r="AJ68" s="592"/>
      <c r="AK68" s="592"/>
      <c r="AL68" s="592"/>
      <c r="AM68" s="592"/>
      <c r="AN68" s="592"/>
      <c r="AO68" s="592"/>
      <c r="AP68" s="592"/>
      <c r="AQ68" s="604"/>
      <c r="AR68" s="592"/>
      <c r="AS68" s="592"/>
      <c r="AT68" s="709"/>
      <c r="AU68" s="710"/>
      <c r="AV68" s="710"/>
      <c r="AW68" s="711"/>
      <c r="AX68" s="616"/>
      <c r="AY68" s="616"/>
      <c r="AZ68" s="712">
        <v>401</v>
      </c>
      <c r="BA68" s="761">
        <f>COUNTIF($AK$11:$BL$63,"*401-1-*") + COUNTIF($BO$11:$BV$65,"*401-1-*")</f>
        <v>0</v>
      </c>
      <c r="BB68" s="761">
        <f>COUNTIF($AK$11:$BL$63,"*401-2-*") + COUNTIF($BO$11:$BV$65,"*401-2-*")</f>
        <v>0</v>
      </c>
      <c r="BC68" s="761">
        <f>COUNTIF($AK$11:$BL$63,"*401-3-*") + COUNTIF($BO$11:$BV$65,"*401-3-*")</f>
        <v>0</v>
      </c>
      <c r="BD68" s="761">
        <f>COUNTIF($AK$11:$BL$63,"*401-4-*") + COUNTIF($BO$11:$BV$65,"*401-4-*")</f>
        <v>0</v>
      </c>
      <c r="BE68" s="761">
        <f>COUNTIF($AK$11:$BL$63,"*401-5-*") + COUNTIF($BO$11:$BV$65,"*401-5-*")</f>
        <v>0</v>
      </c>
      <c r="BF68" s="761">
        <f>COUNTIF($AK$11:$BL$63,"*401-6-*") + COUNTIF($BO$11:$BV$65,"*401-6-*")</f>
        <v>0</v>
      </c>
      <c r="BG68" s="761">
        <f>COUNTIF($AK$11:$BL$63,"*401-7-*") + COUNTIF($BO$11:$BV$65,"*401-7-*")</f>
        <v>0</v>
      </c>
      <c r="BH68" s="761">
        <f>COUNTIF($AK$11:$BL$63,"*401-8-*") + COUNTIF($BO$11:$BV$65,"*401-8-*")</f>
        <v>14</v>
      </c>
      <c r="BI68" s="761">
        <f>COUNTIF($AK$11:$BL$63,"*401-9-*") + COUNTIF($BO$11:$BV$65,"*401-9-*")</f>
        <v>14</v>
      </c>
      <c r="BJ68" s="761">
        <f>COUNTIF($AK$11:$BL$63,"*401-10-*") + COUNTIF($BO$11:$BV$65,"*401-10-*")</f>
        <v>14</v>
      </c>
      <c r="BK68" s="761">
        <f>COUNTIF($AK$11:$BL$63,"*401-11-*") + COUNTIF($BO$11:$BV$65,"*401-11-*")</f>
        <v>14</v>
      </c>
      <c r="BL68" s="761">
        <f>COUNTIF($AK$11:$BL$63,"*401-12-*") + COUNTIF($BO$11:$BV$65,"*401-12-*")</f>
        <v>14</v>
      </c>
      <c r="BM68" s="761">
        <f>COUNTIF($AK$11:$BL$63,"*401-13-*") + COUNTIF($BO$11:$BV$65,"*401-13-*")</f>
        <v>14</v>
      </c>
      <c r="BN68" s="761">
        <f>COUNTIF($AK$11:$BL$63,"*401-14-*") + COUNTIF($BO$11:$BV$65,"*401-14-*")</f>
        <v>14</v>
      </c>
      <c r="BO68" s="761">
        <f>COUNTIF($AK$11:$BL$63,"*401-15-*") + COUNTIF($BO$11:$BV$65,"*401-15-*")</f>
        <v>14</v>
      </c>
      <c r="BP68" s="761">
        <f>COUNTIF($AK$11:$BL$63,"*401-16-*") + COUNTIF($BO$11:$BV$65,"*401-16-*")</f>
        <v>14</v>
      </c>
      <c r="BQ68" s="761">
        <f>COUNTIF($AK$11:$BL$63,"*401-17-*") + COUNTIF($BO$11:$BV$65,"*401-17-*")</f>
        <v>14</v>
      </c>
      <c r="BR68" s="761">
        <f>COUNTIF($AK$11:$BL$63,"*401-18-*") + COUNTIF($BO$11:$BV$65,"*401-18-*")</f>
        <v>14</v>
      </c>
      <c r="BS68" s="762">
        <f>COUNTIF($AK$11:$BL$63,"*401-19-*") + COUNTIF($BO$11:$BV$65,"*401-19-*")</f>
        <v>0</v>
      </c>
      <c r="BT68" s="762">
        <f>COUNTIF($AK$11:$BL$63,"*401-20-*") + COUNTIF($BO$11:$BV$65,"*401-20-*")</f>
        <v>0</v>
      </c>
      <c r="BU68" s="762">
        <f>COUNTIF($AK$11:$BL$63,"*401-21-*") + COUNTIF($BO$11:$BV$65,"*401-21-*")</f>
        <v>0</v>
      </c>
      <c r="BV68" s="762">
        <f>COUNTIF($AK$11:$BL$63,"*401-22-*") + COUNTIF($BO$11:$BV$65,"*401-22-*")</f>
        <v>0</v>
      </c>
      <c r="BW68" s="716">
        <f>SUM(BA68:BV68)/(14*18)</f>
        <v>0.61111111111111116</v>
      </c>
    </row>
    <row r="69" spans="1:85" ht="279.95" customHeight="1">
      <c r="A69" s="603"/>
      <c r="B69" s="476"/>
      <c r="E69" s="484"/>
      <c r="F69" s="485"/>
      <c r="G69" s="564"/>
      <c r="H69" s="485"/>
      <c r="I69" s="485"/>
      <c r="J69" s="484"/>
      <c r="K69" s="564"/>
      <c r="L69" s="485"/>
      <c r="M69" s="485"/>
      <c r="N69" s="487"/>
      <c r="O69" s="1023"/>
      <c r="P69" s="1024"/>
      <c r="Q69" s="1024"/>
      <c r="R69" s="1024"/>
      <c r="S69" s="1024"/>
      <c r="T69" s="1024"/>
      <c r="U69" s="1025"/>
      <c r="V69" s="491"/>
      <c r="W69" s="459"/>
      <c r="X69" s="459"/>
      <c r="Y69" s="459"/>
      <c r="Z69" s="489"/>
      <c r="AA69" s="1032"/>
      <c r="AB69" s="1033"/>
      <c r="AC69" s="1034"/>
      <c r="AD69" s="501"/>
      <c r="AE69" s="501"/>
      <c r="AF69" s="501"/>
      <c r="AH69" s="504"/>
      <c r="AJ69" s="592"/>
      <c r="AK69" s="544"/>
      <c r="AL69" s="618"/>
      <c r="AM69" s="592"/>
      <c r="AN69" s="592"/>
      <c r="AO69" s="592"/>
      <c r="AP69" s="592"/>
      <c r="AQ69" s="604"/>
      <c r="AR69" s="619"/>
      <c r="AS69" s="677"/>
      <c r="AT69" s="999" t="s">
        <v>53</v>
      </c>
      <c r="AU69" s="1000"/>
      <c r="AV69" s="1000"/>
      <c r="AW69" s="1001"/>
      <c r="AX69" s="616"/>
      <c r="AY69" s="616"/>
      <c r="AZ69" s="712">
        <v>402</v>
      </c>
      <c r="BA69" s="743">
        <f>COUNTIF($AK$11:$BL$63,"*402-1-*") + COUNTIF($BO$11:$BV$65,"*402-1-*")</f>
        <v>14</v>
      </c>
      <c r="BB69" s="743">
        <f>COUNTIF($AK$11:$BL$63,"*402-2-*") + COUNTIF($BO$11:$BV$65,"*402-2-*")</f>
        <v>14</v>
      </c>
      <c r="BC69" s="743">
        <f>COUNTIF($AK$11:$BL$63,"*402-3-*") + COUNTIF($BO$11:$BV$65,"*402-3-*")</f>
        <v>14</v>
      </c>
      <c r="BD69" s="743">
        <f>COUNTIF($AK$11:$BL$63,"*402-4-*") + COUNTIF($BO$11:$BV$65,"*402-4-*")</f>
        <v>13</v>
      </c>
      <c r="BE69" s="743">
        <f>COUNTIF($AK$11:$BL$63,"*402-5-*") + COUNTIF($BO$11:$BV$65,"*402-5-*")</f>
        <v>14</v>
      </c>
      <c r="BF69" s="743">
        <f>COUNTIF($AK$11:$BL$63,"*402-6-*") + COUNTIF($BO$11:$BV$65,"*402-6-*")</f>
        <v>10</v>
      </c>
      <c r="BG69" s="743">
        <f>COUNTIF($AK$11:$BL$63,"*402-7-*") + COUNTIF($BO$11:$BV$65,"*402-7-*")</f>
        <v>3</v>
      </c>
      <c r="BH69" s="743">
        <f>COUNTIF($AK$11:$BL$63,"*402-8-*") + COUNTIF($BO$11:$BV$65,"*402-8-*")</f>
        <v>8</v>
      </c>
      <c r="BI69" s="743">
        <f>COUNTIF($AK$11:$BL$63,"*402-9-*") + COUNTIF($BO$11:$BV$65,"*402-9-*")</f>
        <v>5</v>
      </c>
      <c r="BJ69" s="743">
        <f>COUNTIF($AK$11:$BL$63,"*402-10-*") + COUNTIF($BO$11:$BV$65,"*402-10-*")</f>
        <v>2</v>
      </c>
      <c r="BK69" s="743">
        <f>COUNTIF($AK$11:$BL$63,"*402-11-*") + COUNTIF($BO$11:$BV$65,"*402-11-*")</f>
        <v>1</v>
      </c>
      <c r="BL69" s="743">
        <f>COUNTIF($AK$11:$BL$63,"*402-12-*") + COUNTIF($BO$11:$BV$65,"*402-12-*")</f>
        <v>3</v>
      </c>
      <c r="BM69" s="743">
        <f>COUNTIF($AK$11:$BL$63,"*402-13-*") + COUNTIF($BO$11:$BV$65,"*402-13-*")</f>
        <v>0</v>
      </c>
      <c r="BN69" s="743">
        <f>COUNTIF($AK$11:$BL$63,"*402-14-*") + COUNTIF($BO$11:$BV$65,"*402-14-*")</f>
        <v>1</v>
      </c>
      <c r="BO69" s="743">
        <f>COUNTIF($AK$11:$BL$63,"*402-15-*") + COUNTIF($BO$11:$BV$65,"*402-15-*")</f>
        <v>0</v>
      </c>
      <c r="BP69" s="743">
        <f>COUNTIF($AK$11:$BL$63,"*402-16-*") + COUNTIF($BO$11:$BV$65,"*402-16-*")</f>
        <v>1</v>
      </c>
      <c r="BQ69" s="743">
        <f>COUNTIF($AK$11:$BL$63,"*402-17-*") + COUNTIF($BO$11:$BV$65,"*402-17-*")</f>
        <v>1</v>
      </c>
      <c r="BR69" s="743">
        <f>COUNTIF($AK$11:$BL$63,"*402-18-*") + COUNTIF($BO$11:$BV$65,"*402-18-*")</f>
        <v>0</v>
      </c>
      <c r="BS69" s="743">
        <f>COUNTIF($AK$11:$BL$63,"*402-19-*") + COUNTIF($BO$11:$BV$65,"*402-19-*")</f>
        <v>0</v>
      </c>
      <c r="BT69" s="743">
        <f>COUNTIF($AK$11:$BL$63,"*402-20-*") + COUNTIF($BO$11:$BV$65,"*402-20-*")</f>
        <v>0</v>
      </c>
      <c r="BU69" s="743">
        <f>COUNTIF($AK$11:$BL$63,"*402-21-*") + COUNTIF($BO$11:$BV$65,"*402-21-*")</f>
        <v>0</v>
      </c>
      <c r="BV69" s="743">
        <f>COUNTIF($AK$11:$BL$63,"*402-22-*") + COUNTIF($BO$11:$BV$65,"*402-22-*")</f>
        <v>0</v>
      </c>
      <c r="BW69" s="716">
        <f>SUM(BA69:BV69)/(14*22)</f>
        <v>0.33766233766233766</v>
      </c>
    </row>
    <row r="70" spans="1:85" ht="279.95" customHeight="1">
      <c r="A70" s="603"/>
      <c r="B70" s="476"/>
      <c r="E70" s="484"/>
      <c r="F70" s="485"/>
      <c r="G70" s="564"/>
      <c r="H70" s="485"/>
      <c r="I70" s="485"/>
      <c r="J70" s="484"/>
      <c r="K70" s="564"/>
      <c r="L70" s="485"/>
      <c r="M70" s="485"/>
      <c r="N70" s="487"/>
      <c r="O70" s="1023"/>
      <c r="P70" s="1024"/>
      <c r="Q70" s="1024"/>
      <c r="R70" s="1024"/>
      <c r="S70" s="1024"/>
      <c r="T70" s="1024"/>
      <c r="U70" s="1025"/>
      <c r="V70" s="595"/>
      <c r="W70" s="459"/>
      <c r="X70" s="459"/>
      <c r="Y70" s="459"/>
      <c r="Z70" s="489"/>
      <c r="AA70" s="1032"/>
      <c r="AB70" s="1033"/>
      <c r="AC70" s="1034"/>
      <c r="AD70" s="501"/>
      <c r="AE70" s="501"/>
      <c r="AF70" s="501"/>
      <c r="AH70" s="585"/>
      <c r="AI70" s="496"/>
      <c r="AJ70" s="592"/>
      <c r="AP70" s="592"/>
      <c r="AQ70" s="604"/>
      <c r="AR70" s="619"/>
      <c r="AS70" s="677"/>
      <c r="AT70" s="1002"/>
      <c r="AU70" s="1003"/>
      <c r="AV70" s="1003"/>
      <c r="AW70" s="1004"/>
      <c r="AX70" s="616"/>
      <c r="AY70" s="616"/>
      <c r="AZ70" s="713">
        <v>403</v>
      </c>
      <c r="BA70" s="742">
        <f>COUNTIF($AK$11:$BL$63,"*403-1-*") + COUNTIF($BO$11:$BV$65,"*403-1-*")</f>
        <v>14</v>
      </c>
      <c r="BB70" s="742">
        <f>COUNTIF($AK$11:$BL$63,"*403-2-*") + COUNTIF($BO$11:$BV$65,"*403-2-*")</f>
        <v>14</v>
      </c>
      <c r="BC70" s="742">
        <f>COUNTIF($AK$11:$BL$63,"*403-3-*") + COUNTIF($BO$11:$BV$65,"*403-3-*")</f>
        <v>14</v>
      </c>
      <c r="BD70" s="742">
        <f>COUNTIF($AK$11:$BL$63,"*403-4-*") + COUNTIF($BO$11:$BV$65,"*403-4-*")</f>
        <v>14</v>
      </c>
      <c r="BE70" s="742">
        <f>COUNTIF($AK$11:$BL$63,"*403-5-*") + COUNTIF($BO$11:$BV$65,"*403-5-*")</f>
        <v>14</v>
      </c>
      <c r="BF70" s="742">
        <f>COUNTIF($AK$11:$BL$63,"*403-6-*") + COUNTIF($BO$11:$BV$65,"*403-6-*")</f>
        <v>14</v>
      </c>
      <c r="BG70" s="742">
        <f>COUNTIF($AK$11:$BL$63,"*403-7-*") + COUNTIF($BO$11:$BV$65,"*403-7-*")</f>
        <v>14</v>
      </c>
      <c r="BH70" s="742">
        <f>COUNTIF($AK$11:$BL$63,"*403-8-*") + COUNTIF($BO$11:$BV$65,"*403-8-*")</f>
        <v>14</v>
      </c>
      <c r="BI70" s="742">
        <f>COUNTIF($AK$11:$BL$63,"*403-9-*") + COUNTIF($BO$11:$BV$65,"*403-9-*")</f>
        <v>14</v>
      </c>
      <c r="BJ70" s="742">
        <f>COUNTIF($AK$11:$BL$63,"*403-10-*") + COUNTIF($BO$11:$BV$65,"*403-10-*")</f>
        <v>14</v>
      </c>
      <c r="BK70" s="742">
        <f>COUNTIF($AK$11:$BL$63,"*403-11-*") + COUNTIF($BO$11:$BV$65,"*403-11-*")</f>
        <v>14</v>
      </c>
      <c r="BL70" s="742">
        <f>COUNTIF($AK$11:$BL$63,"*403-12-*") + COUNTIF($BO$11:$BV$65,"*403-12-*")</f>
        <v>14</v>
      </c>
      <c r="BM70" s="742">
        <f>COUNTIF($AK$11:$BL$63,"*403-13-*") + COUNTIF($BO$11:$BV$65,"*403-13-*")</f>
        <v>13</v>
      </c>
      <c r="BN70" s="742">
        <f>COUNTIF($AK$11:$BL$63,"*403-14-*") + COUNTIF($BO$11:$BV$65,"*403-14-*")</f>
        <v>14</v>
      </c>
      <c r="BO70" s="742">
        <f>COUNTIF($AK$11:$BL$63,"*403-15-*") + COUNTIF($BO$11:$BV$65,"*403-15-*")</f>
        <v>14</v>
      </c>
      <c r="BP70" s="742">
        <f>COUNTIF($AK$11:$BL$63,"*403-16-*") + COUNTIF($BO$11:$BV$65,"*403-16-*")</f>
        <v>13</v>
      </c>
      <c r="BQ70" s="762">
        <f>COUNTIF($AK$11:$BL$63,"*403-17-*") + COUNTIF($BO$11:$BV$65,"*403-17-*")</f>
        <v>0</v>
      </c>
      <c r="BR70" s="762">
        <f>COUNTIF($AK$11:$BL$63,"*403-18-*") + COUNTIF($BO$11:$BV$65,"*403-18-*")</f>
        <v>0</v>
      </c>
      <c r="BS70" s="762">
        <f>COUNTIF($AK$11:$BL$63,"*403-19-*") + COUNTIF($BO$11:$BV$65,"*403-19-*")</f>
        <v>0</v>
      </c>
      <c r="BT70" s="762">
        <f>COUNTIF($AK$11:$BL$63,"*403-20-*") + COUNTIF($BO$11:$BV$65,"*403-20-*")</f>
        <v>0</v>
      </c>
      <c r="BU70" s="762">
        <f>COUNTIF($AK$11:$BL$63,"*403-21-*") + COUNTIF($BO$11:$BV$65,"*403-21-*")</f>
        <v>0</v>
      </c>
      <c r="BV70" s="762">
        <f>COUNTIF($AK$11:$BL$63,"*403-22-*") + COUNTIF($BO$11:$BV$65,"*403-22-*")</f>
        <v>0</v>
      </c>
      <c r="BW70" s="716">
        <f>SUM(BA70:BV70)/(14*16)</f>
        <v>0.9910714285714286</v>
      </c>
    </row>
    <row r="71" spans="1:85" ht="279.95" customHeight="1" thickBot="1">
      <c r="A71" s="603"/>
      <c r="B71" s="448"/>
      <c r="E71" s="484"/>
      <c r="F71" s="485"/>
      <c r="G71" s="564"/>
      <c r="H71" s="485"/>
      <c r="I71" s="485"/>
      <c r="J71" s="484"/>
      <c r="K71" s="564"/>
      <c r="L71" s="485"/>
      <c r="M71" s="485"/>
      <c r="N71" s="487"/>
      <c r="O71" s="1023"/>
      <c r="P71" s="1024"/>
      <c r="Q71" s="1024"/>
      <c r="R71" s="1024"/>
      <c r="S71" s="1024"/>
      <c r="T71" s="1024"/>
      <c r="U71" s="1025"/>
      <c r="V71" s="595"/>
      <c r="W71" s="459"/>
      <c r="X71" s="459"/>
      <c r="Y71" s="459"/>
      <c r="Z71" s="489"/>
      <c r="AA71" s="1035"/>
      <c r="AB71" s="1036"/>
      <c r="AC71" s="1037"/>
      <c r="AD71" s="501"/>
      <c r="AE71" s="501"/>
      <c r="AF71" s="501"/>
      <c r="AH71" s="585"/>
      <c r="AI71" s="496"/>
      <c r="AJ71" s="592"/>
      <c r="AP71" s="592"/>
      <c r="AQ71" s="604"/>
      <c r="AR71" s="619"/>
      <c r="AS71" s="677"/>
      <c r="AT71" s="1005"/>
      <c r="AU71" s="1006"/>
      <c r="AV71" s="1006"/>
      <c r="AW71" s="1007"/>
      <c r="AX71" s="616"/>
      <c r="AY71" s="616"/>
      <c r="AZ71" s="616"/>
      <c r="BA71" s="592"/>
      <c r="BH71" s="698"/>
      <c r="BX71" s="450"/>
    </row>
    <row r="72" spans="1:85" ht="279.95" customHeight="1">
      <c r="A72" s="603"/>
      <c r="B72" s="448"/>
      <c r="E72" s="484"/>
      <c r="F72" s="485"/>
      <c r="G72" s="564"/>
      <c r="H72" s="485"/>
      <c r="I72" s="485"/>
      <c r="J72" s="484"/>
      <c r="K72" s="564"/>
      <c r="L72" s="485"/>
      <c r="M72" s="485"/>
      <c r="N72" s="487"/>
      <c r="O72" s="1023"/>
      <c r="P72" s="1024"/>
      <c r="Q72" s="1024"/>
      <c r="R72" s="1024"/>
      <c r="S72" s="1024"/>
      <c r="T72" s="1024"/>
      <c r="U72" s="1025"/>
      <c r="V72" s="595"/>
      <c r="W72" s="459"/>
      <c r="X72" s="459"/>
      <c r="Y72" s="459"/>
      <c r="Z72" s="459"/>
      <c r="AB72" s="606"/>
      <c r="AC72" s="607"/>
      <c r="AD72" s="496"/>
      <c r="AE72" s="592"/>
      <c r="AF72" s="496"/>
      <c r="AH72" s="496"/>
      <c r="AI72" s="496"/>
      <c r="AJ72" s="496"/>
      <c r="AP72" s="592"/>
      <c r="AQ72" s="604"/>
      <c r="AR72" s="604"/>
      <c r="AS72" s="604"/>
      <c r="AT72" s="595"/>
      <c r="AU72" s="616"/>
      <c r="AV72" s="616"/>
      <c r="AW72" s="616"/>
      <c r="AX72" s="616"/>
      <c r="AY72" s="616"/>
      <c r="AZ72" s="616"/>
      <c r="BA72" s="448"/>
      <c r="BF72" s="698"/>
      <c r="BG72" s="698"/>
      <c r="BH72" s="699"/>
      <c r="BI72" s="412"/>
      <c r="BJ72" s="412"/>
      <c r="BK72" s="412"/>
      <c r="BL72" s="412"/>
      <c r="BM72" s="702"/>
      <c r="BN72" s="412"/>
      <c r="BO72" s="412"/>
      <c r="BP72" s="717"/>
      <c r="BQ72" s="604"/>
      <c r="BR72" s="412"/>
      <c r="BS72" s="412"/>
      <c r="BT72" s="412"/>
      <c r="BU72" s="412"/>
      <c r="BV72" s="412"/>
    </row>
    <row r="73" spans="1:85" ht="279.95" customHeight="1" thickBot="1">
      <c r="A73" s="603"/>
      <c r="B73" s="503"/>
      <c r="E73" s="484"/>
      <c r="F73" s="485"/>
      <c r="G73" s="564"/>
      <c r="H73" s="485"/>
      <c r="I73" s="485"/>
      <c r="J73" s="484"/>
      <c r="K73" s="564"/>
      <c r="L73" s="485"/>
      <c r="M73" s="485"/>
      <c r="N73" s="487"/>
      <c r="O73" s="1023"/>
      <c r="P73" s="1024"/>
      <c r="Q73" s="1024"/>
      <c r="R73" s="1024"/>
      <c r="S73" s="1024"/>
      <c r="T73" s="1024"/>
      <c r="U73" s="1025"/>
      <c r="V73" s="595"/>
      <c r="W73" s="459"/>
      <c r="X73" s="459"/>
      <c r="Y73" s="459"/>
      <c r="Z73" s="459"/>
      <c r="AB73" s="609"/>
      <c r="AC73" s="610"/>
      <c r="AD73" s="458"/>
      <c r="AE73" s="458"/>
      <c r="AF73" s="498"/>
      <c r="AG73" s="566"/>
      <c r="AH73" s="611"/>
      <c r="AI73" s="611"/>
      <c r="AP73" s="592"/>
      <c r="AQ73" s="604"/>
      <c r="AR73" s="604"/>
      <c r="AS73" s="604"/>
      <c r="AT73" s="595"/>
      <c r="AU73" s="616"/>
      <c r="AV73" s="616"/>
      <c r="AW73" s="616"/>
      <c r="AX73" s="616"/>
      <c r="AY73" s="616"/>
      <c r="AZ73" s="616"/>
      <c r="BA73" s="448"/>
      <c r="BF73" s="412"/>
      <c r="BG73" s="412"/>
      <c r="BH73" s="412"/>
      <c r="BI73" s="412"/>
      <c r="BJ73" s="412"/>
      <c r="BK73" s="412"/>
      <c r="BL73" s="412"/>
      <c r="BM73" s="702"/>
      <c r="BN73" s="412"/>
      <c r="BO73" s="412"/>
      <c r="BP73" s="412"/>
      <c r="BQ73" s="412"/>
      <c r="BR73" s="412"/>
      <c r="BS73" s="412"/>
      <c r="BT73" s="412"/>
      <c r="BU73" s="412"/>
      <c r="BV73" s="412"/>
    </row>
    <row r="74" spans="1:85" ht="279.95" customHeight="1" thickBot="1">
      <c r="A74" s="448"/>
      <c r="B74" s="503"/>
      <c r="E74" s="484"/>
      <c r="F74" s="485"/>
      <c r="G74" s="564"/>
      <c r="H74" s="485"/>
      <c r="I74" s="485"/>
      <c r="J74" s="484"/>
      <c r="K74" s="564"/>
      <c r="L74" s="485"/>
      <c r="M74" s="485"/>
      <c r="N74" s="487"/>
      <c r="O74" s="1023"/>
      <c r="P74" s="1024"/>
      <c r="Q74" s="1024"/>
      <c r="R74" s="1024"/>
      <c r="S74" s="1024"/>
      <c r="T74" s="1024"/>
      <c r="U74" s="1025"/>
      <c r="V74" s="613"/>
      <c r="W74" s="614"/>
      <c r="X74" s="459"/>
      <c r="Y74" s="459"/>
      <c r="Z74" s="459"/>
      <c r="AB74" s="1085" t="s">
        <v>395</v>
      </c>
      <c r="AC74" s="1086"/>
      <c r="AG74" s="496"/>
      <c r="AH74" s="527"/>
      <c r="AI74" s="496"/>
      <c r="AJ74" s="492"/>
      <c r="AP74" s="592"/>
      <c r="AQ74" s="604"/>
      <c r="AR74" s="604"/>
      <c r="AS74" s="604"/>
      <c r="AT74" s="1008" t="s">
        <v>55</v>
      </c>
      <c r="AU74" s="1009"/>
      <c r="AV74" s="1009"/>
      <c r="AW74" s="1009"/>
      <c r="AX74" s="1009"/>
      <c r="AY74" s="1010"/>
      <c r="AZ74" s="616"/>
      <c r="BA74" s="496"/>
      <c r="BB74" s="1017" t="s">
        <v>0</v>
      </c>
      <c r="BC74" s="703"/>
      <c r="BD74" s="1017" t="s">
        <v>2</v>
      </c>
      <c r="BF74" s="700"/>
      <c r="BG74" s="700"/>
      <c r="BH74" s="701"/>
      <c r="BI74" s="412"/>
      <c r="BJ74" s="412"/>
      <c r="BK74" s="412"/>
      <c r="BL74" s="412"/>
      <c r="BM74" s="702"/>
      <c r="BN74" s="412"/>
      <c r="BO74" s="412"/>
      <c r="BP74" s="412"/>
      <c r="BQ74" s="412"/>
      <c r="BR74" s="412"/>
      <c r="BS74" s="412"/>
      <c r="BT74" s="412"/>
      <c r="BU74" s="412"/>
      <c r="BV74" s="412"/>
    </row>
    <row r="75" spans="1:85" ht="279.95" customHeight="1">
      <c r="A75" s="448"/>
      <c r="B75" s="503"/>
      <c r="E75" s="484"/>
      <c r="F75" s="485"/>
      <c r="G75" s="564"/>
      <c r="H75" s="485"/>
      <c r="I75" s="485"/>
      <c r="J75" s="484"/>
      <c r="K75" s="564"/>
      <c r="L75" s="485"/>
      <c r="M75" s="485"/>
      <c r="N75" s="487"/>
      <c r="O75" s="1023"/>
      <c r="P75" s="1024"/>
      <c r="Q75" s="1024"/>
      <c r="R75" s="1024"/>
      <c r="S75" s="1024"/>
      <c r="T75" s="1024"/>
      <c r="U75" s="1025"/>
      <c r="V75" s="595"/>
      <c r="W75" s="614"/>
      <c r="X75" s="459"/>
      <c r="Z75" s="459"/>
      <c r="AB75" s="1085"/>
      <c r="AC75" s="1086"/>
      <c r="AD75" s="498"/>
      <c r="AE75" s="498"/>
      <c r="AG75" s="496"/>
      <c r="AH75" s="498"/>
      <c r="AI75" s="498"/>
      <c r="AJ75" s="492"/>
      <c r="AP75" s="448"/>
      <c r="AQ75" s="448"/>
      <c r="AR75" s="604"/>
      <c r="AS75" s="604"/>
      <c r="AT75" s="1011"/>
      <c r="AU75" s="1012"/>
      <c r="AV75" s="1012"/>
      <c r="AW75" s="1012"/>
      <c r="AX75" s="1012"/>
      <c r="AY75" s="1013"/>
      <c r="AZ75" s="503"/>
      <c r="BA75" s="503"/>
      <c r="BB75" s="1018"/>
      <c r="BC75" s="704"/>
      <c r="BD75" s="1018"/>
      <c r="BL75" s="494"/>
      <c r="BN75" s="412"/>
      <c r="BO75" s="412"/>
      <c r="BP75" s="412"/>
      <c r="BQ75" s="412"/>
      <c r="BR75" s="412"/>
      <c r="BS75" s="412"/>
      <c r="BT75" s="412"/>
      <c r="BU75" s="412"/>
      <c r="BV75" s="412"/>
    </row>
    <row r="76" spans="1:85" ht="350.1" customHeight="1" thickBot="1">
      <c r="A76" s="448"/>
      <c r="B76" s="503"/>
      <c r="E76" s="484"/>
      <c r="F76" s="485"/>
      <c r="G76" s="564"/>
      <c r="H76" s="485"/>
      <c r="I76" s="485"/>
      <c r="J76" s="484"/>
      <c r="K76" s="564"/>
      <c r="L76" s="485"/>
      <c r="M76" s="485"/>
      <c r="N76" s="487"/>
      <c r="O76" s="1023"/>
      <c r="P76" s="1024"/>
      <c r="Q76" s="1024"/>
      <c r="R76" s="1024"/>
      <c r="S76" s="1024"/>
      <c r="T76" s="1024"/>
      <c r="U76" s="1025"/>
      <c r="V76" s="595"/>
      <c r="W76" s="614"/>
      <c r="X76" s="459"/>
      <c r="Y76" s="459"/>
      <c r="Z76" s="459"/>
      <c r="AB76" s="609"/>
      <c r="AC76" s="610"/>
      <c r="AD76" s="464"/>
      <c r="AE76" s="498"/>
      <c r="AF76" s="498"/>
      <c r="AG76" s="496"/>
      <c r="AH76" s="464"/>
      <c r="AI76" s="464"/>
      <c r="AJ76" s="592"/>
      <c r="AK76" s="632"/>
      <c r="AL76" s="632"/>
      <c r="AN76" s="640"/>
      <c r="AO76" s="640"/>
      <c r="AP76" s="640"/>
      <c r="AQ76" s="640"/>
      <c r="AR76" s="612"/>
      <c r="AS76" s="612"/>
      <c r="AT76" s="1014"/>
      <c r="AU76" s="1015"/>
      <c r="AV76" s="1015"/>
      <c r="AW76" s="1015"/>
      <c r="AX76" s="1015"/>
      <c r="AY76" s="1016"/>
      <c r="AZ76" s="612"/>
      <c r="BA76" s="612"/>
      <c r="BB76" s="1019"/>
      <c r="BC76" s="705"/>
      <c r="BD76" s="1019"/>
      <c r="BE76" s="641"/>
      <c r="BF76" s="641"/>
      <c r="BG76" s="641"/>
      <c r="BH76" s="641"/>
      <c r="BJ76" s="641"/>
      <c r="BK76" s="641"/>
      <c r="BL76" s="642"/>
    </row>
    <row r="77" spans="1:85" ht="350.1" customHeight="1" thickTop="1">
      <c r="A77" s="448"/>
      <c r="B77" s="503"/>
      <c r="E77" s="484"/>
      <c r="F77" s="485"/>
      <c r="G77" s="564"/>
      <c r="H77" s="485"/>
      <c r="I77" s="485"/>
      <c r="J77" s="484"/>
      <c r="K77" s="564"/>
      <c r="L77" s="485"/>
      <c r="M77" s="485"/>
      <c r="N77" s="487"/>
      <c r="O77" s="1023"/>
      <c r="P77" s="1024"/>
      <c r="Q77" s="1024"/>
      <c r="R77" s="1024"/>
      <c r="S77" s="1024"/>
      <c r="T77" s="1024"/>
      <c r="U77" s="1025"/>
      <c r="V77" s="595"/>
      <c r="W77" s="614"/>
      <c r="X77" s="459"/>
      <c r="Y77" s="458"/>
      <c r="Z77" s="459"/>
      <c r="AA77" s="617"/>
      <c r="AB77" s="609"/>
      <c r="AC77" s="610"/>
      <c r="AF77" s="498"/>
      <c r="AG77" s="496"/>
      <c r="AH77" s="498"/>
      <c r="AJ77" s="592"/>
      <c r="AK77" s="632"/>
      <c r="AL77" s="632"/>
      <c r="AM77" s="991" t="s">
        <v>22</v>
      </c>
      <c r="AN77" s="992"/>
      <c r="AO77" s="992"/>
      <c r="AP77" s="992"/>
      <c r="AQ77" s="993"/>
      <c r="AR77" s="646"/>
      <c r="BI77" s="647"/>
    </row>
    <row r="78" spans="1:85" ht="350.1" customHeight="1" thickBot="1">
      <c r="A78" s="448"/>
      <c r="B78" s="503"/>
      <c r="E78" s="509"/>
      <c r="F78" s="513"/>
      <c r="G78" s="620"/>
      <c r="H78" s="513"/>
      <c r="I78" s="513"/>
      <c r="J78" s="509"/>
      <c r="K78" s="620"/>
      <c r="L78" s="513"/>
      <c r="M78" s="513"/>
      <c r="N78" s="621"/>
      <c r="O78" s="1026"/>
      <c r="P78" s="1027"/>
      <c r="Q78" s="1027"/>
      <c r="R78" s="1027"/>
      <c r="S78" s="1027"/>
      <c r="T78" s="1027"/>
      <c r="U78" s="1028"/>
      <c r="V78" s="595"/>
      <c r="W78" s="614"/>
      <c r="X78" s="459"/>
      <c r="AA78" s="617"/>
      <c r="AB78" s="622"/>
      <c r="AC78" s="623"/>
      <c r="AE78" s="458"/>
      <c r="AG78" s="496"/>
      <c r="AH78" s="498"/>
      <c r="AK78" s="632"/>
      <c r="AL78" s="632"/>
      <c r="AM78" s="994"/>
      <c r="AN78" s="995"/>
      <c r="AO78" s="995"/>
      <c r="AP78" s="995"/>
      <c r="AQ78" s="996"/>
      <c r="AU78" s="654"/>
      <c r="AV78" s="654"/>
      <c r="AW78" s="654"/>
      <c r="AX78" s="654"/>
      <c r="AY78" s="654"/>
      <c r="AZ78" s="654"/>
      <c r="BA78" s="654"/>
    </row>
    <row r="79" spans="1:85" ht="350.1" customHeight="1">
      <c r="A79" s="448"/>
      <c r="B79" s="503"/>
      <c r="E79" s="486"/>
      <c r="F79" s="486"/>
      <c r="G79" s="486"/>
      <c r="H79" s="486"/>
      <c r="I79" s="486"/>
      <c r="J79" s="496"/>
      <c r="K79" s="496"/>
      <c r="L79" s="496"/>
      <c r="M79" s="496"/>
      <c r="N79" s="624"/>
      <c r="O79" s="625"/>
      <c r="P79" s="625"/>
      <c r="Q79" s="626"/>
      <c r="S79" s="448"/>
      <c r="T79" s="448"/>
      <c r="U79" s="627"/>
      <c r="V79" s="448"/>
      <c r="W79" s="628"/>
      <c r="X79" s="448"/>
      <c r="AB79" s="427"/>
      <c r="AC79" s="629"/>
      <c r="AD79" s="629"/>
      <c r="AE79" s="629"/>
      <c r="AF79" s="496"/>
      <c r="AH79" s="505"/>
      <c r="AI79" s="498"/>
      <c r="AK79" s="661"/>
      <c r="AL79" s="661"/>
      <c r="AQ79" s="662"/>
      <c r="AR79" s="663"/>
      <c r="AS79" s="663"/>
      <c r="AT79" s="663"/>
      <c r="AU79" s="664"/>
      <c r="AV79" s="664"/>
      <c r="AW79" s="664"/>
      <c r="AX79" s="664"/>
      <c r="AY79" s="664"/>
      <c r="AZ79" s="664"/>
      <c r="BA79" s="664"/>
      <c r="BB79" s="665"/>
      <c r="BC79" s="665"/>
      <c r="BD79" s="665"/>
      <c r="BE79" s="665"/>
      <c r="BF79" s="665"/>
      <c r="BG79" s="665"/>
      <c r="BH79" s="665"/>
      <c r="BI79" s="665"/>
      <c r="BJ79" s="665"/>
      <c r="BK79" s="665"/>
      <c r="BL79" s="665"/>
      <c r="BM79" s="665"/>
      <c r="BN79" s="665"/>
      <c r="BO79" s="665"/>
      <c r="BP79" s="665"/>
      <c r="BQ79" s="665"/>
      <c r="BR79" s="665"/>
      <c r="BS79" s="665"/>
      <c r="BT79" s="665"/>
      <c r="BU79" s="665"/>
    </row>
    <row r="80" spans="1:85" ht="350.1" customHeight="1">
      <c r="A80" s="448"/>
      <c r="B80" s="503"/>
      <c r="E80" s="486"/>
      <c r="F80" s="486"/>
      <c r="G80" s="486"/>
      <c r="H80" s="486"/>
      <c r="I80" s="486"/>
      <c r="J80" s="496"/>
      <c r="K80" s="496"/>
      <c r="L80" s="496"/>
      <c r="M80" s="496"/>
      <c r="N80" s="624"/>
      <c r="O80" s="630"/>
      <c r="P80" s="630"/>
      <c r="Q80" s="448"/>
      <c r="R80" s="448"/>
      <c r="S80" s="448"/>
      <c r="T80" s="448"/>
      <c r="U80" s="548"/>
      <c r="V80" s="548"/>
      <c r="W80" s="548"/>
      <c r="X80" s="548"/>
      <c r="Y80" s="631"/>
      <c r="Z80" s="631"/>
      <c r="AA80" s="492"/>
      <c r="AB80" s="492"/>
      <c r="AF80" s="496"/>
      <c r="AH80" s="529"/>
      <c r="AI80" s="498"/>
      <c r="AJ80" s="592"/>
      <c r="AQ80" s="667"/>
      <c r="AR80" s="667"/>
      <c r="AS80" s="667"/>
      <c r="AT80" s="668"/>
      <c r="AU80" s="664"/>
      <c r="AV80" s="664"/>
      <c r="AW80" s="664"/>
      <c r="AX80" s="664"/>
      <c r="AY80" s="664"/>
      <c r="AZ80" s="664"/>
      <c r="BA80" s="664"/>
      <c r="BB80" s="665"/>
      <c r="BC80" s="665"/>
      <c r="BD80" s="665"/>
      <c r="BE80" s="669"/>
      <c r="BF80" s="669"/>
      <c r="BG80" s="669"/>
      <c r="BH80" s="665"/>
      <c r="BI80" s="665"/>
      <c r="BJ80" s="665"/>
      <c r="BK80" s="665"/>
      <c r="BL80" s="665"/>
      <c r="BM80" s="665"/>
      <c r="BN80" s="665"/>
      <c r="BO80" s="665"/>
      <c r="BP80" s="665"/>
      <c r="BQ80" s="665"/>
      <c r="BR80" s="665"/>
      <c r="BS80" s="665"/>
      <c r="BT80" s="665"/>
      <c r="BU80" s="665"/>
    </row>
    <row r="81" spans="1:74" ht="350.1" customHeight="1">
      <c r="A81" s="448"/>
      <c r="B81" s="503"/>
      <c r="E81" s="486"/>
      <c r="F81" s="486"/>
      <c r="G81" s="486"/>
      <c r="H81" s="486"/>
      <c r="I81" s="486"/>
      <c r="J81" s="496"/>
      <c r="K81" s="496"/>
      <c r="L81" s="496"/>
      <c r="M81" s="496"/>
      <c r="N81" s="624"/>
      <c r="O81" s="630"/>
      <c r="P81" s="630"/>
      <c r="Q81" s="448"/>
      <c r="R81" s="475"/>
      <c r="S81" s="448"/>
      <c r="T81" s="448"/>
      <c r="U81" s="548"/>
      <c r="V81" s="548"/>
      <c r="W81" s="548"/>
      <c r="X81" s="548"/>
      <c r="Z81" s="631"/>
      <c r="AB81" s="427"/>
      <c r="AE81" s="592"/>
      <c r="AF81" s="448"/>
      <c r="AG81" s="496"/>
      <c r="AH81" s="458"/>
      <c r="AI81" s="448"/>
      <c r="AJ81" s="592"/>
      <c r="AP81" s="544"/>
      <c r="AQ81" s="667"/>
      <c r="AR81" s="667"/>
      <c r="AS81" s="667"/>
      <c r="AT81" s="668"/>
      <c r="AU81" s="664"/>
      <c r="AV81" s="664"/>
      <c r="AW81" s="664"/>
      <c r="AX81" s="664"/>
      <c r="AY81" s="664"/>
      <c r="AZ81" s="664"/>
      <c r="BA81" s="664"/>
      <c r="BB81" s="665"/>
      <c r="BC81" s="665"/>
      <c r="BD81" s="665"/>
      <c r="BE81" s="669"/>
      <c r="BF81" s="669"/>
      <c r="BG81" s="669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</row>
    <row r="82" spans="1:74" ht="350.1" customHeight="1" thickBot="1">
      <c r="A82" s="448"/>
      <c r="B82" s="503"/>
      <c r="E82" s="486"/>
      <c r="F82" s="486"/>
      <c r="G82" s="486"/>
      <c r="H82" s="486"/>
      <c r="I82" s="486"/>
      <c r="J82" s="496"/>
      <c r="K82" s="630"/>
      <c r="L82" s="630"/>
      <c r="M82" s="630"/>
      <c r="N82" s="630"/>
      <c r="O82" s="630"/>
      <c r="P82" s="630"/>
      <c r="Q82" s="630"/>
      <c r="R82" s="630"/>
      <c r="S82" s="630"/>
      <c r="T82" s="630"/>
      <c r="U82" s="630"/>
      <c r="V82" s="630"/>
      <c r="W82" s="630"/>
      <c r="X82" s="630"/>
      <c r="Y82" s="571"/>
      <c r="Z82" s="520"/>
      <c r="AB82" s="427"/>
      <c r="AE82" s="592"/>
      <c r="AF82" s="448"/>
      <c r="AG82" s="632"/>
      <c r="AH82" s="632"/>
      <c r="AI82" s="632"/>
      <c r="AJ82" s="632"/>
      <c r="AP82" s="544"/>
      <c r="AQ82" s="662"/>
      <c r="AR82" s="663"/>
      <c r="AS82" s="663"/>
      <c r="AT82" s="668"/>
      <c r="AU82" s="664"/>
      <c r="AV82" s="672"/>
      <c r="AW82" s="664"/>
      <c r="AX82" s="664"/>
      <c r="AY82" s="664"/>
      <c r="AZ82" s="664"/>
      <c r="BA82" s="664"/>
      <c r="BB82" s="665"/>
      <c r="BC82" s="665"/>
      <c r="BD82" s="665"/>
      <c r="BE82" s="669"/>
      <c r="BF82" s="669"/>
      <c r="BG82" s="669"/>
      <c r="BH82" s="665"/>
      <c r="BI82" s="665"/>
      <c r="BJ82" s="665"/>
      <c r="BK82" s="665"/>
      <c r="BL82" s="665"/>
      <c r="BM82" s="665"/>
      <c r="BN82" s="665"/>
      <c r="BO82" s="665"/>
      <c r="BP82" s="665"/>
      <c r="BQ82" s="665"/>
      <c r="BR82" s="665"/>
      <c r="BS82" s="665"/>
      <c r="BT82" s="665"/>
      <c r="BU82" s="665"/>
    </row>
    <row r="83" spans="1:74" ht="350.1" customHeight="1" thickBot="1">
      <c r="A83" s="448"/>
      <c r="B83" s="633"/>
      <c r="C83" s="633"/>
      <c r="D83" s="633"/>
      <c r="E83" s="634"/>
      <c r="F83" s="634"/>
      <c r="G83" s="635"/>
      <c r="H83" s="635"/>
      <c r="I83" s="636"/>
      <c r="J83" s="637"/>
      <c r="K83" s="1046" t="s">
        <v>396</v>
      </c>
      <c r="L83" s="1047"/>
      <c r="M83" s="1047"/>
      <c r="N83" s="1047"/>
      <c r="O83" s="1048"/>
      <c r="P83" s="630"/>
      <c r="Q83" s="630"/>
      <c r="R83" s="630"/>
      <c r="S83" s="630"/>
      <c r="T83" s="630"/>
      <c r="U83" s="630"/>
      <c r="V83" s="630"/>
      <c r="W83" s="630"/>
      <c r="X83" s="630"/>
      <c r="Y83" s="571"/>
      <c r="Z83" s="520"/>
      <c r="AA83" s="498"/>
      <c r="AB83" s="446"/>
      <c r="AC83" s="638"/>
      <c r="AD83" s="638"/>
      <c r="AE83" s="458"/>
      <c r="AF83" s="505"/>
      <c r="AG83" s="632"/>
      <c r="AH83" s="632"/>
      <c r="AI83" s="632"/>
      <c r="AJ83" s="632"/>
      <c r="AP83" s="544"/>
      <c r="AQ83" s="662"/>
      <c r="AR83" s="663"/>
      <c r="AS83" s="663"/>
      <c r="AT83" s="668"/>
      <c r="AU83" s="664"/>
      <c r="AV83" s="674"/>
      <c r="AW83" s="664"/>
      <c r="AX83" s="664"/>
      <c r="AY83" s="664"/>
      <c r="AZ83" s="664"/>
      <c r="BA83" s="664"/>
      <c r="BB83" s="665"/>
      <c r="BC83" s="665"/>
      <c r="BD83" s="665"/>
      <c r="BE83" s="669"/>
      <c r="BF83" s="669"/>
      <c r="BG83" s="669"/>
      <c r="BH83" s="665"/>
      <c r="BI83" s="665"/>
      <c r="BJ83" s="665"/>
      <c r="BK83" s="665"/>
      <c r="BL83" s="665"/>
      <c r="BM83" s="665"/>
      <c r="BN83" s="665"/>
      <c r="BO83" s="665"/>
      <c r="BP83" s="665"/>
      <c r="BQ83" s="665"/>
      <c r="BR83" s="665"/>
      <c r="BS83" s="665"/>
      <c r="BT83" s="665"/>
      <c r="BU83" s="665"/>
    </row>
    <row r="84" spans="1:74" ht="186" customHeight="1" thickBot="1">
      <c r="A84" s="448"/>
      <c r="B84" s="1055" t="s">
        <v>397</v>
      </c>
      <c r="C84" s="1056"/>
      <c r="D84" s="1057"/>
      <c r="E84" s="997" t="s">
        <v>398</v>
      </c>
      <c r="F84" s="998"/>
      <c r="G84" s="1062" t="s">
        <v>398</v>
      </c>
      <c r="H84" s="1063"/>
      <c r="I84" s="1064" t="s">
        <v>399</v>
      </c>
      <c r="J84" s="1065"/>
      <c r="K84" s="1049"/>
      <c r="L84" s="1050"/>
      <c r="M84" s="1050"/>
      <c r="N84" s="1050"/>
      <c r="O84" s="1051"/>
      <c r="P84" s="630"/>
      <c r="Q84" s="630"/>
      <c r="R84" s="630"/>
      <c r="S84" s="630"/>
      <c r="T84" s="630"/>
      <c r="U84" s="584"/>
      <c r="V84" s="584"/>
      <c r="W84" s="630"/>
      <c r="X84" s="630"/>
      <c r="Y84" s="639"/>
      <c r="Z84" s="520"/>
      <c r="AA84" s="498"/>
      <c r="AB84" s="446"/>
      <c r="AC84" s="638"/>
      <c r="AD84" s="638"/>
      <c r="AE84" s="458"/>
      <c r="AF84" s="458"/>
      <c r="AG84" s="632"/>
      <c r="AH84" s="632"/>
      <c r="AI84" s="632"/>
      <c r="AJ84" s="632"/>
      <c r="AP84" s="498"/>
      <c r="AQ84" s="662"/>
      <c r="AR84" s="663"/>
      <c r="AS84" s="663"/>
      <c r="AT84" s="668"/>
      <c r="AU84" s="664"/>
      <c r="AV84" s="672"/>
      <c r="AW84" s="672"/>
      <c r="AX84" s="664"/>
      <c r="AY84" s="664"/>
      <c r="AZ84" s="664"/>
      <c r="BA84" s="664"/>
      <c r="BB84" s="665"/>
      <c r="BC84" s="665"/>
      <c r="BD84" s="665"/>
      <c r="BE84" s="669"/>
      <c r="BF84" s="669"/>
      <c r="BG84" s="669"/>
      <c r="BH84" s="669"/>
      <c r="BI84" s="669"/>
      <c r="BJ84" s="669"/>
      <c r="BK84" s="665"/>
      <c r="BL84" s="665"/>
      <c r="BM84" s="665"/>
      <c r="BN84" s="665"/>
      <c r="BO84" s="665"/>
      <c r="BP84" s="665"/>
      <c r="BQ84" s="665"/>
      <c r="BR84" s="665"/>
      <c r="BS84" s="665"/>
      <c r="BT84" s="665"/>
      <c r="BU84" s="665"/>
      <c r="BV84" s="1084"/>
    </row>
    <row r="85" spans="1:74" ht="186" customHeight="1" thickBot="1">
      <c r="B85" s="1058"/>
      <c r="C85" s="1056"/>
      <c r="D85" s="1057"/>
      <c r="E85" s="997" t="s">
        <v>398</v>
      </c>
      <c r="F85" s="1068"/>
      <c r="G85" s="997" t="s">
        <v>398</v>
      </c>
      <c r="H85" s="1068"/>
      <c r="I85" s="1064"/>
      <c r="J85" s="1065"/>
      <c r="K85" s="1049"/>
      <c r="L85" s="1050"/>
      <c r="M85" s="1050"/>
      <c r="N85" s="1050"/>
      <c r="O85" s="1051"/>
      <c r="P85" s="630"/>
      <c r="Q85" s="630"/>
      <c r="R85" s="630"/>
      <c r="S85" s="630"/>
      <c r="T85" s="630"/>
      <c r="U85" s="535"/>
      <c r="V85" s="535"/>
      <c r="W85" s="630"/>
      <c r="X85" s="643"/>
      <c r="Y85" s="613"/>
      <c r="Z85" s="644"/>
      <c r="AA85" s="498"/>
      <c r="AB85" s="446"/>
      <c r="AC85" s="638"/>
      <c r="AD85" s="638"/>
      <c r="AE85" s="458"/>
      <c r="AF85" s="458"/>
      <c r="AG85" s="645"/>
      <c r="AH85" s="632"/>
      <c r="AI85" s="632"/>
      <c r="AJ85" s="632"/>
      <c r="AP85" s="632"/>
      <c r="AQ85" s="667"/>
      <c r="AR85" s="667"/>
      <c r="AS85" s="667"/>
      <c r="AT85" s="668"/>
      <c r="AU85" s="664"/>
      <c r="AV85" s="674"/>
      <c r="AW85" s="672"/>
      <c r="AX85" s="664"/>
      <c r="AY85" s="664"/>
      <c r="AZ85" s="664"/>
      <c r="BA85" s="664"/>
      <c r="BB85" s="665"/>
      <c r="BC85" s="665"/>
      <c r="BD85" s="665"/>
      <c r="BE85" s="669"/>
      <c r="BF85" s="669"/>
      <c r="BG85" s="669"/>
      <c r="BH85" s="669"/>
      <c r="BI85" s="669"/>
      <c r="BJ85" s="669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1084"/>
    </row>
    <row r="86" spans="1:74" ht="186" customHeight="1" thickBot="1">
      <c r="A86" s="448"/>
      <c r="B86" s="1059"/>
      <c r="C86" s="1060"/>
      <c r="D86" s="1061"/>
      <c r="E86" s="997" t="s">
        <v>400</v>
      </c>
      <c r="F86" s="998"/>
      <c r="G86" s="997" t="s">
        <v>401</v>
      </c>
      <c r="H86" s="998"/>
      <c r="I86" s="1066"/>
      <c r="J86" s="1067"/>
      <c r="K86" s="1052"/>
      <c r="L86" s="1053"/>
      <c r="M86" s="1053"/>
      <c r="N86" s="1053"/>
      <c r="O86" s="1054"/>
      <c r="P86" s="648"/>
      <c r="Q86" s="648"/>
      <c r="R86" s="648"/>
      <c r="S86" s="648"/>
      <c r="T86" s="648"/>
      <c r="U86" s="649"/>
      <c r="V86" s="649"/>
      <c r="W86" s="648"/>
      <c r="X86" s="650"/>
      <c r="Y86" s="452"/>
      <c r="Z86" s="452"/>
      <c r="AA86" s="651"/>
      <c r="AB86" s="652"/>
      <c r="AC86" s="653"/>
      <c r="AD86" s="653"/>
      <c r="AE86" s="458"/>
      <c r="AF86" s="458"/>
      <c r="AG86" s="645"/>
      <c r="AH86" s="632"/>
      <c r="AI86" s="632"/>
      <c r="AJ86" s="632"/>
      <c r="AP86" s="632"/>
      <c r="AQ86" s="662"/>
      <c r="AR86" s="663"/>
      <c r="AS86" s="663"/>
      <c r="AT86" s="668"/>
      <c r="AU86" s="664"/>
      <c r="AV86" s="664"/>
      <c r="AW86" s="664"/>
      <c r="AX86" s="664"/>
      <c r="AY86" s="664"/>
      <c r="AZ86" s="664"/>
      <c r="BA86" s="664"/>
      <c r="BB86" s="665"/>
      <c r="BC86" s="665"/>
      <c r="BD86" s="665"/>
      <c r="BE86" s="669"/>
      <c r="BF86" s="669"/>
      <c r="BG86" s="669"/>
      <c r="BH86" s="669"/>
      <c r="BI86" s="669"/>
      <c r="BJ86" s="669"/>
      <c r="BK86" s="665"/>
      <c r="BL86" s="665"/>
      <c r="BM86" s="665"/>
      <c r="BN86" s="665"/>
      <c r="BO86" s="665"/>
      <c r="BP86" s="665"/>
      <c r="BQ86" s="665"/>
      <c r="BR86" s="665"/>
      <c r="BS86" s="665"/>
      <c r="BT86" s="665"/>
      <c r="BU86" s="665"/>
      <c r="BV86" s="1084"/>
    </row>
    <row r="87" spans="1:74" ht="186" customHeight="1" thickBot="1">
      <c r="A87" s="655"/>
      <c r="B87" s="656"/>
      <c r="C87" s="657"/>
      <c r="D87" s="657"/>
      <c r="E87" s="657"/>
      <c r="F87" s="657"/>
      <c r="G87" s="657"/>
      <c r="H87" s="657"/>
      <c r="I87" s="657"/>
      <c r="J87" s="657"/>
      <c r="K87" s="657"/>
      <c r="L87" s="657"/>
      <c r="M87" s="657"/>
      <c r="N87" s="657"/>
      <c r="O87" s="657"/>
      <c r="P87" s="657"/>
      <c r="Q87" s="657"/>
      <c r="R87" s="658"/>
      <c r="S87" s="657"/>
      <c r="T87" s="657"/>
      <c r="U87" s="657"/>
      <c r="V87" s="657"/>
      <c r="W87" s="657"/>
      <c r="X87" s="657"/>
      <c r="Y87" s="657"/>
      <c r="Z87" s="657"/>
      <c r="AA87" s="657"/>
      <c r="AB87" s="657"/>
      <c r="AC87" s="657"/>
      <c r="AD87" s="659"/>
      <c r="AE87" s="498"/>
      <c r="AF87" s="464"/>
      <c r="AG87" s="511"/>
      <c r="AH87" s="660"/>
      <c r="AI87" s="660"/>
      <c r="AJ87" s="660"/>
      <c r="AQ87" s="667"/>
      <c r="AR87" s="667"/>
      <c r="AS87" s="667"/>
      <c r="AT87" s="682"/>
      <c r="AU87" s="683"/>
      <c r="AV87" s="683"/>
      <c r="AW87" s="683"/>
      <c r="AX87" s="683"/>
      <c r="AY87" s="683"/>
      <c r="AZ87" s="683"/>
      <c r="BA87" s="683"/>
      <c r="BB87" s="665"/>
      <c r="BC87" s="665"/>
      <c r="BD87" s="665"/>
      <c r="BE87" s="669"/>
      <c r="BF87" s="669"/>
      <c r="BG87" s="669"/>
      <c r="BH87" s="669"/>
      <c r="BI87" s="669"/>
      <c r="BJ87" s="665"/>
      <c r="BK87" s="665"/>
      <c r="BL87" s="665"/>
      <c r="BM87" s="665"/>
      <c r="BN87" s="665"/>
      <c r="BO87" s="665"/>
      <c r="BP87" s="665"/>
      <c r="BQ87" s="665"/>
      <c r="BR87" s="665"/>
      <c r="BS87" s="665"/>
      <c r="BT87" s="665"/>
      <c r="BU87" s="665"/>
    </row>
    <row r="88" spans="1:74" ht="186" customHeight="1" thickBot="1">
      <c r="A88" s="990"/>
      <c r="B88" s="448"/>
      <c r="C88" s="448"/>
      <c r="D88" s="448"/>
      <c r="E88" s="448"/>
      <c r="F88" s="448"/>
      <c r="G88" s="502"/>
      <c r="K88" s="498"/>
      <c r="R88" s="1044"/>
      <c r="S88" s="1044"/>
      <c r="T88" s="1044"/>
      <c r="U88" s="1044"/>
      <c r="V88" s="1044"/>
      <c r="W88" s="1044"/>
      <c r="X88" s="1044"/>
      <c r="Y88" s="1044"/>
      <c r="Z88" s="1044"/>
      <c r="AA88" s="1044"/>
      <c r="AB88" s="1044"/>
      <c r="AC88" s="1044"/>
      <c r="AD88" s="1038"/>
      <c r="AE88" s="1039"/>
      <c r="AG88" s="666"/>
      <c r="AK88" s="612"/>
      <c r="AL88" s="612"/>
      <c r="AQ88" s="667"/>
      <c r="AR88" s="667"/>
      <c r="AS88" s="667"/>
      <c r="AT88" s="682"/>
      <c r="AU88" s="682"/>
      <c r="AV88" s="682"/>
      <c r="AW88" s="682"/>
      <c r="AX88" s="684"/>
      <c r="AY88" s="684"/>
      <c r="AZ88" s="685"/>
      <c r="BA88" s="668"/>
      <c r="BB88" s="665"/>
      <c r="BC88" s="665"/>
      <c r="BD88" s="665"/>
      <c r="BE88" s="669"/>
      <c r="BF88" s="669"/>
      <c r="BG88" s="669"/>
      <c r="BH88" s="669"/>
      <c r="BI88" s="669"/>
      <c r="BJ88" s="665"/>
      <c r="BK88" s="665"/>
      <c r="BL88" s="665"/>
      <c r="BM88" s="665"/>
      <c r="BN88" s="665"/>
      <c r="BO88" s="665"/>
      <c r="BP88" s="665"/>
      <c r="BQ88" s="665"/>
      <c r="BR88" s="665"/>
      <c r="BS88" s="665"/>
      <c r="BT88" s="665"/>
      <c r="BU88" s="665"/>
    </row>
    <row r="89" spans="1:74" ht="186" customHeight="1" thickBot="1">
      <c r="A89" s="990"/>
      <c r="B89" s="448"/>
      <c r="C89" s="448"/>
      <c r="D89" s="448"/>
      <c r="E89" s="448"/>
      <c r="F89" s="448"/>
      <c r="G89" s="502"/>
      <c r="K89" s="498"/>
      <c r="R89" s="1045"/>
      <c r="S89" s="1045"/>
      <c r="T89" s="1045"/>
      <c r="U89" s="1045"/>
      <c r="V89" s="1045"/>
      <c r="W89" s="1045"/>
      <c r="X89" s="1045"/>
      <c r="Y89" s="1045"/>
      <c r="Z89" s="1045"/>
      <c r="AA89" s="1045"/>
      <c r="AB89" s="1045"/>
      <c r="AC89" s="1045"/>
      <c r="AD89" s="1038"/>
      <c r="AE89" s="1039"/>
      <c r="AG89" s="670"/>
      <c r="AK89" s="691"/>
      <c r="AL89" s="687"/>
      <c r="AM89" s="687"/>
      <c r="AN89" s="687"/>
      <c r="AO89" s="687"/>
      <c r="AP89" s="690"/>
      <c r="AQ89" s="668"/>
      <c r="AR89" s="667"/>
      <c r="AS89" s="667"/>
      <c r="AT89" s="682"/>
      <c r="AU89" s="682"/>
      <c r="AV89" s="682"/>
      <c r="AW89" s="682"/>
      <c r="AX89" s="683"/>
      <c r="AY89" s="683"/>
      <c r="AZ89" s="685"/>
      <c r="BA89" s="685"/>
      <c r="BB89" s="665"/>
      <c r="BC89" s="665"/>
      <c r="BD89" s="665"/>
      <c r="BE89" s="669"/>
      <c r="BF89" s="669"/>
      <c r="BG89" s="669"/>
      <c r="BH89" s="669"/>
      <c r="BI89" s="669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</row>
    <row r="90" spans="1:74" ht="186" customHeight="1" thickBot="1">
      <c r="A90" s="990"/>
      <c r="H90" s="671"/>
      <c r="I90" s="671"/>
      <c r="J90" s="671"/>
      <c r="K90" s="585"/>
      <c r="L90" s="585"/>
      <c r="R90" s="1069"/>
      <c r="S90" s="1070"/>
      <c r="T90" s="1071"/>
      <c r="U90" s="1072"/>
      <c r="V90" s="1071"/>
      <c r="W90" s="1072"/>
      <c r="AD90" s="476"/>
      <c r="AE90" s="476"/>
      <c r="AF90" s="476"/>
      <c r="AG90" s="670"/>
      <c r="AH90" s="476"/>
      <c r="AK90" s="697"/>
      <c r="AL90" s="693"/>
      <c r="AM90" s="693"/>
      <c r="AN90" s="693"/>
      <c r="AO90" s="693"/>
      <c r="AP90" s="696"/>
      <c r="AQ90" s="668"/>
      <c r="AR90" s="668"/>
      <c r="AS90" s="668"/>
      <c r="AT90" s="683"/>
      <c r="AU90" s="683"/>
      <c r="AV90" s="683"/>
      <c r="AW90" s="683"/>
      <c r="AX90" s="683"/>
      <c r="AY90" s="683"/>
      <c r="AZ90" s="685"/>
      <c r="BA90" s="685"/>
      <c r="BB90" s="665"/>
      <c r="BC90" s="665"/>
      <c r="BD90" s="665"/>
      <c r="BE90" s="665"/>
      <c r="BF90" s="665"/>
      <c r="BG90" s="665"/>
      <c r="BH90" s="665"/>
      <c r="BI90" s="665"/>
      <c r="BJ90" s="665"/>
      <c r="BK90" s="665"/>
      <c r="BL90" s="665"/>
      <c r="BM90" s="665"/>
      <c r="BN90" s="665"/>
      <c r="BO90" s="665"/>
      <c r="BP90" s="665"/>
      <c r="BQ90" s="665"/>
      <c r="BR90" s="665"/>
      <c r="BS90" s="665"/>
      <c r="BT90" s="665"/>
      <c r="BU90" s="665"/>
    </row>
    <row r="91" spans="1:74" ht="186" customHeight="1" thickBot="1">
      <c r="B91" s="585"/>
      <c r="C91" s="585"/>
      <c r="D91" s="585"/>
      <c r="E91" s="585"/>
      <c r="F91" s="585"/>
      <c r="G91" s="585"/>
      <c r="H91" s="585"/>
      <c r="I91" s="585"/>
      <c r="J91" s="585"/>
      <c r="K91" s="476"/>
      <c r="L91" s="476"/>
      <c r="R91" s="1040"/>
      <c r="S91" s="1041"/>
      <c r="T91" s="1040"/>
      <c r="U91" s="1041"/>
      <c r="V91" s="1042"/>
      <c r="W91" s="1043"/>
      <c r="X91" s="411"/>
      <c r="AB91" s="673"/>
      <c r="AC91" s="411"/>
      <c r="AE91" s="476"/>
      <c r="AF91" s="476"/>
      <c r="AG91" s="511"/>
      <c r="AH91" s="476"/>
    </row>
    <row r="92" spans="1:74" ht="186" customHeight="1" thickBot="1">
      <c r="A92" s="990"/>
      <c r="B92" s="585"/>
      <c r="C92" s="585"/>
      <c r="D92" s="585"/>
      <c r="E92" s="585"/>
      <c r="F92" s="585"/>
      <c r="G92" s="585"/>
      <c r="H92" s="585"/>
      <c r="I92" s="585"/>
      <c r="J92" s="585"/>
      <c r="K92" s="476"/>
      <c r="L92" s="630"/>
      <c r="M92" s="675"/>
      <c r="N92" s="630"/>
      <c r="O92" s="675"/>
      <c r="P92" s="630"/>
      <c r="Q92" s="476"/>
      <c r="R92" s="1040"/>
      <c r="S92" s="1041"/>
      <c r="T92" s="1040"/>
      <c r="U92" s="1041"/>
      <c r="V92" s="1040"/>
      <c r="W92" s="1041"/>
      <c r="X92" s="452"/>
      <c r="Y92" s="1040"/>
      <c r="Z92" s="1041"/>
      <c r="AA92" s="676"/>
      <c r="AB92" s="677"/>
      <c r="AC92" s="411"/>
      <c r="AE92" s="476"/>
      <c r="AF92" s="476"/>
      <c r="AG92" s="511"/>
      <c r="AH92" s="476"/>
    </row>
    <row r="93" spans="1:74" ht="186" customHeight="1" thickBot="1">
      <c r="A93" s="990"/>
      <c r="B93" s="503"/>
      <c r="C93" s="503"/>
      <c r="D93" s="503"/>
      <c r="E93" s="503"/>
      <c r="F93" s="503"/>
      <c r="G93" s="503"/>
      <c r="H93" s="503"/>
      <c r="I93" s="503"/>
      <c r="J93" s="503"/>
      <c r="K93" s="448"/>
      <c r="L93" s="448"/>
      <c r="M93" s="476"/>
      <c r="N93" s="476"/>
      <c r="O93" s="476"/>
      <c r="P93" s="476"/>
      <c r="Q93" s="476"/>
      <c r="R93" s="678"/>
      <c r="S93" s="1040"/>
      <c r="T93" s="1041"/>
      <c r="U93" s="679"/>
      <c r="V93" s="1042"/>
      <c r="W93" s="1042"/>
      <c r="X93" s="1042"/>
      <c r="Y93" s="1042"/>
      <c r="Z93" s="680"/>
      <c r="AA93" s="681"/>
      <c r="AB93" s="673"/>
      <c r="AC93" s="483"/>
      <c r="AD93" s="476"/>
      <c r="AE93" s="476"/>
      <c r="AF93" s="476"/>
      <c r="AG93" s="511"/>
      <c r="AH93" s="476"/>
    </row>
    <row r="94" spans="1:74" ht="186" customHeight="1">
      <c r="A94" s="990"/>
      <c r="B94" s="503"/>
      <c r="C94" s="503"/>
      <c r="D94" s="503"/>
      <c r="E94" s="503"/>
      <c r="F94" s="503"/>
      <c r="G94" s="503"/>
      <c r="H94" s="503"/>
      <c r="I94" s="503"/>
      <c r="J94" s="503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76"/>
      <c r="Z94" s="476"/>
      <c r="AA94" s="448"/>
      <c r="AB94" s="448"/>
      <c r="AC94" s="476"/>
      <c r="AD94" s="476"/>
      <c r="AE94" s="476"/>
      <c r="AF94" s="476"/>
      <c r="AG94" s="476"/>
      <c r="AH94" s="476"/>
    </row>
    <row r="95" spans="1:74" ht="186" customHeight="1">
      <c r="J95" s="605"/>
      <c r="K95" s="605"/>
      <c r="L95" s="605"/>
      <c r="M95" s="448"/>
      <c r="N95" s="448"/>
      <c r="O95" s="448"/>
      <c r="P95" s="448"/>
      <c r="Q95" s="448"/>
      <c r="R95" s="448"/>
      <c r="S95" s="605"/>
      <c r="T95" s="605"/>
      <c r="U95" s="605"/>
      <c r="V95" s="605"/>
      <c r="W95" s="605"/>
    </row>
    <row r="96" spans="1:74" ht="186" customHeight="1" thickBot="1">
      <c r="E96" s="990"/>
      <c r="F96" s="565"/>
      <c r="G96" s="990"/>
      <c r="H96" s="990"/>
      <c r="I96" s="990"/>
      <c r="J96" s="605"/>
      <c r="K96" s="605"/>
      <c r="L96" s="605"/>
      <c r="M96" s="605"/>
      <c r="N96" s="605"/>
      <c r="O96" s="605"/>
      <c r="P96" s="605"/>
      <c r="Q96" s="605"/>
      <c r="R96" s="605"/>
      <c r="S96" s="605"/>
      <c r="T96" s="605"/>
      <c r="U96" s="605"/>
      <c r="V96" s="605"/>
      <c r="W96" s="605"/>
    </row>
    <row r="97" spans="5:36" ht="186" customHeight="1">
      <c r="E97" s="990"/>
      <c r="F97" s="565"/>
      <c r="G97" s="990"/>
      <c r="H97" s="990"/>
      <c r="I97" s="990"/>
      <c r="J97" s="605"/>
      <c r="K97" s="605"/>
      <c r="L97" s="605"/>
      <c r="M97" s="605"/>
      <c r="N97" s="605"/>
      <c r="O97" s="605"/>
      <c r="P97" s="605"/>
      <c r="Q97" s="605"/>
      <c r="R97" s="605"/>
      <c r="S97" s="605"/>
      <c r="T97" s="605"/>
      <c r="U97" s="605"/>
      <c r="V97" s="605"/>
      <c r="W97" s="686"/>
      <c r="X97" s="687"/>
      <c r="Y97" s="687"/>
      <c r="Z97" s="687"/>
      <c r="AA97" s="688"/>
      <c r="AB97" s="689"/>
      <c r="AC97" s="687"/>
      <c r="AD97" s="687"/>
      <c r="AE97" s="687"/>
      <c r="AF97" s="687"/>
      <c r="AG97" s="687"/>
      <c r="AH97" s="687"/>
      <c r="AI97" s="687"/>
      <c r="AJ97" s="690"/>
    </row>
    <row r="98" spans="5:36" ht="186" customHeight="1" thickBot="1">
      <c r="E98" s="990"/>
      <c r="F98" s="565"/>
      <c r="G98" s="990"/>
      <c r="H98" s="990"/>
      <c r="I98" s="990"/>
      <c r="J98" s="605"/>
      <c r="K98" s="605"/>
      <c r="L98" s="605"/>
      <c r="M98" s="605"/>
      <c r="N98" s="605"/>
      <c r="O98" s="605"/>
      <c r="P98" s="605"/>
      <c r="Q98" s="605"/>
      <c r="R98" s="605"/>
      <c r="S98" s="605"/>
      <c r="T98" s="605"/>
      <c r="U98" s="605"/>
      <c r="V98" s="605"/>
      <c r="W98" s="692"/>
      <c r="X98" s="693"/>
      <c r="Y98" s="693"/>
      <c r="Z98" s="693"/>
      <c r="AA98" s="694"/>
      <c r="AB98" s="695"/>
      <c r="AC98" s="693"/>
      <c r="AD98" s="693"/>
      <c r="AE98" s="693"/>
      <c r="AF98" s="693"/>
      <c r="AG98" s="693"/>
      <c r="AH98" s="693"/>
      <c r="AI98" s="693"/>
      <c r="AJ98" s="696"/>
    </row>
    <row r="99" spans="5:36" ht="186" customHeight="1">
      <c r="M99" s="605"/>
      <c r="N99" s="605"/>
      <c r="O99" s="605"/>
      <c r="P99" s="605"/>
      <c r="Q99" s="605"/>
      <c r="R99" s="605"/>
    </row>
  </sheetData>
  <mergeCells count="197">
    <mergeCell ref="AX10:AY10"/>
    <mergeCell ref="BC27:BC28"/>
    <mergeCell ref="BC29:BC30"/>
    <mergeCell ref="BC31:BC32"/>
    <mergeCell ref="BC33:BC34"/>
    <mergeCell ref="BC35:BC36"/>
    <mergeCell ref="BC38:BC39"/>
    <mergeCell ref="BC40:BC41"/>
    <mergeCell ref="BC11:BC12"/>
    <mergeCell ref="BC13:BC14"/>
    <mergeCell ref="BC15:BC16"/>
    <mergeCell ref="BC17:BC18"/>
    <mergeCell ref="BC19:BC20"/>
    <mergeCell ref="BC21:BC22"/>
    <mergeCell ref="BC23:BC24"/>
    <mergeCell ref="BC25:BC26"/>
    <mergeCell ref="BC42:BC43"/>
    <mergeCell ref="BC44:BC45"/>
    <mergeCell ref="BC46:BC47"/>
    <mergeCell ref="BC48:BC49"/>
    <mergeCell ref="BM40:BM41"/>
    <mergeCell ref="BM42:BM43"/>
    <mergeCell ref="BM44:BM45"/>
    <mergeCell ref="BM46:BM47"/>
    <mergeCell ref="BO37:BV37"/>
    <mergeCell ref="BE37:BL37"/>
    <mergeCell ref="BM48:BM49"/>
    <mergeCell ref="BM21:BM22"/>
    <mergeCell ref="BM23:BM24"/>
    <mergeCell ref="BM25:BM26"/>
    <mergeCell ref="BM27:BM28"/>
    <mergeCell ref="BM29:BM30"/>
    <mergeCell ref="BM31:BM32"/>
    <mergeCell ref="BM33:BM34"/>
    <mergeCell ref="BM35:BM36"/>
    <mergeCell ref="BM38:BM39"/>
    <mergeCell ref="BW11:BW12"/>
    <mergeCell ref="BW13:BW14"/>
    <mergeCell ref="BW15:BW16"/>
    <mergeCell ref="BW17:BW18"/>
    <mergeCell ref="BM11:BM12"/>
    <mergeCell ref="BM13:BM14"/>
    <mergeCell ref="BM15:BM16"/>
    <mergeCell ref="BM17:BM18"/>
    <mergeCell ref="BM19:BM20"/>
    <mergeCell ref="BW19:BW20"/>
    <mergeCell ref="BW25:BW26"/>
    <mergeCell ref="BW27:BW28"/>
    <mergeCell ref="BW48:BW49"/>
    <mergeCell ref="BW50:BW51"/>
    <mergeCell ref="BW52:BW53"/>
    <mergeCell ref="BW54:BW55"/>
    <mergeCell ref="BW60:BW61"/>
    <mergeCell ref="BW29:BW30"/>
    <mergeCell ref="BW31:BW32"/>
    <mergeCell ref="BW33:BW34"/>
    <mergeCell ref="BW35:BW36"/>
    <mergeCell ref="BW38:BW39"/>
    <mergeCell ref="BW40:BW41"/>
    <mergeCell ref="BW42:BW43"/>
    <mergeCell ref="BW44:BW45"/>
    <mergeCell ref="BW46:BW47"/>
    <mergeCell ref="BW56:BW57"/>
    <mergeCell ref="BW21:BW22"/>
    <mergeCell ref="E1:F2"/>
    <mergeCell ref="G1:I2"/>
    <mergeCell ref="J1:P2"/>
    <mergeCell ref="R1:S2"/>
    <mergeCell ref="T1:AA2"/>
    <mergeCell ref="BB1:BB2"/>
    <mergeCell ref="AI2:AI5"/>
    <mergeCell ref="T3:V3"/>
    <mergeCell ref="Y3:AB3"/>
    <mergeCell ref="AK10:AR10"/>
    <mergeCell ref="BE10:BL10"/>
    <mergeCell ref="BO10:BV10"/>
    <mergeCell ref="H11:I44"/>
    <mergeCell ref="J11:K44"/>
    <mergeCell ref="L11:M44"/>
    <mergeCell ref="O11:U15"/>
    <mergeCell ref="O16:U18"/>
    <mergeCell ref="E33:G38"/>
    <mergeCell ref="BW23:BW24"/>
    <mergeCell ref="E39:G41"/>
    <mergeCell ref="E42:G43"/>
    <mergeCell ref="E44:G44"/>
    <mergeCell ref="F18:G20"/>
    <mergeCell ref="O19:U22"/>
    <mergeCell ref="A20:B22"/>
    <mergeCell ref="E22:G23"/>
    <mergeCell ref="A23:B25"/>
    <mergeCell ref="O23:U26"/>
    <mergeCell ref="E24:G26"/>
    <mergeCell ref="A26:B28"/>
    <mergeCell ref="O27:U44"/>
    <mergeCell ref="E28:G32"/>
    <mergeCell ref="AS48:AS49"/>
    <mergeCell ref="AS50:AS51"/>
    <mergeCell ref="AS52:AS53"/>
    <mergeCell ref="AS54:AS55"/>
    <mergeCell ref="AS56:AS57"/>
    <mergeCell ref="E45:M45"/>
    <mergeCell ref="O45:U45"/>
    <mergeCell ref="AA45:AC45"/>
    <mergeCell ref="AD45:AF45"/>
    <mergeCell ref="O46:O47"/>
    <mergeCell ref="E52:F53"/>
    <mergeCell ref="G52:G53"/>
    <mergeCell ref="BV84:BV86"/>
    <mergeCell ref="AB74:AC75"/>
    <mergeCell ref="O50:P50"/>
    <mergeCell ref="O51:P51"/>
    <mergeCell ref="BM50:BM51"/>
    <mergeCell ref="BM52:BM53"/>
    <mergeCell ref="BC50:BC51"/>
    <mergeCell ref="BC52:BC53"/>
    <mergeCell ref="BC54:BC55"/>
    <mergeCell ref="BM54:BM55"/>
    <mergeCell ref="BM56:BM57"/>
    <mergeCell ref="BM58:BM59"/>
    <mergeCell ref="BM60:BM61"/>
    <mergeCell ref="O52:P52"/>
    <mergeCell ref="E58:G65"/>
    <mergeCell ref="BW58:BW59"/>
    <mergeCell ref="BW62:BW63"/>
    <mergeCell ref="BW64:BW65"/>
    <mergeCell ref="BD74:BD76"/>
    <mergeCell ref="BC58:BC59"/>
    <mergeCell ref="O56:U65"/>
    <mergeCell ref="BC56:BC57"/>
    <mergeCell ref="AT66:AW66"/>
    <mergeCell ref="A92:A94"/>
    <mergeCell ref="R92:S92"/>
    <mergeCell ref="T92:U92"/>
    <mergeCell ref="V92:W92"/>
    <mergeCell ref="Y92:Z92"/>
    <mergeCell ref="E86:F86"/>
    <mergeCell ref="A88:A90"/>
    <mergeCell ref="K83:O86"/>
    <mergeCell ref="B84:D86"/>
    <mergeCell ref="E84:F84"/>
    <mergeCell ref="G84:H84"/>
    <mergeCell ref="I84:J86"/>
    <mergeCell ref="E85:F85"/>
    <mergeCell ref="G85:H85"/>
    <mergeCell ref="S93:T93"/>
    <mergeCell ref="V93:W93"/>
    <mergeCell ref="X93:Y93"/>
    <mergeCell ref="R90:S90"/>
    <mergeCell ref="T90:U90"/>
    <mergeCell ref="V90:W90"/>
    <mergeCell ref="T88:T89"/>
    <mergeCell ref="U88:U89"/>
    <mergeCell ref="V88:V89"/>
    <mergeCell ref="W88:W89"/>
    <mergeCell ref="E96:E98"/>
    <mergeCell ref="G96:G98"/>
    <mergeCell ref="H96:H98"/>
    <mergeCell ref="I96:I98"/>
    <mergeCell ref="AM77:AQ78"/>
    <mergeCell ref="G86:H86"/>
    <mergeCell ref="AT69:AW71"/>
    <mergeCell ref="AT74:AY76"/>
    <mergeCell ref="BB74:BB76"/>
    <mergeCell ref="O66:U78"/>
    <mergeCell ref="AA67:AC71"/>
    <mergeCell ref="AD88:AE88"/>
    <mergeCell ref="AD89:AE89"/>
    <mergeCell ref="R91:S91"/>
    <mergeCell ref="T91:U91"/>
    <mergeCell ref="V91:W91"/>
    <mergeCell ref="X88:X89"/>
    <mergeCell ref="Y88:Y89"/>
    <mergeCell ref="Z88:Z89"/>
    <mergeCell ref="AA88:AA89"/>
    <mergeCell ref="AB88:AB89"/>
    <mergeCell ref="AC88:AC89"/>
    <mergeCell ref="R88:R89"/>
    <mergeCell ref="S88:S89"/>
    <mergeCell ref="AS11:AS12"/>
    <mergeCell ref="AS13:AS14"/>
    <mergeCell ref="AS15:AS16"/>
    <mergeCell ref="AS17:AS18"/>
    <mergeCell ref="AS19:AS20"/>
    <mergeCell ref="AS21:AS22"/>
    <mergeCell ref="AS23:AS24"/>
    <mergeCell ref="AS25:AS26"/>
    <mergeCell ref="AS27:AS28"/>
    <mergeCell ref="AS29:AS30"/>
    <mergeCell ref="AS31:AS32"/>
    <mergeCell ref="AS33:AS34"/>
    <mergeCell ref="AS35:AS36"/>
    <mergeCell ref="AS38:AS39"/>
    <mergeCell ref="AS40:AS41"/>
    <mergeCell ref="AS42:AS43"/>
    <mergeCell ref="AS44:AS45"/>
    <mergeCell ref="AS46:AS47"/>
  </mergeCells>
  <phoneticPr fontId="35" type="noConversion"/>
  <printOptions horizontalCentered="1" verticalCentered="1"/>
  <pageMargins left="0" right="0" top="0" bottom="0" header="0.31496062992125984" footer="0.31496062992125984"/>
  <pageSetup paperSize="9" scale="1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10606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4</vt:i4>
      </vt:variant>
    </vt:vector>
  </HeadingPairs>
  <TitlesOfParts>
    <vt:vector size="9" baseType="lpstr">
      <vt:lpstr>공종별 완료 현황</vt:lpstr>
      <vt:lpstr>마감현황</vt:lpstr>
      <vt:lpstr>NRB 공장 내부 배치도</vt:lpstr>
      <vt:lpstr>NRB야외 야적장 제품배치도(구)</vt:lpstr>
      <vt:lpstr>NRB야적장 제품 배치도</vt:lpstr>
      <vt:lpstr>'NRB 공장 내부 배치도'!Print_Area</vt:lpstr>
      <vt:lpstr>'NRB야외 야적장 제품배치도(구)'!Print_Area</vt:lpstr>
      <vt:lpstr>'NRB야적장 제품 배치도'!Print_Area</vt:lpstr>
      <vt:lpstr>마감현황!Print_Area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2107</cp:revision>
  <cp:lastPrinted>2026-10-20T07:10:32Z</cp:lastPrinted>
  <dcterms:created xsi:type="dcterms:W3CDTF">2022-06-03T01:11:30Z</dcterms:created>
  <dcterms:modified xsi:type="dcterms:W3CDTF">2026-10-20T07:10:33Z</dcterms:modified>
  <cp:version>1000.0100.61</cp:version>
</cp:coreProperties>
</file>